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worksheets/sheet2.xml" ContentType="application/vnd.openxmlformats-officedocument.spreadsheetml.worksheet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9.102.76.43786"/>
  <workbookPr/>
  <bookViews>
    <workbookView xWindow="360" yWindow="30" windowWidth="25755" windowHeight="11595" tabRatio="590" activeTab="0"/>
  </bookViews>
  <sheets>
    <sheet name="키워드분할 최종사본" sheetId="6" r:id="rId1"/>
    <sheet name="키워드분할 사본" state="hidden" sheetId="8" r:id="rId2"/>
    <sheet name="정산(~25.05)" state="hidden" sheetId="9" r:id="rId3"/>
    <sheet name="일반 사본" state="hidden" sheetId="10" r:id="rId4"/>
  </sheets>
  <definedNames/>
  <calcPr calcId="152511"/>
</workbook>
</file>

<file path=xl/comments1.xml><?xml version="1.0" encoding="utf-8"?>
<comments xmlns="http://schemas.openxmlformats.org/spreadsheetml/2006/main">
  <authors>
    <author/>
  </authors>
  <commentList>
    <comment ref="N4" authorId="0">
      <text>
        <r>
          <rPr>
            <sz val="10"/>
            <color indexed="0"/>
            <rFont val="돋움"/>
          </rPr>
          <t>월 별 정산광고비의 20%</t>
        </r>
      </text>
    </comment>
    <comment ref="O4" authorId="0">
      <text>
        <r>
          <rPr>
            <sz val="10"/>
            <color indexed="0"/>
            <rFont val="돋움"/>
          </rPr>
          <t>월 별 정산광고비의 20%</t>
        </r>
      </text>
    </comment>
  </commentList>
</comments>
</file>

<file path=xl/sharedStrings.xml><?xml version="1.0" encoding="utf-8"?>
<sst xmlns="http://schemas.openxmlformats.org/spreadsheetml/2006/main" count="11921" uniqueCount="11921">
  <si>
    <t>[참고] 1타당 단가(VAT별도)</t>
  </si>
  <si>
    <t>입금자명: 재흥광고기획</t>
  </si>
  <si>
    <t>리워드</t>
  </si>
  <si>
    <t>5P</t>
  </si>
  <si>
    <t>10P</t>
  </si>
  <si>
    <t>주문하실 타수를 D열(5P), E열(10P)에 입력하신 후,
G열 금액을 입금해주시면 됩니다.</t>
  </si>
  <si>
    <t>광고비</t>
  </si>
  <si>
    <t>매출 기준 (VAT별도)</t>
  </si>
  <si>
    <t>VAT포함</t>
  </si>
  <si>
    <t>수수료율</t>
  </si>
  <si>
    <t>월</t>
  </si>
  <si>
    <t>일</t>
  </si>
  <si>
    <t>구매 타수</t>
  </si>
  <si>
    <t>구매 광고비</t>
  </si>
  <si>
    <t>입금한 금액</t>
  </si>
  <si>
    <t>입금확인(SKP)</t>
  </si>
  <si>
    <t>입금 합계(월)</t>
  </si>
  <si>
    <t>정산 합계(월)</t>
  </si>
  <si>
    <t>수수료 합계(월)</t>
  </si>
  <si>
    <t>대행사 매출원가</t>
  </si>
  <si>
    <t>잔여 금액</t>
  </si>
  <si>
    <t>수수료</t>
  </si>
  <si>
    <t>리워드5P, 공급단가16원</t>
  </si>
  <si>
    <t>리워드10P, 공급단가22원</t>
  </si>
  <si>
    <t>(VAT별도)</t>
  </si>
  <si>
    <t>(VAT포함)</t>
  </si>
  <si>
    <t>(광고비)</t>
  </si>
  <si>
    <t>(광고비*60%)</t>
  </si>
  <si>
    <t>(광고비*40%)</t>
  </si>
  <si>
    <t>(입금액-매출원가)</t>
  </si>
  <si>
    <t>입금액(공급단가)</t>
  </si>
  <si>
    <t>이월금액</t>
  </si>
  <si>
    <t>O</t>
  </si>
  <si>
    <t>[참고] 기존 입금 내역</t>
  </si>
  <si>
    <t>입금일자</t>
  </si>
  <si>
    <t>입금금액(VAT포함)</t>
  </si>
  <si>
    <t>6월 소계</t>
  </si>
  <si>
    <t>7월 소계</t>
  </si>
  <si>
    <t>8월 소계</t>
  </si>
  <si>
    <t>9/18</t>
  </si>
  <si>
    <t>9월 소계</t>
  </si>
  <si>
    <t>ㄴ&gt; '9/19 기준</t>
  </si>
  <si>
    <t>10월 소계</t>
  </si>
  <si>
    <t>11월 소계</t>
  </si>
  <si>
    <t>단수차이: 1원 제거</t>
  </si>
  <si>
    <t>12월 소계</t>
  </si>
  <si>
    <t>'26.01</t>
  </si>
  <si>
    <t>'26년 01월 소계</t>
  </si>
  <si>
    <t>'26.02</t>
  </si>
  <si>
    <t>'26년 02월 소계</t>
  </si>
  <si>
    <t>[2025년 6월]</t>
  </si>
  <si>
    <t xml:space="preserve">※ 입금일, 입금금액 기재해 주세요. </t>
  </si>
  <si>
    <t>입금일</t>
  </si>
  <si>
    <t>입금금액(VAT+):
매체비 40%기준</t>
  </si>
  <si>
    <t>SKP 확인</t>
  </si>
  <si>
    <t>광고비 반영(VAT-)</t>
  </si>
  <si>
    <t>게재요청금액</t>
  </si>
  <si>
    <t>잔여금액</t>
  </si>
  <si>
    <t>입금할 금액
(VAT+)</t>
  </si>
  <si>
    <t>당월 실정산금액 기재</t>
  </si>
  <si>
    <t>P열값을 [익월 B열의 이월칸]에 입력</t>
  </si>
  <si>
    <t>TOTAL</t>
  </si>
  <si>
    <t>광고비(VAT-)</t>
  </si>
  <si>
    <t>수수료 60% (VAT-)</t>
  </si>
  <si>
    <t>매체비(VAT-)</t>
  </si>
  <si>
    <t>선입금 잔여금액(VAT-)</t>
  </si>
  <si>
    <t>이월 시 표기금액(VAT+)</t>
  </si>
  <si>
    <t>이월</t>
  </si>
  <si>
    <t xml:space="preserve">※ 입금할 금액이 (+)일 경우에는 추가 게재가 불가합니다. </t>
  </si>
  <si>
    <t>[2025년 7월]</t>
  </si>
  <si>
    <t xml:space="preserve">※ 잔여금액이 (-)일 경우에는 추가 게재가 불가합니다. </t>
  </si>
  <si>
    <t>O열값을 [익월 B열의 이월칸]에 입력</t>
  </si>
  <si>
    <t>[2025년 8월]</t>
  </si>
  <si>
    <t>공급액(VAT-)</t>
  </si>
  <si>
    <t>[2025년 9월]</t>
  </si>
  <si>
    <t>[2025년 10월]</t>
  </si>
  <si>
    <t>10월</t>
  </si>
  <si>
    <t>VAT별도</t>
  </si>
  <si>
    <t>비고</t>
  </si>
  <si>
    <t>대행수수료 (60%)</t>
  </si>
  <si>
    <t>입금액 (40%)</t>
  </si>
  <si>
    <t>(= 1 - 2)</t>
  </si>
  <si>
    <t>1차 입금액</t>
  </si>
  <si>
    <t>10.31 입금</t>
  </si>
  <si>
    <t>[2025년 11월]</t>
  </si>
  <si>
    <t>잔여 입금액</t>
  </si>
  <si>
    <t>(= 3 - 4)</t>
  </si>
  <si>
    <t>최종 입금 요청액</t>
  </si>
  <si>
    <t>단수차이 1원</t>
  </si>
  <si>
    <t>11월</t>
  </si>
  <si>
    <t>11.27 입금</t>
  </si>
  <si>
    <t>[2025년 12월]</t>
  </si>
  <si>
    <t>12월</t>
  </si>
  <si>
    <t>12.19 입금</t>
  </si>
  <si>
    <t>[2026년 01월]</t>
  </si>
  <si>
    <t>'26년01월</t>
  </si>
  <si>
    <t>[2026년 02월]</t>
  </si>
  <si>
    <t>'26년02월</t>
  </si>
  <si>
    <t>2026.02.19 기준</t>
  </si>
  <si>
    <t xml:space="preserve"> </t>
  </si>
  <si>
    <t>웹/앱 구분
(App or Web 표기)</t>
  </si>
  <si>
    <t>시작일</t>
  </si>
  <si>
    <t>종료일</t>
  </si>
  <si>
    <t>총예산 
(120%상향셋팅)</t>
  </si>
  <si>
    <t>총예산
수식有/ 건드리지X</t>
  </si>
  <si>
    <t>일예산
수식有/ 건드리지X</t>
  </si>
  <si>
    <t>포인트 (10)</t>
  </si>
  <si>
    <t>검색어</t>
  </si>
  <si>
    <t>미션내용</t>
  </si>
  <si>
    <t>정답</t>
  </si>
  <si>
    <t>힌트URL</t>
  </si>
  <si>
    <t>업체명</t>
  </si>
  <si>
    <t>일 유입 목표</t>
  </si>
  <si>
    <t>글자수
수식有/ 건드리지X</t>
  </si>
  <si>
    <t>자체검수(O표시)</t>
  </si>
  <si>
    <t>세팅완료</t>
  </si>
  <si>
    <t>일반</t>
  </si>
  <si>
    <t>APP</t>
  </si>
  <si>
    <t>도계동한의원 이호한의원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</si>
  <si>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4.[이호한의*]플레이스를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{ㅊㅇㅎㄱ}
정답 : &lt;4&gt; 글자
* 정답란에 띄어쓰기 없이 입력 후 제출해주세요.</t>
  </si>
  <si>
    <t>창원향교</t>
  </si>
  <si>
    <t>네이버앱랜딩</t>
  </si>
  <si>
    <t>이호한의*</t>
  </si>
  <si>
    <t>https://m.place.naver.com/hospital/1958581595/home?entry=pll</t>
  </si>
  <si>
    <t>스마일드래곤주식회사</t>
  </si>
  <si>
    <t>도계동 교통사고 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</si>
  <si>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4.[이호한의*]플레이스를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{ㄴㅅㄱㅇ}
정답 : &lt;4&gt; 글자
* 정답란에 띄어쓰기 없이 입력 후 제출해주세요.</t>
  </si>
  <si>
    <t>남산공원</t>
  </si>
  <si>
    <t>도계동 한의원 재활의학과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</si>
  <si>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4.[이호한의*]플레이스를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{ㅌㅂㅅ}
정답 : &lt;3&gt; 글자
* 정답란에 띄어쓰기 없이 입력 후 제출해주세요.</t>
  </si>
  <si>
    <t>태복산</t>
  </si>
  <si/>
  <si>
    <t>안양실용음악학원 라이온뮤직 실용음악학원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</si>
  <si>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4.[*이온뮤직 실용음악학원]플레이스를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{ㅍㅊㄱㅇ}
정답 : &lt;4&gt; 글자
* 정답란에 띄어쓰기 없이 입력 후 제출해주세요.</t>
  </si>
  <si>
    <t>평촌공원</t>
  </si>
  <si>
    <t>*이온뮤직 실용음악학원</t>
  </si>
  <si>
    <t>https://m.place.naver.com/place/1198102573/home?entry=pll</t>
  </si>
  <si>
    <t xml:space="preserve">스마일드래곤주식회사    </t>
  </si>
  <si>
    <t>4월 세팅~4/29</t>
  </si>
  <si>
    <t>안양 라이온뮤직 실용음악학원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</si>
  <si>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4.[*이온뮤직 실용음악학원]플레이스를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{ㅎㅁㄱㅇ}
정답 : &lt;4&gt; 글자
* 정답란에 띄어쓰기 없이 입력 후 제출해주세요.</t>
  </si>
  <si>
    <t>희망공원</t>
  </si>
  <si>
    <t>평촌 라이온뮤직 실용음악학원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</si>
  <si>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4.[*이온뮤직 실용음악학원]플레이스를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{ㄱㅁㄱㅇ}
정답 : &lt;4&gt; 글자
* 정답란에 띄어쓰기 없이 입력 후 제출해주세요.</t>
  </si>
  <si>
    <t>갈미공원</t>
  </si>
  <si>
    <t>운정 사진관 몽하우스스튜디오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</si>
  <si>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 스튜디오]플레이스를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{ㅂㅅㅅ}
정답 : &lt;3&gt; 글자
* 정답란에 띄어쓰기 없이 입력 후 제출해주세요.</t>
  </si>
  <si>
    <t>법선사</t>
  </si>
  <si>
    <t>*하우스 스튜디오</t>
  </si>
  <si>
    <t>https://m.place.naver.com/place/11852631/home?entry=pll</t>
  </si>
  <si>
    <t>동패동 몽하우스 스튜디오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</si>
  <si>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 스튜디오]플레이스를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{ㅇㅈㅋㅍㄱㄹ}
정답 : &lt;6&gt; 글자
* 정답란에 띄어쓰기 없이 입력 후 제출해주세요.</t>
  </si>
  <si>
    <t>운정카페거리</t>
  </si>
  <si>
    <t>파주시 사진관 몽하우스 스튜디오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</si>
  <si>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 스튜디오]플레이스를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{ㅇㅊㅅ}
정답 : &lt;3&gt; 글자
* 정답란에 띄어쓰기 없이 입력 후 제출해주세요.</t>
  </si>
  <si>
    <t>약천사</t>
  </si>
  <si>
    <t>안양변호사 법률사무소 형사변호사 충용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</si>
  <si>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4.[*률사무소 형사변호사 충용]플레이스를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{ㅎㅇㄱㅇ}
정답 : &lt;4&gt; 글자
* 정답란에 띄어쓰기 없이 입력 후 제출해주세요.</t>
  </si>
  <si>
    <t>학운공원</t>
  </si>
  <si>
    <t>*률사무소 형사변호사 충용</t>
  </si>
  <si>
    <t>https://m.place.naver.com/place/1233917156/home?entry=pll</t>
  </si>
  <si>
    <t>안양 법률사무소 형사변호사 충용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</si>
  <si>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4.[*률사무소 형사변호사 충용]플레이스를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{ㅎㅁㄱㅇ}
정답 : &lt;4&gt; 글자
* 정답란에 띄어쓰기 없이 입력 후 제출해주세요.</t>
  </si>
  <si>
    <t>평촌역 법률사무소 형사변호사 충용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</si>
  <si>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4.[*률사무소 형사변호사 충용]플레이스를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{ㅍㅎㄱㅇ}
정답 : &lt;4&gt; 글자
* 정답란에 띄어쓰기 없이 입력 후 제출해주세요.</t>
  </si>
  <si>
    <t>평화공원</t>
  </si>
  <si>
    <t>부산 명지동 제철 과일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</si>
  <si>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4.[*담청과]플레이스를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{ㅇㅅㄷㅅㅌㄱㅇ}
정답 : &lt;7&gt; 글자
* 정답란에 띄어쓰기 없이 입력 후 제출해주세요.</t>
  </si>
  <si>
    <t>을숙도생태공원</t>
  </si>
  <si>
    <t>*담청과</t>
  </si>
  <si>
    <t>https://m.place.naver.com/place/1045951370/home</t>
  </si>
  <si>
    <t>https://docs.google.com/spreadsheets/d/1wQap-i5D8__C6fsye9hSfSSIBQL9Fi03ZrcvhooJ7dw/edit?gid=1052319938#gid=1052319938</t>
  </si>
  <si>
    <t>부산 명지동 과일 선물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</si>
  <si>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4.[*담청과]플레이스를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{ㅎㄷㄱㅇ}
정답 : &lt;4&gt; 글자
* 정답란에 띄어쓰기 없이 입력 후 제출해주세요.</t>
  </si>
  <si>
    <t>화동공원</t>
  </si>
  <si>
    <t>부산 강서구 과일 선물세트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</si>
  <si>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4.[*담청과]플레이스를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{ㅎㅇㄱㅇ}
정답 : &lt;4&gt; 글자
* 정답란에 띄어쓰기 없이 입력 후 제출해주세요.</t>
  </si>
  <si>
    <t>화암공원</t>
  </si>
  <si>
    <t>부산 강서구 컵과일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</si>
  <si>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4.[*담청과]플레이스를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{ㅅㄹㅅ}
정답 : &lt;3&gt; 글자
* 정답란에 띄어쓰기 없이 입력 후 제출해주세요.</t>
  </si>
  <si>
    <t>숭림사</t>
  </si>
  <si>
    <t>진접 헬스장 뉴웨이짐 헬스 PT 진접점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</si>
  <si>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4.[**이짐 헬스 PT 진접점]플레이스를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{ㅂㅍㅅㅌㅅㅈ}
정답 : &lt;6&gt; 글자
* 정답란에 띄어쓰기 없이 입력 후 제출해주세요.</t>
  </si>
  <si>
    <t>부평생태습지</t>
  </si>
  <si>
    <t>**이짐 헬스 PT 진접점</t>
  </si>
  <si>
    <t>https://m.place.naver.com/place/2078591576/home?entry=pll</t>
  </si>
  <si>
    <t>남양주 뉴웨이짐 헬스 PT 진접점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</si>
  <si>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4.[**이짐 헬스 PT 진접점]플레이스를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{ㅇㅈㄹㅊㅇㄱㅇ}
정답 : &lt;7&gt; 글자
* 정답란에 띄어쓰기 없이 입력 후 제출해주세요.</t>
  </si>
  <si>
    <t>양지리체육공원</t>
  </si>
  <si>
    <t>진접역 뉴웨이짐 헬스 PT 진접점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</si>
  <si>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4.[**이짐 헬스 PT 진접점]플레이스를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{ㅇㄴㅅㄷ}
정답 : &lt;4&gt; 글자
* 정답란에 띄어쓰기 없이 입력 후 제출해주세요.</t>
  </si>
  <si>
    <t>오남성당</t>
  </si>
  <si>
    <t>잠실역 이자카야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</si>
  <si>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4.[*날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{ㅅㅍㄴㄹㄱㅇ}
정답 : &lt;6&gt; 글자
* 정답란에 띄어쓰기 없이 입력 후 제출해주세요.</t>
  </si>
  <si>
    <t>송파나루공원</t>
  </si>
  <si>
    <t>*날 방이점</t>
  </si>
  <si>
    <t>https://m.place.naver.com/restaurant/1569423756/home</t>
  </si>
  <si>
    <t>잠실역 소고기타다끼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</si>
  <si>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4.[*날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{ㅍㅎㅇㄱㅈ}
정답 : &lt;5&gt; 글자
* 정답란에 띄어쓰기 없이 입력 후 제출해주세요.</t>
  </si>
  <si>
    <t>평화의광장</t>
  </si>
  <si>
    <t>잠실역 모츠나베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</si>
  <si>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4.[*날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{ㅅㅊㅎㅅ}
정답 : &lt;4&gt; 글자
* 정답란에 띄어쓰기 없이 입력 후 제출해주세요.</t>
  </si>
  <si>
    <t>석촌호수</t>
  </si>
  <si>
    <t>방이동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</si>
  <si>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4.[*날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{ㅅㅍㄱㄹㄱㅇ}
정답 : &lt;6&gt; 글자
* 정답란에 띄어쓰기 없이 입력 후 제출해주세요.</t>
  </si>
  <si>
    <t>송파근린공원</t>
  </si>
  <si>
    <t>방이동 소고기타다끼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</si>
  <si>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4.[*날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{ㅂㄱㅅ}
정답 : &lt;3&gt; 글자
* 정답란에 띄어쓰기 없이 입력 후 제출해주세요.</t>
  </si>
  <si>
    <t>불광사</t>
  </si>
  <si>
    <t>화성 고등어회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</si>
  <si>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동탄북광장점]플레이스를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{ㄴㅈㄱㅇ}
정답 : &lt;4&gt; 글자
* 정답란에 띄어쓰기 없이 입력 후 제출해주세요.</t>
  </si>
  <si>
    <t>노작공원</t>
  </si>
  <si>
    <t>*선장어시장 동탄북광장점</t>
  </si>
  <si>
    <t>https://m.place.naver.com/restaurant/1766691294/home</t>
  </si>
  <si>
    <t>https://docs.google.com/spreadsheets/d/1U1MmMOgNtLR2dKtz1vyLMeOK-133HLstgCUZAfQWU2A/edit?gid=0#gid=0</t>
  </si>
  <si>
    <t>화성 활어회 맛집 단체석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</si>
  <si>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[*선장어시장 동탄북광장점]플레이스를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</si>
  <si>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반송동 도다리 횟집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</si>
  <si>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4.[*선장어시장 동탄북광장점]플레이스를 방문 하고 [ 소식 ] 탭을 클릭 해주세요.
 5. [ 소식 ] 탭을 클릭 후 아래 게시글 확인 해주세요. 
 6. 게시글을 보고 빈칸을 확인 후 정답에 입력 해주세요.  
 7.  정답 : &lt;2&gt; 글자
초성힌트 : {알림 집나간 OO가 왔습니다}
* 정답란에 띄어쓰기 없이 입력 후 제출해주세요.</t>
  </si>
  <si>
    <t>전어</t>
  </si>
  <si>
    <t>반송동 활어회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</si>
  <si>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동탄북광장점]플레이스를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{ㅋㅈㅂㄱㅇ}
정답 : &lt;5&gt; 글자
* 정답란에 띄어쓰기 없이 입력 후 제출해주세요.</t>
  </si>
  <si>
    <t>큰재봉공원</t>
  </si>
  <si>
    <t>반송동 산오징어회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</si>
  <si>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동탄북광장점]플레이스를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{ㄷㅎㅅ}
정답 : &lt;3&gt; 글자
* 정답란에 띄어쓰기 없이 입력 후 제출해주세요.</t>
  </si>
  <si>
    <t>동학산</t>
  </si>
  <si>
    <t>대전 봉명동 위스키바 루미테라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</si>
  <si>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4.[*미테라]플레이스를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{ㅂㄱㅅ}
정답 : &lt;3&gt; 글자
* 정답란에 띄어쓰기 없이 입력 후 제출해주세요.</t>
  </si>
  <si>
    <t>봉국사</t>
  </si>
  <si>
    <t>*미테라</t>
  </si>
  <si>
    <t>https://m.place.naver.com/restaurant/2021257673/home?entry=pll</t>
  </si>
  <si>
    <t>루미테라 위스키바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</si>
  <si>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4.[*미테라]플레이스를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{ㅇㅂㄷㄱㄹㄱㅇ}
정답 : &lt;7&gt; 글자
* 정답란에 띄어쓰기 없이 입력 후 제출해주세요.</t>
  </si>
  <si>
    <t>용반들근린공원</t>
  </si>
  <si>
    <t>루미테라 칵테일바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</si>
  <si>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4.[*미테라]플레이스를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{ㄱㅊㄱㄹㄱㅇ}
정답 : &lt;6&gt; 글자
* 정답란에 띄어쓰기 없이 입력 후 제출해주세요.</t>
  </si>
  <si>
    <t>갑천근린공원</t>
  </si>
  <si>
    <t>강서동 법률사무소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</si>
  <si>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필 청주분사무소]플레이스를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{ㄱㄱㄱㅇ}
정답 : &lt;4&gt; 글자
* 정답란에 띄어쓰기 없이 입력 후 제출해주세요.</t>
  </si>
  <si>
    <t>가경공원</t>
  </si>
  <si>
    <t>*무법인 필 청주분사무소</t>
  </si>
  <si>
    <t>https://m.place.naver.com/place/2144823066/home</t>
  </si>
  <si>
    <t>강서동 형사 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</si>
  <si>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필 청주분사무소]플레이스를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{ㅂㅁㅅㅅ}
정답 : &lt;4&gt; 글자
* 정답란에 띄어쓰기 없이 입력 후 제출해주세요.</t>
  </si>
  <si>
    <t>부모산성</t>
  </si>
  <si>
    <t>강서동 법무법인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</si>
  <si>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필 청주분사무소]플레이스를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{ㅇㅎㅅ}
정답 : &lt;3&gt; 글자
* 정답란에 띄어쓰기 없이 입력 후 제출해주세요.</t>
  </si>
  <si>
    <t>연화사</t>
  </si>
  <si>
    <t>흥덕구 법률사무소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</si>
  <si>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필 청주분사무소]플레이스를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{ㅂㄷㄷㅅㄷ}
정답 : &lt;5&gt; 글자
* 정답란에 띄어쓰기 없이 입력 후 제출해주세요.</t>
  </si>
  <si>
    <t>복대동성당</t>
  </si>
  <si>
    <t>연천카페스톤 연천카페스톤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</si>
  <si>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4.[*페스톤]플레이스를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{ㅇㅊㅅㄷㄹㄱㅂ}
정답 : &lt;7&gt; 글자
* 정답란에 띄어쓰기 없이 입력 후 제출해주세요.</t>
  </si>
  <si>
    <t>연천신답리고분</t>
  </si>
  <si>
    <t>*페스톤</t>
  </si>
  <si>
    <t>https://m.place.naver.com/restaurant/2090027338/home?entry=pll</t>
  </si>
  <si>
    <t>	스마일드래곤주식회사</t>
  </si>
  <si>
    <t>연천 카페스톤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</si>
  <si>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4.[*페스톤]플레이스를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{ㄴㅅㄱㅇㅅㅁ}
정답 : &lt;6&gt; 글자
* 정답란에 띄어쓰기 없이 입력 후 제출해주세요.</t>
  </si>
  <si>
    <t>낙선군이숙묘</t>
  </si>
  <si>
    <t>연천 전곡 카페스톤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</si>
  <si>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4.[*페스톤]플레이스를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{ㅇㅇㄹㅈㅂㄱㅇㅇ}
정답 : &lt;8&gt; 글자
* 정답란에 띄어쓰기 없이 입력 후 제출해주세요.</t>
  </si>
  <si>
    <t>아우라지베개용암</t>
  </si>
  <si>
    <t>포천 구읍리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</si>
  <si>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4.[*캔두잇 포천시청점]플레이스를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{ㅁㅅㅈㅅㅈ}
정답 : &lt;5&gt; 글자
* 정답란에 띄어쓰기 없이 입력 후 제출해주세요.</t>
  </si>
  <si>
    <t>명산저수지</t>
  </si>
  <si>
    <t>*캔두잇 포천시청점</t>
  </si>
  <si>
    <t>https://m.place.naver.com/restaurant/1695171925</t>
  </si>
  <si>
    <t>https://docs.google.com/spreadsheets/d/1wQap-i5D8__C6fsye9hSfSSIBQL9Fi03ZrcvhooJ7dw/edit?usp=sharing</t>
  </si>
  <si>
    <t>포천 구읍리 카페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</si>
  <si>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4.[*캔두잇 포천시청점]플레이스를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{ㅇㅁㅇㄲㅁㅇ}
정답 : &lt;6&gt; 글자
* 정답란에 띄어쓰기 없이 입력 후 제출해주세요.</t>
  </si>
  <si>
    <t>울미연꽃마을</t>
  </si>
  <si>
    <t xml:space="preserve">        구미미용실 파인드미 헤어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</si>
  <si>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4.[*인드미 헤어]플레이스를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{ㅇㅍㄱㅇ}
정답 : &lt;4&gt; 글자
* 정답란에 띄어쓰기 없이 입력 후 제출해주세요.</t>
  </si>
  <si>
    <t>원평공원</t>
  </si>
  <si>
    <t>*인드미 헤어</t>
  </si>
  <si>
    <t>https://m.place.naver.com/hairshop/1135827572/home?entry=plt</t>
  </si>
  <si>
    <t xml:space="preserve"> 스마일드래곤주식회사</t>
  </si>
  <si>
    <t>형곡동 파인드미 헤어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</si>
  <si>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4.[*인드미 헤어]플레이스를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{ㄱㅇㅅㅈㅅㅈ}
정답 : &lt;6&gt; 글자
* 정답란에 띄어쓰기 없이 입력 후 제출해주세요.</t>
  </si>
  <si>
    <t>금오산저수지</t>
  </si>
  <si>
    <t>형곡동 파인드미 헤어 클리닉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</si>
  <si>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4.[*인드미 헤어]플레이스를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{ㄴㅌㄱㅇ}
정답 : &lt;4&gt; 글자
* 정답란에 띄어쓰기 없이 입력 후 제출해주세요.</t>
  </si>
  <si>
    <t>남통공원</t>
  </si>
  <si>
    <t>단원구 도다리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</si>
  <si>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안산중앙점]플레이스를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{ㅅㄹㄱㅊㅊㄱㄹ}
정답 : &lt;7&gt; 글자
* 정답란에 띄어쓰기 없이 입력 후 제출해주세요.</t>
  </si>
  <si>
    <t>사리골참치거리</t>
  </si>
  <si>
    <t>*선장어시장 안산중앙점</t>
  </si>
  <si>
    <t>https://m.place.naver.com/restaurant/1742816740/home</t>
  </si>
  <si>
    <t>단원구 갈치회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</si>
  <si>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안산중앙점]플레이스를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{ㄴㅈㅂ}
정답 : &lt;3&gt; 글자
* 정답란에 띄어쓰기 없이 입력 후 제출해주세요.</t>
  </si>
  <si>
    <t>노적봉</t>
  </si>
  <si>
    <t>중앙역 해산물 맛집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</si>
  <si>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4.[*선장어시장 안산중앙점]플레이스를 방문 하고 [ 소식 ] 탭을 클릭 해주세요.
 5. [ 소식 ] 탭을 클릭 후 아래 게시글 확인 해주세요. 
 6. 게시글을 보고 빈칸을 확인 후 정답에 입력 해주세요.  
 7.  정답 : &lt;3&gt; 글자
초성힌트 : {알림✨ OOO를 새롭게 즐기는 방법}
* 정답란에 띄어쓰기 없이 입력 후 제출해주세요.</t>
  </si>
  <si>
    <t>도다리</t>
  </si>
  <si>
    <t>중앙역 횟집 예약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</si>
  <si>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[*선장어시장 안산중앙점]플레이스를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</si>
  <si>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고잔동 횟집 단체석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</si>
  <si>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4.[*선장어시장 안산중앙점]플레이스를 방문 하고 [ 홈 ] 탭을 클릭 해주세요.
 5. [ 전화 ] 탭을 클릭 후 전화번호를 확인 해주세요. 
 6. 정답에 전화번호를 입력 해주세요.
 7. OOOO-OOOO-OOOO [복사]  ( - 포함하여 입력 )
정답 : &lt;14&gt; 글자
초성힌트 : {}
* 정답란에 띄어쓰기 없이 입력 후 제출해주세요.</t>
  </si>
  <si>
    <t>0507-1472-8587</t>
  </si>
  <si>
    <t>의정부피부관리 유영스파&amp;테라피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</si>
  <si>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4.[*영스파&amp;테라피]플레이스를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{ㅇㅈㄱㅇ}
정답 : &lt;4&gt; 글자
* 정답란에 띄어쓰기 없이 입력 후 제출해주세요.</t>
  </si>
  <si>
    <t>양지공원</t>
  </si>
  <si>
    <t>*영스파&amp;테라피</t>
  </si>
  <si>
    <t>https://m.place.naver.com/place/33586482/home?entry=pll</t>
  </si>
  <si>
    <t>스마일드래곤주식회사	</t>
  </si>
  <si>
    <t>의정부 유영스파&amp;테라피 피부관리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</si>
  <si>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4.[*영스파&amp;테라피]플레이스를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{ㅅㅁㄱㅇ}
정답 : &lt;4&gt; 글자
* 정답란에 띄어쓰기 없이 입력 후 제출해주세요.</t>
  </si>
  <si>
    <t>시민공원</t>
  </si>
  <si>
    <t>신곡동 유영스파&amp;테라피 체형관리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</si>
  <si>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4.[*영스파&amp;테라피]플레이스를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{ㅊㄷㄱㄹㄱㅇ}
정답 : &lt;6&gt; 글자
* 정답란에 띄어쓰기 없이 입력 후 제출해주세요.</t>
  </si>
  <si>
    <t>추동근린공원</t>
  </si>
  <si>
    <t>구미네일 네일정거장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</si>
  <si>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4.[*일정거장]플레이스를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{ㅇㅎㅇㅈㅇ}
정답 : &lt;5&gt; 글자
* 정답란에 띄어쓰기 없이 입력 후 제출해주세요.</t>
  </si>
  <si>
    <t>우호의정원</t>
  </si>
  <si>
    <t>*일정거장</t>
  </si>
  <si>
    <t>https://m.place.naver.com/hairshop/1076782496/home?entry=plt</t>
  </si>
  <si>
    <t>구미역 네일정거장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</si>
  <si>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4.[*일정거장]플레이스를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{ㅎㄱㅅㄷ}
정답 : &lt;4&gt; 글자
* 정답란에 띄어쓰기 없이 입력 후 제출해주세요.</t>
  </si>
  <si>
    <t>형곡성당</t>
  </si>
  <si>
    <t>원평동 네일정거장 케어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</si>
  <si>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4.[*일정거장]플레이스를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{ㅅㄹㄱㅇ}
정답 : &lt;4&gt; 글자
* 정답란에 띄어쓰기 없이 입력 후 제출해주세요.</t>
  </si>
  <si>
    <t>송리공원</t>
  </si>
  <si>
    <t>가평 상면 디저트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</si>
  <si>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4.[*름산카페]플레이스를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{ㅅㄹㅅ}
정답 : &lt;3&gt; 글자
* 정답란에 띄어쓰기 없이 입력 후 제출해주세요.</t>
  </si>
  <si>
    <t>서리산</t>
  </si>
  <si>
    <t>*름산카페</t>
  </si>
  <si>
    <t>https://m.place.naver.com/restaurant/1352504324/home</t>
  </si>
  <si>
    <t>https://docs.google.com/spreadsheets/d/1tR_99Od2s8gsPk3emQ5KyzlGnUQAcxnIvaPMk9qbxa4/edit?gid=796132586#gid=796132586</t>
  </si>
  <si>
    <t>가평 상면 디저트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</si>
  <si>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4.[*름산카페]플레이스를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{ㄴㅅㄱㄱ}
정답 : &lt;4&gt; 글자
* 정답란에 띄어쓰기 없이 입력 후 제출해주세요.</t>
  </si>
  <si>
    <t>녹수계곡</t>
  </si>
  <si>
    <t>가평 상면 데이트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</si>
  <si>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4.[*름산카페]플레이스를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{ㅊㅍㅇ}
정답 : &lt;3&gt; 글자
* 정답란에 띄어쓰기 없이 입력 후 제출해주세요.</t>
  </si>
  <si>
    <t>청평암</t>
  </si>
  <si>
    <t>가평 아침고요수목원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</si>
  <si>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4.[*름산카페]플레이스를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{ㅅㅈㄱㅁㄱㄱㅈ}
정답 : &lt;7&gt; 글자
* 정답란에 띄어쓰기 없이 입력 후 제출해주세요.</t>
  </si>
  <si>
    <t>산장국민관광지</t>
  </si>
  <si>
    <t>가평 행현리 디저트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</si>
  <si>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4.[*름산카페]플레이스를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{ㅊㄹㅅㅈㅇㅎㅇㄹ}
정답 : &lt;8&gt; 글자
* 정답란에 띄어쓰기 없이 입력 후 제출해주세요.</t>
  </si>
  <si>
    <t>축령산자연휴양림</t>
  </si>
  <si>
    <t>선릉치과 클레어치과의원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</si>
  <si>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4.[*레어치과의원]플레이스를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{ㅇㅅㅈㅁㄱㅇ}
정답 : &lt;6&gt; 글자
* 정답란에 띄어쓰기 없이 입력 후 제출해주세요.</t>
  </si>
  <si>
    <t>역삼장미공원</t>
  </si>
  <si>
    <t>*레어치과의원</t>
  </si>
  <si>
    <t>https://m.place.naver.com/hospital/2086259932/home</t>
  </si>
  <si>
    <t>선릉역 클레어치과의원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</si>
  <si>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4.[*레어치과의원]플레이스를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{ㄷㅊㄷㅎㅇㄱ}
정답 : &lt;6&gt; 글자
* 정답란에 띄어쓰기 없이 입력 후 제출해주세요.</t>
  </si>
  <si>
    <t>대치동학원가</t>
  </si>
  <si>
    <t>역삼동 클레어치과의원 라미네이트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</si>
  <si>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4.[*레어치과의원]플레이스를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{ㅅㅌㄱㄹㄱㅇ}
정답 : &lt;6&gt; 글자
* 정답란에 띄어쓰기 없이 입력 후 제출해주세요.</t>
  </si>
  <si>
    <t>샘터근린공원</t>
  </si>
  <si>
    <t>부산한정승인 법무사허성엽사무소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</si>
  <si>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{ㅇㄱㄱㅇ}
정답 : &lt;4&gt; 글자
* 정답란에 띄어쓰기 없이 입력 후 제출해주세요.</t>
  </si>
  <si>
    <t>옛골공원</t>
  </si>
  <si>
    <t>*무사허성엽사무소</t>
  </si>
  <si>
    <t>https://m.place.naver.com/place/1823160246/home?entry=pll</t>
  </si>
  <si>
    <t>부산 상속포기 법무사허성엽사무소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</si>
  <si>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{ㄷㄹㅍㅊ}
정답 : &lt;4&gt; 글자
* 정답란에 띄어쓰기 없이 입력 후 제출해주세요.</t>
  </si>
  <si>
    <t>동래패총</t>
  </si>
  <si>
    <t>부산 법무사허성엽사무소 민사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</si>
  <si>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{ㅇㅅㄷㄱㅂㄱ}
정답 : &lt;6&gt; 글자
* 정답란에 띄어쓰기 없이 입력 후 제출해주세요.</t>
  </si>
  <si>
    <t>연산동고분군</t>
  </si>
  <si>
    <t>부산민사소송 법무사허성엽사무소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</si>
  <si>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{ㅎㅇㅈㅅ}
정답 : &lt;4&gt; 글자
* 정답란에 띄어쓰기 없이 입력 후 제출해주세요.</t>
  </si>
  <si>
    <t>혜원정사</t>
  </si>
  <si>
    <t>부산 법무사허성엽사무소 한정승인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</si>
  <si>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{ㅅㅁㅇㅇㄱㅇ}
정답 : &lt;6&gt; 글자
* 정답란에 띄어쓰기 없이 입력 후 제출해주세요.</t>
  </si>
  <si>
    <t>수민어울공원</t>
  </si>
  <si>
    <t>부산 거제동 법무사허성엽사무소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</si>
  <si>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{ㅈㄱㅊ}
정답 : &lt;3&gt; 글자
* 정답란에 띄어쓰기 없이 입력 후 제출해주세요.</t>
  </si>
  <si>
    <t>장관청</t>
  </si>
  <si>
    <t>미사역카페 선두커피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</si>
  <si>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4.[*두커피]플레이스를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{ㄱㅇㄷㅅㄷ}
정답 : &lt;5&gt; 글자
* 정답란에 띄어쓰기 없이 입력 후 제출해주세요.</t>
  </si>
  <si>
    <t>강일동성당</t>
  </si>
  <si>
    <t>*두커피</t>
  </si>
  <si>
    <t>https://m.place.naver.com/restaurant/1405450724/home?entry=pll</t>
  </si>
  <si>
    <t>4월세팅~4/19</t>
  </si>
  <si>
    <t>하남 망월동 선두카페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</si>
  <si>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4.[*두커피]플레이스를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{ㅂㅁㄱㄹㄱㅇ}
정답 : &lt;6&gt; 글자
* 정답란에 띄어쓰기 없이 입력 후 제출해주세요.</t>
  </si>
  <si>
    <t>벌말근린공원</t>
  </si>
  <si>
    <t>미사역 선두커피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</si>
  <si>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4.[*두커피]플레이스를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{ㄱㅅㅅㄷ}
정답 : &lt;4&gt; 글자
* 정답란에 띄어쓰기 없이 입력 후 제출해주세요.</t>
  </si>
  <si>
    <t>구산성당</t>
  </si>
  <si>
    <t>고성맛집 수락간횟집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</si>
  <si>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4.[*락간횟집]플레이스를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{ㅁㅇㅎㅂ}
정답 : &lt;4&gt; 글자
* 정답란에 띄어쓰기 없이 입력 후 제출해주세요.</t>
  </si>
  <si>
    <t>문암해변</t>
  </si>
  <si>
    <t>*락간횟집</t>
  </si>
  <si>
    <t>https://m.place.naver.com/restaurant/1621134588/</t>
  </si>
  <si>
    <t>고성 모둠회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</si>
  <si>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4.[*락간횟집]플레이스를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{ㅂㄷㅎㅅㅇㅈ}
정답 : &lt;6&gt; 글자
* 정답란에 띄어쓰기 없이 입력 후 제출해주세요.</t>
  </si>
  <si>
    <t>백도해수욕장</t>
  </si>
  <si>
    <t>고성 회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</si>
  <si>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4.[*락간횟집]플레이스를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{ㅅㅊㅋㅍㄱㄹ}
정답 : &lt;6&gt; 글자
* 정답란에 띄어쓰기 없이 입력 후 제출해주세요.</t>
  </si>
  <si>
    <t>속초카페거리</t>
  </si>
  <si>
    <t>고성 맛집 횟집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</si>
  <si>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4.[*락간횟집]플레이스를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{ㅈㅈㄷㅎㅅㅇㅈ}
정답 : &lt;7&gt; 글자
* 정답란에 띄어쓰기 없이 입력 후 제출해주세요.</t>
  </si>
  <si>
    <t>자작도해수욕장</t>
  </si>
  <si>
    <t>고성 활어회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</si>
  <si>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4.[*락간횟집]플레이스를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{ㅇㅂㅅ}
정답 : &lt;3&gt; 글자
* 정답란에 띄어쓰기 없이 입력 후 제출해주세요.</t>
  </si>
  <si>
    <t>운봉산</t>
  </si>
  <si>
    <t>용인 신봉동 미용실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</si>
  <si>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4.[*니살롱 수지신봉점]플레이스를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{ㅌㅇㅊㅇㄱㅇ}
정답 : &lt;6&gt; 글자
* 정답란에 띄어쓰기 없이 입력 후 제출해주세요.</t>
  </si>
  <si>
    <t>토월체육공원</t>
  </si>
  <si>
    <t>*니살롱 수지신봉점</t>
  </si>
  <si>
    <t>https://m.place.naver.com/hairshop/1097197933/</t>
  </si>
  <si>
    <t>신봉동 미용실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</si>
  <si>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4.[*니살롱 수지신봉점]플레이스를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{ㄷㅇㅅ}
정답 : &lt;3&gt; 글자
* 정답란에 띄어쓰기 없이 입력 후 제출해주세요.</t>
  </si>
  <si>
    <t>대원사</t>
  </si>
  <si>
    <t>수지구 신봉2로 미용실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</si>
  <si>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4.[*니살롱 수지신봉점]플레이스를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{ㅅㅂㄷㅅㄷ}
정답 : &lt;5&gt; 글자
* 정답란에 띄어쓰기 없이 입력 후 제출해주세요.</t>
  </si>
  <si>
    <t>신봉동성당</t>
  </si>
  <si>
    <t>신봉동 남성 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</si>
  <si>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4.[*니살롱 수지신봉점]플레이스를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{ㅈㅍㅊ}
정답 : &lt;3&gt; 글자
* 정답란에 띄어쓰기 없이 입력 후 제출해주세요.</t>
  </si>
  <si>
    <t>정평천</t>
  </si>
  <si>
    <t>신봉동 미용실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</si>
  <si>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4.[*니살롱 수지신봉점]플레이스를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{ㅅㅈㅅㅌㄱㅇ}
정답 : &lt;6&gt; 글자
* 정답란에 띄어쓰기 없이 입력 후 제출해주세요.</t>
  </si>
  <si>
    <t>수지생태공원</t>
  </si>
  <si>
    <t>라페스타 감자탕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</si>
  <si>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4.[*한감자탕뼈구이 일산라페스타점]플레이스를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{ㅎㄹㅅㅂㄱㅇ}
정답 : &lt;6&gt; 글자
* 정답란에 띄어쓰기 없이 입력 후 제출해주세요.</t>
  </si>
  <si>
    <t>한류수변공원</t>
  </si>
  <si>
    <t>*한감자탕뼈구이 일산라페스타점</t>
  </si>
  <si>
    <t>https://m.place.naver.com/restaurant/2008370776/</t>
  </si>
  <si>
    <t>정발산역 감자탕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</si>
  <si>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4.[*한감자탕뼈구이 일산라페스타점]플레이스를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{ㅇㄹㅅ}
정답 : &lt;3&gt; 글자
* 정답란에 띄어쓰기 없이 입력 후 제출해주세요.</t>
  </si>
  <si>
    <t>여래사</t>
  </si>
  <si>
    <t>정발산역 감자탕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</si>
  <si>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4.[*한감자탕뼈구이 일산라페스타점]플레이스를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{ㅈㅇㄱㅇ}
정답 : &lt;4&gt; 글자
* 정답란에 띄어쓰기 없이 입력 후 제출해주세요.</t>
  </si>
  <si>
    <t>주엽공원</t>
  </si>
  <si>
    <t>장항동 감자탕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</si>
  <si>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4.[*한감자탕뼈구이 일산라페스타점]플레이스를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{ㄴㄹㄱ}
정답 : &lt;3&gt; 글자
* 정답란에 띄어쓰기 없이 입력 후 제출해주세요.</t>
  </si>
  <si>
    <t>나라궁</t>
  </si>
  <si>
    <t>일산동구 감자탕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</si>
  <si>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4.[*한감자탕뼈구이 일산라페스타점]플레이스를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{ㄴㅇㄱㅇ}
정답 : &lt;4&gt; 글자
* 정답란에 띄어쓰기 없이 입력 후 제출해주세요.</t>
  </si>
  <si>
    <t>능안공원</t>
  </si>
  <si>
    <t>망원역 함박스테이크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</si>
  <si>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4.[*글스 망원]플레이스를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{ㅎㄷㄱㄹ}
정답 : &lt;4&gt; 글자
* 정답란에 띄어쓰기 없이 입력 후 제출해주세요.</t>
  </si>
  <si>
    <t>홍대거리</t>
  </si>
  <si>
    <t>*글스 망원</t>
  </si>
  <si>
    <t>https://m.place.naver.com/restaurant/2079796477/home</t>
  </si>
  <si>
    <t>망원역 알리오올리오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</si>
  <si>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4.[*글스 망원]플레이스를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{ㅎㄷㅊㅈㄱㄹ}
정답 : &lt;6&gt; 글자
* 정답란에 띄어쓰기 없이 입력 후 제출해주세요.</t>
  </si>
  <si>
    <t>홍대축제거리</t>
  </si>
  <si>
    <t>망원동 함박스테이크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</si>
  <si>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4.[*글스 망원]플레이스를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{ㅎㅈㅊ}
정답 : &lt;3&gt; 글자
* 정답란에 띄어쓰기 없이 입력 후 제출해주세요.</t>
  </si>
  <si>
    <t>홍제천</t>
  </si>
  <si>
    <t>망원동 알리오올리오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</si>
  <si>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4.[*글스 망원]플레이스를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{ㅎㅁㅇㅅ}
정답 : &lt;4&gt; 글자
* 정답란에 띄어쓰기 없이 입력 후 제출해주세요.</t>
  </si>
  <si>
    <t>희망의숲</t>
  </si>
  <si>
    <t>망원역 스테이크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</si>
  <si>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4.[*글스 망원]플레이스를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{ㅎㄷㄱㄱㅅㅇㄱㄹ}
정답 : &lt;8&gt; 글자
* 정답란에 띄어쓰기 없이 입력 후 제출해주세요.</t>
  </si>
  <si>
    <t>홍대걷고싶은거리</t>
  </si>
  <si>
    <t>가평 피자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</si>
  <si>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4.[**머리]플레이스를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{ㅊㅍㅅㄷ}
정답 : &lt;4&gt; 글자
* 정답란에 띄어쓰기 없이 입력 후 제출해주세요.</t>
  </si>
  <si>
    <t>청평성당</t>
  </si>
  <si>
    <t>**머리</t>
  </si>
  <si>
    <t>https://m.place.naver.com/restaurant/1829721672/home?entry=plt</t>
  </si>
  <si>
    <t>가평 수제 맥주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</si>
  <si>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4.[**머리]플레이스를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{ㅅㅈㅅ}
정답 : &lt;3&gt; 글자
* 정답란에 띄어쓰기 없이 입력 후 제출해주세요.</t>
  </si>
  <si>
    <t>성주사</t>
  </si>
  <si>
    <t>가평 덕현리 파스타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</si>
  <si>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4.[**머리]플레이스를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{ㅇㅊㄱㅇㅅㅁㅇ}
정답 : &lt;7&gt; 글자
* 정답란에 띄어쓰기 없이 입력 후 제출해주세요.</t>
  </si>
  <si>
    <t>아침고요수목원</t>
  </si>
  <si>
    <t>가평 수제버거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</si>
  <si>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4.[**머리]플레이스를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{ㅊㅍㅅㅌㄱㅇ}
정답 : &lt;6&gt; 글자
* 정답란에 띄어쓰기 없이 입력 후 제출해주세요.</t>
  </si>
  <si>
    <t>청평생태공원</t>
  </si>
  <si>
    <t>가평 양식 애견동반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</si>
  <si>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4.[**머리]플레이스를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{ㅂㄹㅅ}
정답 : &lt;3&gt; 글자
* 정답란에 띄어쓰기 없이 입력 후 제출해주세요.</t>
  </si>
  <si>
    <t>백련사</t>
  </si>
  <si>
    <t>압구정꽃집 까사데이피오리 압구정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</si>
  <si>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4.[*사데이피오리 압구정]플레이스를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{ㄱㄹㅅㄱ}
정답 : &lt;4&gt; 글자
* 정답란에 띄어쓰기 없이 입력 후 제출해주세요.</t>
  </si>
  <si>
    <t>가로수길</t>
  </si>
  <si>
    <t>*사데이피오리 압구정</t>
  </si>
  <si>
    <t>https://m.place.naver.com/place/36453769/home?entry=pll</t>
  </si>
  <si>
    <t>압구정 까사데이피오리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</si>
  <si>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4.[*사데이피오리 압구정]플레이스를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{ㄷㅅㅇㅊㅎㅁㅇ}
정답 : &lt;7&gt; 글자
* 정답란에 띄어쓰기 없이 입력 후 제출해주세요.</t>
  </si>
  <si>
    <t>도산안창호묘역</t>
  </si>
  <si>
    <t>신사 까사데이피오리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</si>
  <si>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4.[*사데이피오리 압구정]플레이스를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{ㅅㄹㅅㄱ}
정답 : &lt;4&gt; 글자
* 정답란에 띄어쓰기 없이 입력 후 제출해주세요.</t>
  </si>
  <si>
    <t>세로수길</t>
  </si>
  <si>
    <t>양평펜션 빌라블랑쉬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</si>
  <si>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4.[*평 빌라블랑쉬 독채 펜션]플레이스를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{ㅂㅇㅅ}
정답 : &lt;3&gt; 글자
* 정답란에 띄어쓰기 없이 입력 후 제출해주세요.</t>
  </si>
  <si>
    <t>부용사</t>
  </si>
  <si>
    <t>*평 빌라블랑쉬 독채 펜션</t>
  </si>
  <si>
    <t>https://m.place.naver.com/accommodation/1793342533/home?entry=pll&amp;businessCategory=pension</t>
  </si>
  <si>
    <t>양평 빌라블랑쉬 독채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</si>
  <si>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4.[*평 빌라블랑쉬 독채 펜션]플레이스를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{ㅂㄱㅈㅅ}
정답 : &lt;4&gt; 글자
* 정답란에 띄어쓰기 없이 입력 후 제출해주세요.</t>
  </si>
  <si>
    <t>불광정사</t>
  </si>
  <si>
    <t>양평 빌라블랑쉬 예약</t>
  </si>
  <si>
    <t>부용산</t>
  </si>
  <si>
    <t>청라두피관리 모스테틱 인천청라점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</si>
  <si>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4.[*스테틱 인천청라점]플레이스를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{ㅂㄹㄲㄱㅇ}
정답 : &lt;5&gt; 글자
* 정답란에 띄어쓰기 없이 입력 후 제출해주세요.</t>
  </si>
  <si>
    <t>바람꽃공원</t>
  </si>
  <si>
    <t>*스테틱 인천청라점</t>
  </si>
  <si>
    <t>https://m.place.naver.com/place/1308971477/home?entry=pll</t>
  </si>
  <si>
    <t>청라동 모스테틱 인천청라점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</si>
  <si>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4.[*스테틱 인천청라점]플레이스를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{ㅈㅅㅈㄱㅇ}
정답 : &lt;5&gt; 글자
* 정답란에 띄어쓰기 없이 입력 후 제출해주세요.</t>
  </si>
  <si>
    <t>정서진공원</t>
  </si>
  <si>
    <t>서구 모스테틱 인천청라점 두피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</si>
  <si>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4.[*스테틱 인천청라점]플레이스를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{ㅅㄱㄲㄱㅇ}
정답 : &lt;5&gt; 글자
* 정답란에 띄어쓰기 없이 입력 후 제출해주세요.</t>
  </si>
  <si>
    <t>소금꽃공원</t>
  </si>
  <si>
    <t>목포 옥암동 사진관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</si>
  <si>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4.[*진관 그날우리는]플레이스를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{ㅇㅇㄱㄹㄱㅇ}
정답 : &lt;6&gt; 글자
* 정답란에 띄어쓰기 없이 입력 후 제출해주세요.</t>
  </si>
  <si>
    <t>옥암근린공원</t>
  </si>
  <si>
    <t>*진관 그날우리는</t>
  </si>
  <si>
    <t>https://m.place.naver.com/place/1564567955/home</t>
  </si>
  <si>
    <t>옥암동 증명사진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</si>
  <si>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4.[*진관 그날우리는]플레이스를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{ㅅㅂㄱㅇ}
정답 : &lt;4&gt; 글자
* 정답란에 띄어쓰기 없이 입력 후 제출해주세요.</t>
  </si>
  <si>
    <t>수변공원</t>
  </si>
  <si>
    <t>분당 새로이 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</si>
  <si>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4.[*당새로이치과의원]플레이스를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{ㅊㅇㅈㅅ}
정답 : &lt;4&gt; 글자
* 정답란에 띄어쓰기 없이 입력 후 제출해주세요.</t>
  </si>
  <si>
    <t>천은정사</t>
  </si>
  <si>
    <t>*당새로이치과의원</t>
  </si>
  <si>
    <t>https://m.place.naver.com/hospital/2028426966/home</t>
  </si>
  <si>
    <t>분당 새로이 치과의원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</si>
  <si>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4.[*당새로이치과의원]플레이스를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{ㅂㄷㅎ}
정답 : &lt;3&gt; 글자
* 정답란에 띄어쓰기 없이 입력 후 제출해주세요.</t>
  </si>
  <si>
    <t>분당호</t>
  </si>
  <si>
    <t>분당 소아 새로이치과의원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</si>
  <si>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4.[*당새로이치과의원]플레이스를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{ㅅㄴㄷㄱㅇ}
정답 : &lt;5&gt; 글자
* 정답란에 띄어쓰기 없이 입력 후 제출해주세요.</t>
  </si>
  <si>
    <t>수내동가옥</t>
  </si>
  <si>
    <t>서현동 새로이치과의원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</si>
  <si>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4.[*당새로이치과의원]플레이스를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{ㅂㄷㅈㅅㅈ}
정답 : &lt;5&gt; 글자
* 정답란에 띄어쓰기 없이 입력 후 제출해주세요.</t>
  </si>
  <si>
    <t>분당저수지</t>
  </si>
  <si>
    <t>서현동 새로이치과의원 진료시간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</si>
  <si>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4.[*당새로이치과의원]플레이스를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{ㅂㄷㅈㅇㄱㅇ}
정답 : &lt;6&gt; 글자
* 정답란에 띄어쓰기 없이 입력 후 제출해주세요.</t>
  </si>
  <si>
    <t>분당중앙공원</t>
  </si>
  <si>
    <t>홍성 전통 숙소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</si>
  <si>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4.[*테이 그리다]플레이스를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{ㅊㅇㅎㅅㅅㅁ}
정답 : &lt;6&gt; 글자
* 정답란에 띄어쓰기 없이 입력 후 제출해주세요.</t>
  </si>
  <si>
    <t>최익현선생묘</t>
  </si>
  <si>
    <t>*테이 그리다</t>
  </si>
  <si>
    <t>https://m.place.naver.com/accommodation/2039590674/home?entry=pll&amp;businessCategory=guesthouse</t>
  </si>
  <si>
    <t>홍성 전통 숙소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</si>
  <si>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4.[*테이 그리다]플레이스를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{ㅊㅁㅅ}
정답 : &lt;3&gt; 글자
* 정답란에 띄어쓰기 없이 입력 후 제출해주세요.</t>
  </si>
  <si>
    <t>철마산</t>
  </si>
  <si>
    <t>발머스한의원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</si>
  <si>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강남]플레이스를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{ㅇㅎㄴㅁㄱㅇ}
정답 : &lt;6&gt; 글자
* 정답란에 띄어쓰기 없이 입력 후 제출해주세요.</t>
  </si>
  <si>
    <t>은행나무공원</t>
  </si>
  <si>
    <t>**스한의원 강남</t>
  </si>
  <si>
    <t>https://m.place.naver.com/hospital/13224435/home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</si>
  <si>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광주]플레이스를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{ㅇㅊㅈㅅㅈ}
정답 : &lt;5&gt; 글자
* 정답란에 띄어쓰기 없이 입력 후 제출해주세요.</t>
  </si>
  <si>
    <t>운천저수지</t>
  </si>
  <si>
    <t>**스한의원 광주</t>
  </si>
  <si>
    <t>https://m.place.naver.com/hospital/21171987/home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</si>
  <si>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노원]플레이스를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{ㅇㅊㄱㄹㄱㅇ}
정답 : &lt;6&gt; 글자
* 정답란에 띄어쓰기 없이 입력 후 제출해주세요.</t>
  </si>
  <si>
    <t>월천근린공원</t>
  </si>
  <si>
    <t>**스한의원 노원</t>
  </si>
  <si>
    <t>https://m.place.naver.com/hospital/31761815/home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</si>
  <si>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대구]플레이스를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{ㅁㅊㅊㅇㄱㅇ}
정답 : &lt;6&gt; 글자
* 정답란에 띄어쓰기 없이 입력 후 제출해주세요.</t>
  </si>
  <si>
    <t>만촌체육공원</t>
  </si>
  <si>
    <t>**스한의원 대구</t>
  </si>
  <si>
    <t>https://m.place.naver.com/hospital/19886130/home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</si>
  <si>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목동]플레이스를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{ㅈㅅㄱㅇ}
정답 : &lt;4&gt; 글자
* 정답란에 띄어쓰기 없이 입력 후 제출해주세요.</t>
  </si>
  <si>
    <t>장수공원</t>
  </si>
  <si>
    <t>**스한의원 목동</t>
  </si>
  <si>
    <t>https://m.place.naver.com/hospital/13484833/home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</si>
  <si>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부산서면]플레이스를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{ㅈㅍㅋㅍㄱㄹ}
정답 : &lt;6&gt; 글자
* 정답란에 띄어쓰기 없이 입력 후 제출해주세요.</t>
  </si>
  <si>
    <t>전포카페거리</t>
  </si>
  <si>
    <t>**스한의원 부산서면</t>
  </si>
  <si>
    <t>https://m.place.naver.com/hospital/13269275/home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</si>
  <si>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부산연산]플레이스를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{ㄷㄹㅍㅊ}
정답 : &lt;4&gt; 글자
* 정답란에 띄어쓰기 없이 입력 후 제출해주세요.</t>
  </si>
  <si>
    <t>**스한의원 부산연산</t>
  </si>
  <si>
    <t>https://m.place.naver.com/hospital/36816726/home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</si>
  <si>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4.[*당새로이치과의원]플레이스를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{ㅅㅎㅈㅅㅈ}
정답 : &lt;5&gt; 글자
* 정답란에 띄어쓰기 없이 입력 후 제출해주세요.</t>
  </si>
  <si>
    <t>서현저수지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</si>
  <si>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4.[*당새로이치과의원]플레이스를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{ㅅㅎㅊㄱㄹ}
정답 : &lt;5&gt; 글자
* 정답란에 띄어쓰기 없이 입력 후 제출해주세요.</t>
  </si>
  <si>
    <t>신해철거리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</si>
  <si>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4.[*당새로이치과의원]플레이스를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{ㅅㅎㅅㅂㅁㅈㄱㄹ}
정답 : &lt;8&gt; 글자
* 정답란에 띄어쓰기 없이 입력 후 제출해주세요.</t>
  </si>
  <si>
    <t>서현시범맛집거리</t>
  </si>
  <si>
    <t>용인 기흥구 스카이차 2014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</si>
  <si>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4.[*카이차]플레이스를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{ㅅㄱㄱㅇ}
정답 : &lt;4&gt; 글자
* 정답란에 띄어쓰기 없이 입력 후 제출해주세요.</t>
  </si>
  <si>
    <t>석교공원</t>
  </si>
  <si>
    <t>*카이차</t>
  </si>
  <si>
    <t>https://m.place.naver.com/place/1116948835/home</t>
  </si>
  <si>
    <t>https://docs.google.com/spreadsheets/d/1Wynk0CakuCE08JuP0WcgSUIgq6Cqe3oPEbvCrXr5Vco/edit?gid=1377950760#gid=1377950760</t>
  </si>
  <si>
    <t>용인 동백죽전대로 스카이차</t>
  </si>
  <si>
    <t>용인 동백죽전대로 스카이차 예약</t>
  </si>
  <si>
    <t>용인 동백죽전대로 스카이차 추천</t>
  </si>
  <si>
    <t>용인 동백죽전대로 중장비 스카이차</t>
  </si>
  <si>
    <t>정선 누리한우촌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</si>
  <si>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4.[*리한우촌]플레이스를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{ㅈㅇㅅㅈㅁㅂㄱ}
정답 : &lt;7&gt; 글자
* 정답란에 띄어쓰기 없이 입력 후 제출해주세요.</t>
  </si>
  <si>
    <t>정암사적멸보궁</t>
  </si>
  <si>
    <t>*리한우촌</t>
  </si>
  <si>
    <t>https://m.place.naver.com/restaurant/37249679/home</t>
  </si>
  <si>
    <t>고한읍 누리한우촌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</si>
  <si>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4.[*리한우촌]플레이스를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{ㅈㅇㅅ}
정답 : &lt;3&gt; 글자
* 정답란에 띄어쓰기 없이 입력 후 제출해주세요.</t>
  </si>
  <si>
    <t>정암사</t>
  </si>
  <si>
    <t>정선 하이원 누리한우촌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</si>
  <si>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4.[*리한우촌]플레이스를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{ㅅㅂㅇㅂㅇㅎ}
정답 : &lt;6&gt; 글자
* 정답란에 띄어쓰기 없이 입력 후 제출해주세요.</t>
  </si>
  <si>
    <t>사북읍번영회</t>
  </si>
  <si>
    <t>광교중앙역미용실 에잇디헤어 광교중앙역점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</si>
  <si>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4.[*잇디헤어 광교중앙역점]플레이스를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{ㄱㄱㅈㅇㄱㅇ}
정답 : &lt;6&gt; 글자
* 정답란에 띄어쓰기 없이 입력 후 제출해주세요.</t>
  </si>
  <si>
    <t>광교중앙공원</t>
  </si>
  <si>
    <t>*잇디헤어 광교중앙역점</t>
  </si>
  <si>
    <t>https://m.place.naver.com/hairshop/1103916356/home?entry=plt</t>
  </si>
  <si>
    <t>수원 에잇디헤어 광교중앙역점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</si>
  <si>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4.[*잇디헤어 광교중앙역점]플레이스를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{ㄱㄱㅇㅅㄱㅇ}
정답 : &lt;6&gt; 글자
* 정답란에 띄어쓰기 없이 입력 후 제출해주세요.</t>
  </si>
  <si>
    <t>광교역사공원</t>
  </si>
  <si>
    <t>영통구 에잇디헤어 광교중앙역점 컷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</si>
  <si>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4.[*잇디헤어 광교중앙역점]플레이스를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{ㅅㅂㅅㄱㅇ}
정답 : &lt;5&gt; 글자
* 정답란에 띄어쓰기 없이 입력 후 제출해주세요.</t>
  </si>
  <si>
    <t>솔밭산공원</t>
  </si>
  <si>
    <t>명동 베스트 상품권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</si>
  <si>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4.[*동베스트상품권]플레이스를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{ㄱㅂㅇㅈㅌ}
정답 : &lt;5&gt; 글자
* 정답란에 띄어쓰기 없이 입력 후 제출해주세요.</t>
  </si>
  <si>
    <t>김범우집터</t>
  </si>
  <si>
    <t>*동베스트상품권</t>
  </si>
  <si>
    <t>https://m.place.naver.com/place/2087834664/home?entry=pll</t>
  </si>
  <si>
    <t>https://docs.google.com/spreadsheets/d/1RFvPpzfQdzdVIpuyoKnwOeDKJW3DzSNwR3IBKsydHrs/edit?gid=660499782#gid=660499782</t>
  </si>
  <si>
    <t>명동 상품권 베스트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</si>
  <si>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4.[*동베스트상품권]플레이스를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{ㄴㅅㅇㄱㅅ}
정답 : &lt;5&gt; 글자
* 정답란에 띄어쓰기 없이 입력 후 제출해주세요.</t>
  </si>
  <si>
    <t>남산인권숲</t>
  </si>
  <si>
    <t>중구 상품권 베스트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</si>
  <si>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4.[*동베스트상품권]플레이스를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{ㅎㄱㅇ}
정답 : &lt;3&gt; 글자
* 정답란에 띄어쓰기 없이 입력 후 제출해주세요.</t>
  </si>
  <si>
    <t>황궁우</t>
  </si>
  <si>
    <t>중구 베스트 상품권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</si>
  <si>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4.[*동베스트상품권]플레이스를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{ㄴㅅㄱㅇㅎㅎㄷ}
정답 : &lt;7&gt; 글자
* 정답란에 띄어쓰기 없이 입력 후 제출해주세요.</t>
  </si>
  <si>
    <t>남산공원호현당</t>
  </si>
  <si>
    <t>중구 명동 베스트 상품권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</si>
  <si>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4.[*동베스트상품권]플레이스를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{ㄴㅅㅅㅊㄹ}
정답 : &lt;5&gt; 글자
* 정답란에 띄어쓰기 없이 입력 후 제출해주세요.</t>
  </si>
  <si>
    <t>남산산책로</t>
  </si>
  <si>
    <t>제주공항 바다 생선 횟집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</si>
  <si>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4.[*다한상 제주]플레이스를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{ㅂㄹㅇㅊ}
정답 : &lt;4&gt; 글자
* 정답란에 띄어쓰기 없이 입력 후 제출해주세요.</t>
  </si>
  <si>
    <t>부림온천</t>
  </si>
  <si>
    <t>*다한상 제주</t>
  </si>
  <si>
    <t>https://m.place.naver.com/restaurant/2021595582/home</t>
  </si>
  <si>
    <t>제주공항 연동 바다 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</si>
  <si>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4.[*다한상 제주]플레이스를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{ㅇㅎㅅ}
정답 : &lt;3&gt; 글자
* 정답란에 띄어쓰기 없이 입력 후 제출해주세요.</t>
  </si>
  <si>
    <t>경산 미용실 오니브헤어 옥곡점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</si>
  <si>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4.[*니브헤어 옥곡점]플레이스를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{ㅅㅇㅇㅊ}
정답 : &lt;4&gt; 글자
* 정답란에 띄어쓰기 없이 입력 후 제출해주세요.</t>
  </si>
  <si>
    <t>시월온천</t>
  </si>
  <si>
    <t>*니브헤어 옥곡점</t>
  </si>
  <si>
    <t>https://m.place.naver.com/hairshop/889895041/home</t>
  </si>
  <si>
    <t>경산 오니브헤어 옥곡점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</si>
  <si>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4.[*니브헤어 옥곡점]플레이스를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{ㄴㅁㄱㅇ}
정답 : &lt;4&gt; 글자
* 정답란에 띄어쓰기 없이 입력 후 제출해주세요.</t>
  </si>
  <si>
    <t>남매공원</t>
  </si>
  <si>
    <t>경산 옥곡동 오니브헤어 옥곡점 컷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</si>
  <si>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4.[*니브헤어 옥곡점]플레이스를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{ㄱㅅㅈㅇㅁㄷ}
정답 : &lt;6&gt; 글자
* 정답란에 띄어쓰기 없이 입력 후 제출해주세요.</t>
  </si>
  <si>
    <t>경산자연마당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</si>
  <si>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4.[*니브헤어 옥곡점]플레이스를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{ㄷㅅㄷㅎㄱ}
정답 : &lt;5&gt; 글자
* 정답란에 띄어쓰기 없이 입력 후 제출해주세요.</t>
  </si>
  <si>
    <t>대신대학교</t>
  </si>
  <si>
    <t>경산역 오니브헤어 옥곡점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</si>
  <si>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4.[*니브헤어 옥곡점]플레이스를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{ㄴㅁㅈ}
정답 : &lt;3&gt; 글자
* 정답란에 띄어쓰기 없이 입력 후 제출해주세요.</t>
  </si>
  <si>
    <t>남매지</t>
  </si>
  <si>
    <t>경산역 오니브헤어 옥곡점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</si>
  <si>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4.[*니브헤어 옥곡점]플레이스를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{ㅁㅁㅁㄱㅇ}
정답 : &lt;5&gt; 글자
* 정답란에 띄어쓰기 없이 입력 후 제출해주세요.</t>
  </si>
  <si>
    <t>말매못공원</t>
  </si>
  <si>
    <t>일산강아지분양 반려견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</si>
  <si>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4.[***심분양센터 강아지분양 고양이분양 일산점]플레이스를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{ㅂㅅㄱㅇ}
정답 : &lt;4&gt; 글자
* 정답란에 띄어쓰기 없이 입력 후 제출해주세요.</t>
  </si>
  <si>
    <t>백석공원</t>
  </si>
  <si>
    <t>***심분양센터 강아지분양 고양이분양 일산점</t>
  </si>
  <si>
    <t>https://m.place.naver.com/place/1936954856/home</t>
  </si>
  <si>
    <t>일산강아지분양 안심센터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</si>
  <si>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4.[***심분양센터 강아지분양 고양이분양 일산점]플레이스를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{ㅇㅊㄱㅇ}
정답 : &lt;4&gt; 글자
* 정답란에 띄어쓰기 없이 입력 후 제출해주세요.</t>
  </si>
  <si>
    <t>용천공원</t>
  </si>
  <si>
    <t>광안리 고등어봉초밥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</si>
  <si>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4.[*치가]플레이스를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{ㅇㄹㅅㅇ}
정답 : &lt;4&gt; 글자
* 정답란에 띄어쓰기 없이 입력 후 제출해주세요.</t>
  </si>
  <si>
    <t>옥련선원</t>
  </si>
  <si>
    <t>*치가</t>
  </si>
  <si>
    <t>https://m.place.naver.com/restaurant/1145313704/home</t>
  </si>
  <si>
    <t>광안리 고등어봉초밥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</si>
  <si>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4.[*치가]플레이스를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{ㅂㅅ}
정답 : &lt;2&gt; 글자
* 정답란에 띄어쓰기 없이 입력 후 제출해주세요.</t>
  </si>
  <si>
    <t>백산</t>
  </si>
  <si>
    <t>광안리 이자카야 술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</si>
  <si>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4.[*치가]플레이스를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{ㅊㅇㄷ}
정답 : &lt;3&gt; 글자
* 정답란에 띄어쓰기 없이 입력 후 제출해주세요.</t>
  </si>
  <si>
    <t>첨이대</t>
  </si>
  <si>
    <t>부평시장역 꽃집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</si>
  <si>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4.[*들의집]플레이스를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{ㅂㅇㄱㅇ}
정답 : &lt;4&gt; 글자
* 정답란에 띄어쓰기 없이 입력 후 제출해주세요.</t>
  </si>
  <si>
    <t>부영공원</t>
  </si>
  <si>
    <t>*들의집</t>
  </si>
  <si>
    <t>https://m.place.naver.com/place/1053338587/home</t>
  </si>
  <si>
    <t>부평시장역 꽃집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</si>
  <si>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4.[*들의집]플레이스를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</si>
  <si>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세영공원</t>
  </si>
  <si>
    <t>부평시장역 꽃집 꽃다발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</si>
  <si>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4.[*들의집]플레이스를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{ㅅㅌㄴㅇㄱㅇ}
정답 : &lt;6&gt; 글자
* 정답란에 띄어쓰기 없이 입력 후 제출해주세요.</t>
  </si>
  <si>
    <t>쉼터놀이공원</t>
  </si>
  <si>
    <t>부평시장역 꽃다발 예약</t>
  </si>
  <si>
    <t>부이공원</t>
  </si>
  <si>
    <t>부평 꽃들의집 꽃배달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</si>
  <si>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4.[*들의집]플레이스를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{ㄷㅊㄱㅇ}
정답 : &lt;4&gt; 글자
* 정답란에 띄어쓰기 없이 입력 후 제출해주세요.</t>
  </si>
  <si>
    <t>대촌공원</t>
  </si>
  <si>
    <t>이태원 곱도리탕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</si>
  <si>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4.[*번째집]플레이스를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{ㅎㄴㅁㄱ}
정답 : &lt;4&gt; 글자
* 정답란에 띄어쓰기 없이 입력 후 제출해주세요.</t>
  </si>
  <si>
    <t>회나무길</t>
  </si>
  <si>
    <t>*번째집</t>
  </si>
  <si>
    <t>https://m.place.naver.com/restaurant/1651146709/home</t>
  </si>
  <si>
    <t>이태원 곱도리탕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</si>
  <si>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4.[*번째집]플레이스를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{ㅎㄴㄷㅋㅍㄱㄹ}
정답 : &lt;7&gt; 글자
* 정답란에 띄어쓰기 없이 입력 후 제출해주세요.</t>
  </si>
  <si>
    <t>한남동카페거리</t>
  </si>
  <si>
    <t>이태원 곱도리탕 주점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</si>
  <si>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4.[*번째집]플레이스를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{ㅎㅂㅊ}
정답 : &lt;3&gt; 글자
* 정답란에 띄어쓰기 없이 입력 후 제출해주세요.</t>
  </si>
  <si>
    <t>해방촌</t>
  </si>
  <si>
    <t>이태원 차돌떡볶이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</si>
  <si>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4.[*번째집]플레이스를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{ㄴㅅㅇㅇㅅㅁㅇ}
정답 : &lt;7&gt; 글자
* 정답란에 띄어쓰기 없이 입력 후 제출해주세요.</t>
  </si>
  <si>
    <t>남산야외식물원</t>
  </si>
  <si>
    <t>이태원 차돌떡볶이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</si>
  <si>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4.[*번째집]플레이스를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{ㅇㅅㄱㅇ}
정답 : &lt;4&gt; 글자
* 정답란에 띄어쓰기 없이 입력 후 제출해주세요.</t>
  </si>
  <si>
    <t>용산공원</t>
  </si>
  <si>
    <t>WEB</t>
  </si>
  <si>
    <r>
      <rPr>
        <sz val="0"/>
        <color theme="1"/>
        <rFont val="Arial"/>
      </rPr>
      <t>미션 수행하며,
리워드 즉시 적립 받으세요!
1. 하단 [검색어 복사하기] 버튼을 클릭 하고, 키워드를 복사해주세요.
2. [힌트 보기] 버튼을 클릭해서</t>
    </r>
    <r>
      <rPr>
        <sz val="0"/>
        <color rgb="FFFF0000"/>
        <rFont val="Arial"/>
      </rPr>
      <t xml:space="preserve"> 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[*험팩][*러풀테이블] [*벽배송] *러드 *기배송 *린지 *기배송 *kg, *개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컬러풀 테이블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</si>
  <si>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02-27(금) 기입</t>
  </si>
  <si>
    <t>컬러풀 테이블</t>
  </si>
  <si>
    <t>https://smartstore.naver.com/colorfull_table/products/8153100399</t>
  </si>
  <si>
    <t>https://docs.google.com/spreadsheets/d/1Jcy-M1Tkt2K38N9je7W56kgF8V9r4DQsrVITzeJ6oIU/edit?gid=484401253#gid=484401253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</si>
  <si>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[*험팩][*러풀테이블] [*벽배송] *러드 *기배송 *린지 *기배송 *kg, *개
</t>
    </r>
    <r>
      <rPr>
        <sz val="0"/>
        <color rgb="FFFF0000"/>
        <rFont val="Arial"/>
      </rPr>
      <t xml:space="preserve">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컬러풀 테이블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</si>
  <si>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[*험팩][*러풀테이블] [*벽배송] *러드 *기배송 *린지 *기배송 *kg, *개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컬러풀 테이블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</si>
  <si>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[*험팩][*러풀테이블] [*벽배송] *러드 *기배송 *린지 *기배송 *kg, *개
 ( '광고' 클릭 절대 금지 )
 ▶판매처 : 컬러풀 테이블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</si>
  <si>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137개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</si>
  <si>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[*험팩][*러풀테이블] [*벽배송] *러드 *기배송 *린지 *기배송 *kg, *개
 ( '광고' 클릭 절대 금지 )
 ▶판매처 : 컬러풀 테이블
 5. 찜하기 클릭
 6. 바로가기 클릭
 7. 상품 클릭
 8. 링크(url) 복사 후 정답에 붙여넣기 후 제출</t>
    </r>
  </si>
  <si>
    <t>복합유입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</si>
  <si>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</si>
  <si>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https://m.search.naver.com/search.naver?sm=mtp_sug.top&amp;where=m&amp;query=청첩장+Bonne+Yajou+하객&amp;ackey=mbauljxv&amp;acq=종이&amp;acr=2&amp;qdt=0</t>
  </si>
  <si>
    <t>Bonne Yajou</t>
  </si>
  <si>
    <t>https://smartstore.naver.com/bonneyajou/products/12584036947</t>
  </si>
  <si>
    <t>https://docs.google.com/spreadsheets/d/15a3MfxY9WXvShR7UbxoUraaidVVUDS1yLJ7d5XA4N-Q/edit?gid=1138325825#gid=1138325825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</si>
  <si>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</si>
  <si>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https://m.search.naver.com/search.naver?sm=mtp_sug.top&amp;where=m&amp;query=웨딩+청첩장+Bonne+Yajou&amp;ackey=mbauljxv&amp;acq=볼펜&amp;acr=3&amp;qdt=0</t>
  </si>
  <si>
    <r>
      <rPr>
        <u/>
        <sz val="0"/>
        <color rgb="FF1155CC"/>
        <rFont val="Arial"/>
      </rPr>
      <t>https://smartstore.naver.com/bonneyajou/products/12584036947</t>
    </r>
    <r>
      <rPr>
        <u/>
        <sz val="0"/>
        <color rgb="FF1155CC"/>
        <rFont val="Arial"/>
      </rPr>
      <t>7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</si>
  <si>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</si>
  <si>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https://m.search.naver.com/search.naver?sm=mtp_sug.top&amp;where=m&amp;query=하객청첩장+Bonne+Yajou&amp;ackey=mbauljxv&amp;acq=결혼&amp;acr=4&amp;qdt=0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</si>
  <si>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</si>
  <si>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https://m.search.naver.com/search.naver?sm=mtp_sug.top&amp;where=m&amp;query=리마인드+청첩장+Bonne+Yajou&amp;ackey=mbauljxv&amp;acq=꽃&amp;acr=6&amp;qdt=0</t>
  </si>
  <si>
    <t>462개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</si>
  <si>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Bonne Yajou
 5. 찜하기 클릭
 6. 바로가기 클릭
 7. 상품 클릭
 8. 링크(url) 복사 후 정답에 붙여넣기 후 제출</t>
    </r>
  </si>
  <si>
    <t>https://m.search.naver.com/search.naver?sm=mtp_sug.top&amp;where=m&amp;query=청첩장+Bonne+Yajou&amp;ackey=mbauljxv&amp;acq=의자&amp;acr=7&amp;qdt=0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</si>
  <si>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열두시간식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</si>
  <si>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https://m.search.naver.com/search.naver?sm=mtp_sug.top&amp;where=m&amp;query=단백질+스낵+오븐&amp;ackey=mbauljxv&amp;acq=과자&amp;acr=5&amp;qdt=0</t>
  </si>
  <si>
    <t>열두시간식</t>
  </si>
  <si>
    <t>https://smartstore.naver.com/1200snack_/products/10452871116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</si>
  <si>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( '광고' 클릭 절대 금지 )
 ▶판매처 : 열두시간식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</si>
  <si>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https://m.search.naver.com/search.naver?sm=mtp_sug.top&amp;where=m&amp;query=단백질+스낵+오븐에+구운&amp;ackey=mbauljxv&amp;acq=식품&amp;acr=5&amp;qdt=0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</si>
  <si>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( '광고' 클릭 절대 금지 )
 ▶판매처 : 열두시간식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</si>
  <si>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https://m.search.naver.com/search.naver?sm=mtp_sug.top&amp;where=m&amp;query=단백질+스낵+저칼로리&amp;ackey=mbauljxv&amp;acq=탄수화물&amp;acr=6&amp;qdt=0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</si>
  <si>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( '광고' 클릭 절대 금지 )
 ▶판매처 : 열두시간식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</si>
  <si>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https://m.search.naver.com/search.naver?sm=mtp_sug.top&amp;where=m&amp;query=단백질+스낵+꾸오닭&amp;ackey=mbauljxv&amp;acq=지방&amp;acr=2&amp;qdt=0</t>
  </si>
  <si>
    <t>379개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</si>
  <si>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*븐에 *운 *칼로리 *가슴살 *백질 *낵 *오닭
 ( '광고' 클릭 절대 금지 )
 ▶판매처 : 열두시간식
 5. 찜하기 클릭
 6. 바로가기 클릭 
 7. 상품 클릭
 8. 링크(url) 복사 후 정답에 붙여넣기 후 제출</t>
    </r>
  </si>
  <si>
    <t>https://m.search.naver.com/search.naver?sm=mtp_sug.top&amp;where=m&amp;query=단백질+스낵+닭가슴살&amp;ackey=mbauljxv&amp;acq=운동&amp;acr=1&amp;qdt=0</t>
  </si>
  <si>
    <t>맘카페 홍보 YMAD 사이트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</si>
  <si>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"www.ymad.co.kr"을 찾아주세요.
5. "종합 온라인 마케팅 에이전시 와이엠애드 YMAD"를 클릭해주세요.
6. 사이트 방문 후 제일 하단으로 이동해주세요.
7. [ 힌트 ] 를 보고 정답을 찾아주세요.
8. 초성힌트 : [ 사업장 소재지: 충청남도 아산시 배방읍 OOOOO 43 (퍼시픽빌딩) 502호 ]
정답 : &lt;5&gt;  글자
* 정답란에 - 포함하여 띄어쓰기 없이 입력 후 제출해주세요.</t>
  </si>
  <si>
    <t>고속철대로</t>
  </si>
  <si>
    <t>와이엠애드</t>
  </si>
  <si>
    <t>https://www.ymad.co.kr/</t>
  </si>
  <si>
    <t>https://docs.google.com/spreadsheets/d/1r0xoFEwytZNs0vRpPft0V-qfHqvIR_e_74OrNN-mAuE/edit?gid=0#gid=0</t>
  </si>
  <si>
    <t>.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</si>
  <si>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</si>
  <si>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https://m.search.naver.com/search.naver?sm=mtp_sug.top&amp;where=m&amp;query=답례품+비누+돌잔치&amp;ackey=mbauljxv&amp;acq=꽃다발&amp;acr=2&amp;qdhht=0</t>
  </si>
  <si>
    <t>온비다</t>
  </si>
  <si>
    <t>https://smartstore.naver.com/soap_0322/products/12589486421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</si>
  <si>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</si>
  <si>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https://m.search.naver.com/search.naver?sm=mtp_sug.top&amp;where=m&amp;query=답례품+비누+결혼&amp;ackey=mbauljxv&amp;acq=돌잔치&amp;acr=4&amp;qdt=0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</si>
  <si>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</si>
  <si>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https://m.search.naver.com/search.naver?sm=mtp_sug.top&amp;where=m&amp;query=답례품+비누+하와이꽃&amp;ackey=mbauljxv&amp;acq=샤워호스&amp;acr=5&amp;qdt=0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</si>
  <si>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</si>
  <si>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https://m.search.naver.com/search.naver?sm=mtp_sug.top&amp;where=m&amp;query=답례품+비누+플루메리아&amp;ackey=8g2gfuq5&amp;acq=선물&amp;acr=3&amp;qdt=0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</si>
  <si>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</si>
  <si>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https://m.search.naver.com/search.naver?sm=mtp_sug.top&amp;where=m&amp;query=답례품+비누+하와이&amp;ackey=8g2gfuq5&amp;acq=비누&amp;acr=7&amp;qdt=0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</si>
  <si>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</si>
  <si>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https://m.search.naver.com/search.naver?sm=mtp_sug.top&amp;where=m&amp;query=쇼핑백+제작+관공서+병원+치과+200매&amp;ackey=mbauljxv&amp;acq=잉크&amp;acr=2&amp;qdt=0</t>
  </si>
  <si>
    <t>인쇄공장</t>
  </si>
  <si>
    <t>https://smartstore.naver.com/future_integration/products/7362295626</t>
  </si>
  <si>
    <t>https://docs.google.com/spreadsheets/d/1dFFQkBpa_P_zGqKCzuXlPJQo36NixvahWf6k7EcUDTc/edit?gid=0#gid=0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</si>
  <si>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</si>
  <si>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https://m.search.naver.com/search.naver?sm=mtp_sug.top&amp;where=m&amp;query=쇼핑백+제작+관공서+병원+치과&amp;ackey=mbauljxv&amp;acq=종이&amp;acr=3&amp;qdt=0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</si>
  <si>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</si>
  <si>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https://m.search.naver.com/search.naver?sm=mtp_sug.top&amp;where=m&amp;query=쇼핑백+제작+소량+관공서+200매&amp;ackey=mbauljxv&amp;acq=인쇄&amp;acr=4&amp;qdt=0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</si>
  <si>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</si>
  <si>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https://m.search.naver.com/search.naver?sm=mtp_sug.top&amp;where=m&amp;query=쇼핑백+제작+초고속+맞춤&amp;ackey=mbauljxv&amp;acq=컴퓨터&amp;acr=5&amp;qdt=0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</si>
  <si>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</si>
  <si>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https://m.search.naver.com/search.naver?sm=mtp_sug.top&amp;where=m&amp;query=쇼핑백+제작+빠른+종이가방&amp;ackey=mbauljxv&amp;acq=마우스&amp;acr=3&amp;qdt=0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</si>
  <si>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</si>
  <si>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https://m.search.naver.com/search.naver?sm=mtp_sug.top&amp;where=m&amp;query=자석+전단지+음식점&amp;ackey=mbauljxv&amp;acq=종이&amp;acr=2&amp;qdt=0</t>
  </si>
  <si>
    <t>다잇다인쇄</t>
  </si>
  <si>
    <t>https://smartstore.naver.com/idbag/products/6275745194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</si>
  <si>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</si>
  <si>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https://m.search.naver.com/search.naver?sm=mtp_sug.top&amp;where=m&amp;query=자석+전단지+홍보지+소량제작&amp;ackey=mbauljxv&amp;acq=가격&amp;acr=3&amp;qdt=0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</si>
  <si>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</si>
  <si>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https://m.search.naver.com/search.naver?sm=mtp_sug.top&amp;where=m&amp;query=자석+전단지+종이자석&amp;ackey=mbauljxv&amp;acq=음식&amp;acr=4&amp;qdt=0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</si>
  <si>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</si>
  <si>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https://m.search.naver.com/search.naver?sm=mtp_sug.top&amp;where=m&amp;query=자석+전단지+부동산&amp;ackey=mbauljxv&amp;acq=명함&amp;acr=6&amp;qdt=0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</si>
  <si>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</si>
  <si>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https://m.search.naver.com/search.naver?sm=mtp_sug.top&amp;where=m&amp;query=자석+전단지+전단+1000매&amp;ackey=mbauljxv&amp;acq=문구&amp;acr=2&amp;qdt=0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</si>
  <si>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</t>
    </r>
    <r>
      <rPr>
        <sz val="0"/>
        <color rgb="FFFF0000"/>
        <rFont val="Arial"/>
      </rPr>
      <t xml:space="preserve">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</si>
  <si>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https://m.search.naver.com/search.naver?sm=mtp_sug.top&amp;where=m&amp;query=홍삼정+프리미엄+스틱+10g&amp;ackey=mbauljxv&amp;acq=건강&amp;acr=2&amp;qdt=0</t>
  </si>
  <si>
    <t>진생가 몰</t>
  </si>
  <si>
    <t>https://search.shopping.naver.com/catalog/51929040788</t>
  </si>
  <si>
    <t>가격비교</t>
  </si>
  <si>
    <t>https://docs.google.com/spreadsheets/d/1G4zKZONoBWm2TUZZ0-wITxP2K9G5tQ3wMl1fv4wzpKE/edit?gid=0#gid=0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</si>
  <si>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</si>
  <si>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https://m.search.naver.com/search.naver?sm=mtp_sug.top&amp;where=m&amp;query=홍삼정+프리미엄+스틱+30포&amp;ackey=mbauljxv&amp;acq=병원&amp;acr=3&amp;qdt=0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</si>
  <si>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</si>
  <si>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https://m.search.naver.com/search.naver?sm=mtp_sug.top&amp;where=m&amp;query=홍삼정+10g+30포+1개&amp;ackey=mbauljxv&amp;acq=약국&amp;acr=4&amp;qdt=0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</si>
  <si>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</si>
  <si>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https://m.search.naver.com/search.naver?sm=mtp_sug.top&amp;where=m&amp;query=홍삼정+10g+30포&amp;ackey=mbauljxv&amp;acq=산삼&amp;acr=6&amp;qdt=0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</si>
  <si>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</si>
  <si>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https://m.search.naver.com/search.naver?sm=mtp_sug.top&amp;where=m&amp;query=홍삼정+프리미엄+스틱&amp;ackey=mbauljxv&amp;acq=장내삼&amp;acr=7&amp;qdt=0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</si>
  <si>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</si>
  <si>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https://m.search.naver.com/search.naver?sm=mtp_sug.top&amp;where=m&amp;query=어린이+홍삼+키즈로운+건강식품&amp;ackey=mbauljxv&amp;acq=병원&amp;acr=2&amp;qdt=0</t>
  </si>
  <si>
    <t>https://search.shopping.naver.com/catalog/51929539735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</si>
  <si>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</si>
  <si>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https://m.search.naver.com/search.naver?sm=mtp_sug.top&amp;where=m&amp;query=어린이+홍삼+30포+1개&amp;ackey=mbauljxv&amp;acq=비타민&amp;acr=3&amp;qdt=0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</si>
  <si>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</si>
  <si>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https://m.search.naver.com/search.naver?sm=mtp_sug.top&amp;where=m&amp;query=어린이+홍삼+1개&amp;ackey=mbauljxv&amp;acq=한의원&amp;acr=6&amp;qdt=0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</si>
  <si>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</si>
  <si>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https://m.search.naver.com/search.naver?sm=mtp_sug.top&amp;where=m&amp;query=어린이+홍삼+30포+1개+추천&amp;ackey=mbauljxv&amp;acq=산삼&amp;acr=4&amp;qdt=0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</si>
  <si>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</si>
  <si>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https://m.search.naver.com/search.naver?sm=mtp_sug.top&amp;where=m&amp;query=어린이+홍삼+1개+추천&amp;ackey=mbauljxv&amp;acq=철분제&amp;acr=5&amp;qdt=0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</si>
  <si>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</si>
  <si>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https://m.search.naver.com/search.naver?sm=mtp_sug.top&amp;where=m&amp;query=임산부+비타민D+1000IU+유기농+D3&amp;ackey=mbauljxv&amp;acq=육아&amp;acr=2&amp;qdt=0</t>
  </si>
  <si>
    <t>셀가</t>
  </si>
  <si>
    <t>https://smartstore.naver.com/cellga/products/6058614536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</si>
  <si>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</si>
  <si>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https://m.search.naver.com/search.naver?sm=mtp_sug.top&amp;where=m&amp;query=임산부+비타민D+1000IU+D3&amp;ackey=mbauljxv&amp;acq=기저귀&amp;acr=3&amp;qdt=0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</si>
  <si>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</si>
  <si>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https://m.search.naver.com/search.naver?sm=mtp_sug.top&amp;where=m&amp;query=임산부+비타민D+D3+유기농&amp;ackey=mbauljxv&amp;acq=홍삼&amp;acr=3&amp;qdt=0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</si>
  <si>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</si>
  <si>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https://m.search.naver.com/search.naver?sm=mtp_sug.top&amp;where=m&amp;query=임산부+비타민D+유기농+1000IU+D3&amp;ackey=mbauljxv&amp;acq=면역&amp;acr=6&amp;qdt=0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</si>
  <si>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</si>
  <si>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https://m.search.naver.com/search.naver?sm=mtp_sug.top&amp;where=m&amp;query=임산부+비타민D+D3+1000IU&amp;ackey=mbauljxv&amp;acq=건강&amp;acr=7&amp;qdt=0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</si>
  <si>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</si>
  <si>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https://m.search.naver.com/search.naver?sm=mtp_sug.top&amp;where=m&amp;query=하객블라우스+핏보장+결혼식&amp;ackey=mbauljxv&amp;acq=양말&amp;acr=2&amp;qdt=0</t>
  </si>
  <si>
    <t>리비아레나</t>
  </si>
  <si>
    <t>https://smartstore.naver.com/liviarena/products/13125571285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</si>
  <si>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</si>
  <si>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https://m.search.naver.com/search.naver?sm=mtp_sug.top&amp;where=m&amp;query=하객블라우스+핏보장+라인&amp;ackey=mbauljxv&amp;acq=장갑&amp;acr=3&amp;qdt=0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</si>
  <si>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</si>
  <si>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https://m.search.naver.com/search.naver?sm=mtp_sug.top&amp;where=m&amp;query=하객블라우스+핏보장+라인+셔링&amp;ackey=mbauljxv&amp;acq=모자&amp;acr=4&amp;qdt=0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</si>
  <si>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</si>
  <si>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https://m.search.naver.com/search.naver?sm=mtp_sug.top&amp;where=m&amp;query=하객블라우스+루즈핏+핏보장+라인&amp;ackey=mbauljxv&amp;acq=모자&amp;acr=4&amp;qdt=0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</si>
  <si>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</si>
  <si>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https://m.search.naver.com/search.naver?sm=mtp_sug.top&amp;where=m&amp;query=하객블라우스+핏보장+라인+결혼식&amp;ackey=mbauljxv&amp;acq=모자&amp;acr=4&amp;qdt=0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</si>
  <si>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</si>
  <si>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https://m.search.naver.com/search.naver?sm=mtp_sug.top&amp;where=m&amp;query=리클라이너+아이보리+4인용+패브릭&amp;ackey=mbauljxv&amp;acq=도끼&amp;acr=6&amp;qdt=0</t>
  </si>
  <si>
    <t>세이홈 - SAYHOME</t>
  </si>
  <si>
    <t>https://smartstore.naver.com/say-home/products/11744470676</t>
  </si>
  <si>
    <t>https://docs.google.com/spreadsheets/d/1DTn5nnIuS4ZWa79pKYcxxSz2Yehpe3xE_XjIPZTGtU8/edit?gid=0#gid=0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</si>
  <si>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</si>
  <si>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https://m.search.naver.com/search.naver?sm=mtp_sug.top&amp;where=m&amp;query=리클라이너+아이보리+4인용+소파&amp;ackey=mbauljxv&amp;acq=식칼&amp;acr=5&amp;qdt=0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</si>
  <si>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</si>
  <si>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https://m.search.naver.com/search.naver?sm=mtp_sug.top&amp;where=m&amp;query=리클라이너+패브릭+세이홈&amp;ackey=mbauljxv&amp;acq=나무&amp;acr=2&amp;qdt=0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</si>
  <si>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</si>
  <si>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https://m.search.naver.com/search.naver?sm=mtp_sug.top&amp;where=m&amp;query=리클라이너+모션+패브릭&amp;ackey=mbauljxv&amp;acq=안경&amp;acr=7&amp;qdt=0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</si>
  <si>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</si>
  <si>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https://m.search.naver.com/search.naver?sm=mtp_sug.top&amp;where=m&amp;query=리클라이너+패브릭+아이보리&amp;ackey=mbauljxv&amp;acq=이불&amp;acr=3&amp;qdt=0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</si>
  <si>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</si>
  <si>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https://m.search.naver.com/search.naver?sm=mtp_sug.top&amp;where=m&amp;query=옷걸이+프리미엄+원목+10P&amp;ackey=mbauljxv&amp;acq=종이&amp;acr=2&amp;qdt=0</t>
  </si>
  <si>
    <t>홈앤영</t>
  </si>
  <si>
    <t>https://smartstore.naver.com/nbi12/products/10249717232?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</si>
  <si>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</si>
  <si>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https://m.search.naver.com/search.naver?sm=mtp_sug.top&amp;where=m&amp;query=옷걸이+논슬립+나무+세트&amp;ackey=mbauljxv&amp;acq=휴지&amp;acr=7&amp;qdt=0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</si>
  <si>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</si>
  <si>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https://m.search.naver.com/search.naver?sm=mtp_sug.top&amp;where=m&amp;query=옷걸이+논슬립+원목+프리미엄&amp;ackey=mbauljxv&amp;acq=가방&amp;acr=5&amp;qdt=0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</si>
  <si>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</si>
  <si>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https://m.search.naver.com/search.naver?sm=mtp_sug.top&amp;where=m&amp;query=옷걸이+원목+10P&amp;ackey=mbauljxv&amp;acq=수건&amp;acr=1&amp;qdt=0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</si>
  <si>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</si>
  <si>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https://m.search.naver.com/search.naver?sm=mtp_sug.top&amp;where=m&amp;query=옷걸이+나무+논슬립+옷가게&amp;ackey=mbauljxv&amp;acq=휴지&amp;acr=7&amp;qdt=0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</si>
  <si>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</si>
  <si>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https://m.search.naver.com/search.naver?sm=mtp_sug.top&amp;where=m&amp;query=잇몸치약+구취제거+프리미엄&amp;ackey=mbauljxv&amp;acq=신발&amp;acr=1&amp;qdt=0</t>
  </si>
  <si>
    <t>오라코드</t>
  </si>
  <si>
    <t>https://smartstore.naver.com/oracode/products/12743478390</t>
  </si>
  <si>
    <t>https://docs.google.com/spreadsheets/d/1QYiIFq4TukkYplCdplRpeK0MuCBxTcFOMO9ah4mj_6w/edit?gid=760825632#gid=760825632</t>
  </si>
  <si>
    <t>4월세팅~4/30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</si>
  <si>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</si>
  <si>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https://m.search.naver.com/search.naver?sm=mtp_sug.top&amp;where=m&amp;query=잇몸치약+구취제거+백태&amp;ackey=mbauljxv&amp;acq=양말&amp;acr=2&amp;qdt=0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</si>
  <si>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</si>
  <si>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https://m.search.naver.com/search.naver?sm=mtp_sug.top&amp;where=m&amp;query=입냄새치약+프리미엄+120g&amp;ackey=mbauljxv&amp;acq=세면대&amp;acr=4&amp;qdt=0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</si>
  <si>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</si>
  <si>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https://m.search.naver.com/search.naver?sm=mtp_sug.top&amp;where=m&amp;query=입냄새치약+백태+3개&amp;ackey=mbauljxv&amp;acq=변기&amp;acr=7&amp;qdt=0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</si>
  <si>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</si>
  <si>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https://m.search.naver.com/search.naver?sm=mtp_sug.top&amp;where=m&amp;query=구취제거치약+백태+120g&amp;ackey=mbauljxv&amp;acq=치석&amp;acr=4&amp;qdt=0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</si>
  <si>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</si>
  <si>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https://m.search.naver.com/search.naver?sm=mtp_sug.top&amp;where=m&amp;query=쇼핑백+로고+200매&amp;ackey=mbauljxv&amp;acq=연필&amp;acr=2&amp;qdt=0</t>
  </si>
  <si>
    <t>https://smartstore.naver.com/idbag/products/7361713838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</si>
  <si>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</si>
  <si>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https://m.search.naver.com/search.naver?sm=mtp_sug.top&amp;where=m&amp;query=쇼핑백+제작+로고&amp;ackey=mbauljxv&amp;acq=가방&amp;acr=3&amp;qdt=0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</si>
  <si>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</si>
  <si>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https://m.search.naver.com/search.naver?sm=mtp_sug.top&amp;where=m&amp;query=쇼핑백+제작+소량+인쇄&amp;ackey=mbauljxv&amp;acq=지우개&amp;acr=5&amp;qdt=0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</si>
  <si>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</si>
  <si>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https://m.search.naver.com/search.naver?sm=mtp_sug.top&amp;where=m&amp;query=쇼핑백+제작+관공서&amp;ackey=mbauljxv&amp;acq=필통&amp;acr=4&amp;qdt=0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</si>
  <si>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</si>
  <si>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https://m.search.naver.com/search.naver?sm=mtp_sug.top&amp;where=m&amp;query=쇼핑백+로고+제작+관공서&amp;ackey=mbauljxv&amp;acq=칠판&amp;acr=7&amp;qdt=0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</si>
  <si>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</si>
  <si>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https://m.search.naver.com/search.naver?sm=mtp_sug.top&amp;where=m&amp;query=실리콘빨대+다회용&amp;ackey=mbauljxv&amp;acq=나무&amp;acr=2&amp;qdt=0</t>
  </si>
  <si>
    <t>클린 리브</t>
  </si>
  <si>
    <t>https://smartstore.naver.com/cleanlive/products/12759855882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</si>
  <si>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</si>
  <si>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https://m.search.naver.com/search.naver?sm=mtp_sug.top&amp;where=m&amp;query=실리콘빨대+다회용+30cm&amp;ackey=mbauljxv&amp;acq=수목원&amp;acr=3&amp;qdt=0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</si>
  <si>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</si>
  <si>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https://m.search.naver.com/search.naver?sm=mtp_sug.top&amp;where=m&amp;query=실리콘빨대+다회용+벤티사이즈&amp;ackey=mbauljxv&amp;acq=이벤트&amp;acr=3&amp;qdt=0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</si>
  <si>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</si>
  <si>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https://m.search.naver.com/search.naver?sm=mtp_sug.top&amp;where=m&amp;query=실리콘빨대+개방형+벤티사이즈&amp;ackey=mbauljxv&amp;acq=나물&amp;acr=5&amp;qdt=0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</si>
  <si>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</si>
  <si>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https://m.search.naver.com/search.naver?sm=mtp_sug.top&amp;where=m&amp;query=실리콘빨대+개방형+30cm&amp;ackey=mbauljxv&amp;acq=삽&amp;acr=7&amp;qdt=0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</si>
  <si>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</si>
  <si>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https://m.search.naver.com/search.naver?sm=mtp_sug.top&amp;where=m&amp;query=장미꽃다발+온리로즈&amp;ackey=mbauljxv&amp;acq=종이&amp;acr=2&amp;qdt=0</t>
  </si>
  <si>
    <t>토일월플라워</t>
  </si>
  <si>
    <t>https://smartstore.naver.com/toilwol_flower/products/13019511019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</si>
  <si>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</si>
  <si>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https://m.search.naver.com/search.naver?sm=mtp_sug.top&amp;where=m&amp;query=장미꽃다발+온리로즈+생화&amp;ackey=mbauljxv&amp;acq=화분&amp;acr=3&amp;qdt=0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</si>
  <si>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</si>
  <si>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https://m.search.naver.com/search.naver?sm=mtp_sug.top&amp;where=m&amp;query=장미꽃다발+온리로즈+졸업식&amp;ackey=mbauljxv&amp;acq=편지&amp;acr=4&amp;qdt=0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</si>
  <si>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</si>
  <si>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https://m.search.naver.com/search.naver?sm=mtp_sug.top&amp;where=m&amp;query=장미꽃다발+온리로즈+졸업식+축하&amp;ackey=mbauljxv&amp;acq=포장지&amp;acr=7&amp;qdt=0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</si>
  <si>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</si>
  <si>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https://m.search.naver.com/search.naver?sm=mtp_sug.top&amp;where=m&amp;query=장미꽃다발+온리로즈+꽃다발배송&amp;ackey=mbauljxv&amp;acq=선물&amp;acr=7&amp;qdt=0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</si>
  <si>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</si>
  <si>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https://m.search.naver.com/search.naver?sm=mtp_sug.top&amp;where=m&amp;query=저분자+콜라겐+신민아+콜라겐&amp;ackey=mbauljxv&amp;acq=로션&amp;acr=2&amp;qdt=0</t>
  </si>
  <si>
    <t>마넬리 코스메틱</t>
  </si>
  <si>
    <t>https://smartstore.naver.com/manelli_cosmetic/products/12204313412</t>
  </si>
  <si>
    <t>https://docs.google.com/spreadsheets/d/1Qqh4FTwpX0k33eOJqrSd77XrESSk1T4s_t4Bltb_ZrI/edit?gid=0#gid=0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</si>
  <si>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</si>
  <si>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https://m.search.naver.com/search.naver?sm=mtp_sug.top&amp;where=m&amp;query=저분자+콜라겐+비오틴맥스+3박스&amp;ackey=mbauljxv&amp;acq=스킨&amp;acr=3&amp;qdt=0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</si>
  <si>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</si>
  <si>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https://m.search.naver.com/search.naver?sm=mtp_sug.top&amp;where=m&amp;query=저분자+콜라겐+3.5g+3박스&amp;ackey=mbauljxv&amp;acq=토너&amp;acr=4&amp;qdt=0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</si>
  <si>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</si>
  <si>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https://m.search.naver.com/search.naver?sm=mtp_sug.top&amp;where=m&amp;query=저분자+콜라겐+저분자+3.5g&amp;ackey=mbauljxv&amp;acq=팩&amp;acr=5&amp;qdt=0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</si>
  <si>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</si>
  <si>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https://m.search.naver.com/search.naver?sm=mtp_sug.top&amp;where=m&amp;query=저분자+콜라겐+3.5g+150포+3박스&amp;ackey=mbauljxv&amp;acq=여드름&amp;acr=7&amp;qdt=0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</si>
  <si>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</si>
  <si>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https://m.search.naver.com/search.naver?sm=mtp_sug.top&amp;where=m&amp;query=저분자+콜라겐+24주&amp;ackey=mbauljxv&amp;acq=영양제&amp;acr=7&amp;qdt=0</t>
  </si>
  <si>
    <t>https://smartstore.naver.com/manelli_cosmetic/products/12205081606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</si>
  <si>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</si>
  <si>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https://m.search.naver.com/search.naver?sm=mtp_sug.top&amp;where=m&amp;query=저분자+콜라겐+비오틴+6병&amp;ackey=mbauljxv&amp;acq=다이어트&amp;acr=6&amp;qdt=0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</si>
  <si>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</si>
  <si>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https://m.search.naver.com/search.naver?sm=mtp_sug.top&amp;where=m&amp;query=저분자+콜라겐+라이필&amp;ackey=mbauljxv&amp;acq=미용&amp;acr=4&amp;qdt=0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</si>
  <si>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</si>
  <si>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https://m.search.naver.com/search.naver?sm=mtp_sug.top&amp;where=m&amp;query=저분자+콜라겐+초저분자&amp;ackey=mbauljxv&amp;acq=건강&amp;acr=2&amp;qdt=0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</si>
  <si>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</si>
  <si>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https://m.search.naver.com/search.naver?sm=mtp_sug.top&amp;where=m&amp;query=저분자+콜라겐+어린6병&amp;ackey=mbauljxv&amp;acq=미용&amp;acr=1&amp;qdt=0</t>
  </si>
  <si>
    <t>멀칭비닐 비오네이쳐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</si>
  <si>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</si>
  <si>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www.google.com/search?q=%EB%84%A4%EC%9D%B4%EB%B2%84+%ED%8A%B8%EB%A0%8C%EB%93%9C%ED%94%BD&amp;sca_esv=1f2b486149b9ba85&amp;sxsrf=ADLYWIIAZs1OGZVqnKX0UY7GH6tjOJHrag%3A1733378960539&amp;ei=kENRZ6TKIIve1e8PltSQsAQ&amp;ved=0ahUKEwik0tDp-4-KAxULb_UHHRYqBEYQ4dUDCA8&amp;uact=5&amp;oq=%EB%84%A4%EC%9D%B4%EB%B2%84+%ED%8A%B8%EB%A0%8C%EB%93%9C%ED%94%BD&amp;gs_lp=Egxnd3Mtd2l6LXNlcnAiFuuEpOydtOuyhCDtirjroIzrk5ztlL0yBRAAGIAEMgUQABjvBTIIEAAYgAQYogQyCBAAGIAEGKIEMggQABiABBiiBEiNCFDGBFiHB3ABeAGQAQCYAZMBoAGgAqoBAzAuMrgBA8gBAPgBAZgCAqACmAHCAgoQABiwAxjWBBhHmAMAiAYBkAYKkgcDMS4xoAe0Bg&amp;sclient=gws-wiz-serp</t>
  </si>
  <si>
    <t>비오네이쳐</t>
  </si>
  <si>
    <t>https://search.shopping.naver.com/catalog/57958387202</t>
  </si>
  <si>
    <t>https://docs.google.com/spreadsheets/d/1kP1ghrVCkssU3u5wDansjqjIxX-Z47_luOU1V-4FBuw/edit?gid=1100470385#gid=1100470385</t>
  </si>
  <si>
    <t>멀칭비닐 500m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</si>
  <si>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</si>
  <si>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https://m.search.naver.com/search.naver?sm=mtp_hty.top&amp;where=m&amp;query=%EB%B9%84%EB%8B%90&amp;ackey=q6ipe6o1</t>
  </si>
  <si>
    <t>멀칭비닐 생분해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</si>
  <si>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</si>
  <si>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https://msearch.shopping.naver.com/search/all?query=%EB%B9%84%EB%8B%90&amp;vertical=search</t>
  </si>
  <si>
    <t>멀칭비닐 환경부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</si>
  <si>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</si>
  <si>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앱랜딩</t>
  </si>
  <si>
    <t>449개</t>
  </si>
  <si>
    <t>멀칭비닐 필름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</si>
  <si>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비*네이* 생*해 멀칭*닐 필* 500M 진짜 생분* 환*부 두께 0 X 폭 X *이 500m 1개 E*724
 ▶판매처 : 비오네이쳐
 5. 찜하기 클릭
 6. 바로가기 클릭
 7. 상품 클릭
 8. 링크(url) 복사 후 정답에 붙여넣기 후 제출</t>
  </si>
  <si>
    <t>https://m.smartstore.naver.com/bonature-/products/10528888294</t>
  </si>
  <si>
    <t>광교속눈썹 래쉬빈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</si>
  <si>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4.[*쉬빈]플레이스를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{ㅇㅊㅎㅅ}
정답 : &lt;4&gt; 글자
* 정답란에 띄어쓰기 없이 입력 후 제출해주세요.</t>
  </si>
  <si>
    <t>원천호수</t>
  </si>
  <si>
    <t>*쉬빈</t>
  </si>
  <si>
    <t>https://m.place.naver.com/place/1868598126/home?entry=pll</t>
  </si>
  <si>
    <t>oE</t>
  </si>
  <si>
    <t>광교 래쉬빈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</si>
  <si>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4.[*쉬빈]플레이스를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{ㄱㄱㅅㅅㅁㅇ}
정답 : &lt;6&gt; 글자
* 정답란에 띄어쓰기 없이 입력 후 제출해주세요.</t>
  </si>
  <si>
    <t>광교숲속마을</t>
  </si>
  <si>
    <t>상현역 래쉬빈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</si>
  <si>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4.[*쉬빈]플레이스를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{ㄱㄱㅇㅅㄱㅇ}
정답 : &lt;6&gt; 글자
* 정답란에 띄어쓰기 없이 입력 후 제출해주세요.</t>
  </si>
  <si>
    <t>대전 속눈썹 엘리뷰티 눈썹&amp;속눈썹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</si>
  <si>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4.[*리뷰티 눈썹&amp;속눈썹]플레이스를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{ㅇㅅㅇㅊㅈㄱ}
정답 : &lt;6&gt; 글자
* 정답란에 띄어쓰기 없이 입력 후 제출해주세요.</t>
  </si>
  <si>
    <t>유성온천지구</t>
  </si>
  <si>
    <t>*리뷰티 눈썹&amp;속눈썹</t>
  </si>
  <si>
    <t>https://m.place.naver.com/restaurant/2014548028/home</t>
  </si>
  <si>
    <t>대전 엘리뷰티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</si>
  <si>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4.[*리뷰티 눈썹&amp;속눈썹]플레이스를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{ㅈㅎㄱㄹㄱㅇ}
정답 : &lt;6&gt; 글자
* 정답란에 띄어쓰기 없이 입력 후 제출해주세요.</t>
  </si>
  <si>
    <t>장현근린공원</t>
  </si>
  <si>
    <t>대전 엘리뷰티 속눈썹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</si>
  <si>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4.[*리뷰티 눈썹&amp;속눈썹]플레이스를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{ㅂㅅㅊ}
정답 : &lt;3&gt; 글자
* 정답란에 띄어쓰기 없이 입력 후 제출해주세요.</t>
  </si>
  <si>
    <t>반석천</t>
  </si>
  <si>
    <t>용인 공유오피스 공유오피스 슈가맨워크 용인기흥역점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</si>
  <si>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4.[*유오피스 슈가맨워크 용인기흥역점]플레이스를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{ㄱㅎㄱㅇ}
정답 : &lt;4&gt; 글자
* 정답란에 띄어쓰기 없이 입력 후 제출해주세요.</t>
  </si>
  <si>
    <t>김혁공원</t>
  </si>
  <si>
    <t>*유오피스 슈가맨워크 용인기흥역점</t>
  </si>
  <si>
    <t>https://m.place.naver.com/place/1927440434/home?entry=pll</t>
  </si>
  <si>
    <t>용인 기흥역 슈가맨워크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</si>
  <si>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4.[*유오피스 슈가맨워크 용인기흥역점]플레이스를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{ㅅㄹㄱㅇ}
정답 : &lt;4&gt; 글자
* 정답란에 띄어쓰기 없이 입력 후 제출해주세요.</t>
  </si>
  <si>
    <t>신릉공원</t>
  </si>
  <si>
    <t>슈가맨워크 용인 기흥역점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</si>
  <si>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4.[*유오피스 슈가맨워크 용인기흥역점]플레이스를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{ㅅㄱㄱㅇ}
정답 : &lt;4&gt; 글자
* 정답란에 띄어쓰기 없이 입력 후 제출해주세요.</t>
  </si>
  <si>
    <t>신갈공원</t>
  </si>
  <si>
    <t>수완지구 미용실 르비쥬살롱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</si>
  <si>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4.[*비쥬살롱]플레이스를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{ㅇㅂㄱㅇ}
정답 : &lt;4&gt; 글자
* 정답란에 띄어쓰기 없이 입력 후 제출해주세요.</t>
  </si>
  <si>
    <t>은빛공원</t>
  </si>
  <si>
    <t>*비쥬살롱</t>
  </si>
  <si>
    <t>https://m.place.naver.com/hairshop/1865151668/home?entry=pll</t>
  </si>
  <si>
    <t>LoE</t>
  </si>
  <si>
    <t>수완지구 르비쥬살롱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</si>
  <si>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4.[*비쥬살롱]플레이스를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{ㅇㄹㄱㅇ}
정답 : &lt;4&gt; 글자
* 정답란에 띄어쓰기 없이 입력 후 제출해주세요.</t>
  </si>
  <si>
    <t>아름공원</t>
  </si>
  <si>
    <t>장덕동 르비쥬살롱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</si>
  <si>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4.[*비쥬살롱]플레이스를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</si>
  <si>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신완공원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</si>
  <si>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4.[*리한우촌]플레이스를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{ㄷㄹㅇㅇㅁ}
정답 : &lt;5&gt; 글자
* 정답란에 띄어쓰기 없이 입력 후 제출해주세요.</t>
  </si>
  <si>
    <t>도롱이연못</t>
  </si>
  <si>
    <t>정선 한우 누리한우촌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</si>
  <si>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4.[*리한우촌]플레이스를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{ㅊㅈㄱㅅㅂㅅㄷ}
정답 : &lt;7&gt; 글자
* 정답란에 띄어쓰기 없이 입력 후 제출해주세요.</t>
  </si>
  <si>
    <t>천주교사북성당</t>
  </si>
  <si>
    <t>정선 한우 맛집 누리한우촌</t>
  </si>
  <si>
    <t>안양 형사변호사 충용</t>
  </si>
  <si>
    <t>평촌역 형사변호사</t>
  </si>
  <si>
    <t>수원역 퀸트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</si>
  <si>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{ㅇㅋㄹㅎㄱㄱㅇ}
정답 : &lt;7&gt; 글자
* 정답란에 띄어쓰기 없이 입력 후 제출해주세요.</t>
  </si>
  <si>
    <t>앙카라학교공원</t>
  </si>
  <si>
    <t>퀸*</t>
  </si>
  <si>
    <t>https://m.place.naver.com/restaurant/1396510370/home?entry=pll</t>
  </si>
  <si>
    <t>LoK</t>
  </si>
  <si>
    <t>수원역 홀케이크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</si>
  <si>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{ㅅㅎㅊ}
정답 : &lt;3&gt; 글자
* 정답란에 띄어쓰기 없이 입력 후 제출해주세요.</t>
  </si>
  <si>
    <t>서호천</t>
  </si>
  <si>
    <t>수원역 딸기케이크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</si>
  <si>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{ㅅㅇㅎㄱ}
정답 : &lt;4&gt; 글자
* 정답란에 띄어쓰기 없이 입력 후 제출해주세요.</t>
  </si>
  <si>
    <t>수원향교</t>
  </si>
  <si>
    <t>달서구 슈가링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</si>
  <si>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4.[*온뷰티 진천점]플레이스를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{ㅁㅇㅁㄷㄱㅇ}
정답 : &lt;6&gt; 글자
* 정답란에 띄어쓰기 없이 입력 후 제출해주세요.</t>
  </si>
  <si>
    <t>마을마당공원</t>
  </si>
  <si>
    <t>*온뷰티 진천점</t>
  </si>
  <si>
    <t>https://m.place.naver.com/place/2074561521/home</t>
  </si>
  <si>
    <t>https://docs.google.com/spreadsheets/d/1ceU30fLQ18v3YC2sZwkkLxEltEkj8eBSexC2lUGuepE/edit?gid=1259573874#gid=1259573874</t>
  </si>
  <si>
    <t>진천역 왁싱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</si>
  <si>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4.[*온뷰티 진천점]플레이스를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{ㅅㄷㄱㅇ}
정답 : &lt;4&gt; 글자
* 정답란에 띄어쓰기 없이 입력 후 제출해주세요.</t>
  </si>
  <si>
    <t>선돌공원</t>
  </si>
  <si>
    <t>진천역 왁싱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</si>
  <si>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4.[*온뷰티 진천점]플레이스를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{ㄷㄱㄱㅇ}
정답 : &lt;4&gt; 글자
* 정답란에 띄어쓰기 없이 입력 후 제출해주세요.</t>
  </si>
  <si>
    <t>대곡공원</t>
  </si>
  <si>
    <t>진천역 왁싱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</si>
  <si>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4.[*온뷰티 진천점]플레이스를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{ㅈㅊㅊ}
정답 : &lt;3&gt; 글자
* 정답란에 띄어쓰기 없이 입력 후 제출해주세요.</t>
  </si>
  <si>
    <t>진천천</t>
  </si>
  <si>
    <t>달서구 슈가링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</si>
  <si>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4.[*온뷰티 진천점]플레이스를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{ㄱㅅㅌㅁㄱㅇ}
정답 : &lt;6&gt; 글자
* 정답란에 띄어쓰기 없이 입력 후 제출해주세요.</t>
  </si>
  <si>
    <t>감성테마공원</t>
  </si>
  <si>
    <t>발산역미용실 빌트헤어살롱 발산역점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</si>
  <si>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4.[*트헤어살롱 발산역점]플레이스를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{ㅁㄱㄴㄹㄱㄹㄱㅇ}
정답 : &lt;8&gt; 글자
* 정답란에 띄어쓰기 없이 입력 후 제출해주세요.</t>
  </si>
  <si>
    <t>마곡나루근린공원</t>
  </si>
  <si>
    <t>*트헤어살롱 발산역점</t>
  </si>
  <si>
    <t>https://m.place.naver.com/hairshop/1210868771/home</t>
  </si>
  <si>
    <t>발산역 빌트헤어살롱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</si>
  <si>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4.[*트헤어살롱 발산역점]플레이스를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{ㅇㅈㅅㄱㅇ}
정답 : &lt;5&gt; 글자
* 정답란에 띄어쓰기 없이 입력 후 제출해주세요.</t>
  </si>
  <si>
    <t>우장산공원</t>
  </si>
  <si>
    <t>빌트헤어살롱 발산역점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</si>
  <si>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4.[*트헤어살롱 발산역점]플레이스를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{ㄱㄷㅅ}
정답 : &lt;3&gt; 글자
* 정답란에 띄어쓰기 없이 입력 후 제출해주세요.</t>
  </si>
  <si>
    <t>검덕산</t>
  </si>
  <si>
    <t>대전 엘리뷰티 눈썹&amp;속눈썹</t>
  </si>
  <si>
    <t>엘리뷰티 눈썹&amp;속눈썹 연장</t>
  </si>
  <si>
    <t>정왕동자동차검사소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</si>
  <si>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4.[*흥1급정비공업사]플레이스를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{ㅅㄱㄱㅇ}
정답 : &lt;4&gt; 글자
* 정답란에 띄어쓰기 없이 입력 후 제출해주세요.</t>
  </si>
  <si>
    <t>신길공원</t>
  </si>
  <si>
    <t>*흥1급정비공업사</t>
  </si>
  <si>
    <t>https://m.place.naver.com/place/17950242/home?entry=pll</t>
  </si>
  <si>
    <t>그루브 애드</t>
  </si>
  <si>
    <t>시화공단검사소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</si>
  <si>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4.[*흥1급정비공업사]플레이스를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{ㅅㅁㅇㄴㅁㅈㅁㄷ}
정답 : &lt;8&gt; 글자
* 정답란에 띄어쓰기 없이 입력 후 제출해주세요.</t>
  </si>
  <si>
    <t>생명의나무전망대</t>
  </si>
  <si>
    <t>신흥 정비공업사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</si>
  <si>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4.[*흥1급정비공업사]플레이스를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{ㅇㅇㄷㅃㄱㄷㄷ}
정답 : &lt;7&gt; 글자
* 정답란에 띄어쓰기 없이 입력 후 제출해주세요.</t>
  </si>
  <si>
    <t>오이도빨강등대</t>
  </si>
  <si>
    <t>시흥자동차검사소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</si>
  <si>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4.[*흥1급정비공업사]플레이스를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{ㅈㅇㅊㅇㄱㅇ}
정답 : &lt;6&gt; 글자
* 정답란에 띄어쓰기 없이 입력 후 제출해주세요.</t>
  </si>
  <si>
    <t>죽율체육공원</t>
  </si>
  <si>
    <t>의정부 유영테라피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</si>
  <si>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4.[*영스파&amp;테라피]플레이스를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{ㅍㅎㅇㄱㅈ}
정답 : &lt;5&gt; 글자
* 정답란에 띄어쓰기 없이 입력 후 제출해주세요.</t>
  </si>
  <si>
    <t>의정부 피부관리 유영스파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</si>
  <si>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4.[*영스파&amp;테라피]플레이스를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{ㅍㄹㅅㅌ}
정답 : &lt;4&gt; 글자
* 정답란에 띄어쓰기 없이 입력 후 제출해주세요.</t>
  </si>
  <si>
    <t>푸른쉼터</t>
  </si>
  <si>
    <t>연천카페 카페스톤</t>
  </si>
  <si>
    <t>안산 방어</t>
  </si>
  <si>
    <t>안산 방어 맛집</t>
  </si>
  <si>
    <t>고잔동 대방어 맛집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</si>
  <si>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4.[*선장어시장 안산중앙점]플레이스를 방문 하고 [ 소식 ] 탭을 클릭 해주세요.
 5. [ 소식 ] 탭을 클릭 후 아래 게시글 확인 해주세요. 
 6. 게시글을 보고 빈칸을 확인 후 정답에 입력 해주세요.  
 7.  정답 : &lt;4&gt; 글자
초성힌트 : {알림 요즘 제일 잘 나가는 대방어 · OOOO · 산오징어회🔥🔥}
* 정답란에 띄어쓰기 없이 입력 후 제출해주세요.</t>
  </si>
  <si>
    <t>활고등어</t>
  </si>
  <si>
    <t>안산 윤선장어시장</t>
  </si>
  <si>
    <t>안산 고등어회</t>
  </si>
  <si>
    <t>안산 횟집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</si>
  <si>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안산중앙점]플레이스를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{ㅊㅈㄱㅅㅍㄷㅅㄷ}
정답 : &lt;8&gt; 글자
* 정답란에 띄어쓰기 없이 입력 후 제출해주세요.</t>
  </si>
  <si>
    <t>천주교성포동성당</t>
  </si>
  <si>
    <t>안산 과메기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</si>
  <si>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안산중앙점]플레이스를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{ㅇㄷㄱㅇ}
정답 : &lt;4&gt; 글자
* 정답란에 띄어쓰기 없이 입력 후 제출해주세요.</t>
  </si>
  <si>
    <t>이동공원</t>
  </si>
  <si>
    <t>안산중앙역 대방어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</si>
  <si>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안산중앙점]플레이스를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{ㅅㅍㅇㅅㄱㅈ}
정답 : &lt;6&gt; 글자
* 정답란에 띄어쓰기 없이 입력 후 제출해주세요.</t>
  </si>
  <si>
    <t>성포예술광장</t>
  </si>
  <si>
    <t>안산 회 맛집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</si>
  <si>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4.[*선장어시장 안산중앙점]플레이스를 방문 하고 [ 소식 ] 탭을 클릭 해주세요.
 5. [ 소식 ] 탭을 클릭 후 아래 게시글 확인 해주세요. 
 6. 게시글을 보고 빈칸을 확인 후 정답에 입력 해주세요.  
 7.  정답 : &lt;3&gt; 글자
초성힌트 : {알림 ❄️🐟 겨울이 되면 가장 먼저 찾게 되는 맛, 제철 OOO}
* 정답란에 띄어쓰기 없이 입력 후 제출해주세요.</t>
  </si>
  <si>
    <t>방어회</t>
  </si>
  <si>
    <t>안산 고등어회 맛집</t>
  </si>
  <si>
    <t>제주네일 인더블룸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</si>
  <si>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4.[*더블룸]플레이스를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{ㅇㅎㅅ}
정답 : &lt;3&gt; 글자
* 정답란에 띄어쓰기 없이 입력 후 제출해주세요.</t>
  </si>
  <si>
    <t>*더블룸</t>
  </si>
  <si>
    <t>https://m.place.naver.com/nailshop/1369211176/home?entry=pll</t>
  </si>
  <si>
    <t>인더블룸 네일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</si>
  <si>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4.[*더블룸]플레이스를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{ㅂㄹㅇㅊ}
정답 : &lt;4&gt; 글자
* 정답란에 띄어쓰기 없이 입력 후 제출해주세요.</t>
  </si>
  <si>
    <t>인더블룸 페디큐어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</si>
  <si>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4.[*더블룸]플레이스를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{ㅁㅇㄹ}
정답 : &lt;3&gt; 글자
* 정답란에 띄어쓰기 없이 입력 후 제출해주세요.</t>
  </si>
  <si>
    <t>민오름</t>
  </si>
  <si>
    <t>강남구청역 양식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</si>
  <si>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4.[*이수마]플레이스를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{ㅊㄷㄷㅎㄹㄱㄹ}
정답 : &lt;7&gt; 글자
* 정답란에 띄어쓰기 없이 입력 후 제출해주세요.</t>
  </si>
  <si>
    <t>청담동화랑거리</t>
  </si>
  <si>
    <t>*이수마</t>
  </si>
  <si>
    <t>https://m.place.naver.com/restaurant/1303696438/home</t>
  </si>
  <si>
    <t>강남구청역 이탈리아 레스토랑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</si>
  <si>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4.[*이수마]플레이스를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{ㅅㅅㅁㄹㄱㅇ}
정답 : &lt;6&gt; 글자
* 정답란에 띄어쓰기 없이 입력 후 제출해주세요.</t>
  </si>
  <si>
    <t>삼성목련공원</t>
  </si>
  <si>
    <t>강남구청역 파스타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</si>
  <si>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4.[*이수마]플레이스를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{ㅇㅈㄱㅇㅅㅇㅁ}
정답 : &lt;7&gt; 글자
* 정답란에 띄어쓰기 없이 입력 후 제출해주세요.</t>
  </si>
  <si>
    <t>안중근의사유묵</t>
  </si>
  <si>
    <t>삼성동 양식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</si>
  <si>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4.[*이수마]플레이스를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{ㅈㄹㅈㅈㅇㄹ}
정답 : &lt;6&gt; 글자
* 정답란에 띄어쓰기 없이 입력 후 제출해주세요.</t>
  </si>
  <si>
    <t>정릉중종왕릉</t>
  </si>
  <si>
    <t xml:space="preserve">삼성동 이탈리아 음식
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</si>
  <si>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4.[*이수마]플레이스를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{ㅊㄷㄷㄱㄹ}
정답 : &lt;5&gt; 글자
* 정답란에 띄어쓰기 없이 입력 후 제출해주세요.</t>
  </si>
  <si>
    <t>청담동거리</t>
  </si>
  <si>
    <t>강서 보드카페 미스테리보드게임카페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</si>
  <si>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4.[*스테리보드게임카페]플레이스를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{ㅂㅈㅅㄱㄹㄱㅇ}
정답 : &lt;7&gt; 글자
* 정답란에 띄어쓰기 없이 입력 후 제출해주세요.</t>
  </si>
  <si>
    <t>봉제산근린공원</t>
  </si>
  <si>
    <t>*스테리보드게임카페</t>
  </si>
  <si>
    <t xml:space="preserve">https://m.place.naver.com/hairshop/1003108419/home
</t>
  </si>
  <si>
    <t>강서구 미스테리보드게임카페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</si>
  <si>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4.[*스테리보드게임카페]플레이스를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{ㅂㅅㅁㅇㅁㄷ}
정답 : &lt;6&gt; 글자
* 정답란에 띄어쓰기 없이 입력 후 제출해주세요.</t>
  </si>
  <si>
    <t>백석마을마당</t>
  </si>
  <si>
    <t>강서 미스테리보드게임카페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</si>
  <si>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4.[*스테리보드게임카페]플레이스를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{ㅇㄷㄱㄹㄱㅇ}
정답 : &lt;6&gt; 글자
* 정답란에 띄어쓰기 없이 입력 후 제출해주세요.</t>
  </si>
  <si>
    <t>원당근린공원</t>
  </si>
  <si>
    <t>남양주 일패동 애견카페왕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</si>
  <si>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4.[*견카페왕 애견유치원,애견호텔]플레이스를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{ㅅㄹ}
정답 : &lt;2&gt; 글자
* 정답란에 띄어쓰기 없이 입력 후 제출해주세요.</t>
  </si>
  <si>
    <t>사릉</t>
  </si>
  <si>
    <t>*견카페왕 애견유치원,애견호텔</t>
  </si>
  <si>
    <t>https://m.place.naver.com/place/36022783/home?entry=pll</t>
  </si>
  <si>
    <t>남양주 애견카페왕 애견카페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</si>
  <si>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4.[*견카페왕 애견유치원,애견호텔]플레이스를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{ㄷㅅㅈㅇㄱㅇ}
정답 : &lt;6&gt; 글자
* 정답란에 띄어쓰기 없이 입력 후 제출해주세요.</t>
  </si>
  <si>
    <t>다산중앙공원</t>
  </si>
  <si>
    <t>남양주 애견카페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</si>
  <si>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4.[*견카페왕 애견유치원,애견호텔]플레이스를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{ㄱㄱㄴㄹㅊㅇㄱㅇ}
정답 : &lt;8&gt; 글자
* 정답란에 띄어쓰기 없이 입력 후 제출해주세요.</t>
  </si>
  <si>
    <t>건강누리체육공원</t>
  </si>
  <si>
    <t>구미미용실 파인드미 헤어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</si>
  <si>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4.[*인드미 헤어]플레이스를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{ㅅㅁㅇㄷㅅ}
정답 : &lt;5&gt; 글자
* 정답란에 띄어쓰기 없이 입력 후 제출해주세요.</t>
  </si>
  <si>
    <t>새마을동산</t>
  </si>
  <si>
    <t xml:space="preserve">https://m.place.naver.com/hairshop/1135827572/home?entry=plt
</t>
  </si>
  <si>
    <t>구미 파인드미 헤어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</si>
  <si>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4.[*인드미 헤어]플레이스를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{ㄱㅁㅇㄱㅈ}
정답 : &lt;5&gt; 글자
* 정답란에 띄어쓰기 없이 입력 후 제출해주세요.</t>
  </si>
  <si>
    <t>구미역광장</t>
  </si>
  <si>
    <t>형곡동 파인드미 헤어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</si>
  <si>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4.[*인드미 헤어]플레이스를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{ㄱㄱㅅ}
정답 : &lt;3&gt; 글자
* 정답란에 띄어쓰기 없이 입력 후 제출해주세요.</t>
  </si>
  <si>
    <t>금강사</t>
  </si>
  <si>
    <t>제주 연동 바다생선회</t>
  </si>
  <si>
    <t>제주 연동 바다 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</si>
  <si>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4.[*다한상 제주]플레이스를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{ㄴㅈㅅㅇㄹ}
정답 : &lt;5&gt; 글자
* 정답란에 띄어쓰기 없이 입력 후 제출해주세요.</t>
  </si>
  <si>
    <t>남조순오름</t>
  </si>
  <si>
    <t>연수구 노인유치원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</si>
  <si>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4.[*수제일주간보호센터]플레이스를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{ㅁㅎㅅ}
정답 : &lt;3&gt; 글자
* 정답란에 띄어쓰기 없이 입력 후 제출해주세요.</t>
  </si>
  <si>
    <t>문학산</t>
  </si>
  <si>
    <t>*수제일주간보호센터</t>
  </si>
  <si>
    <t>https://m.place.naver.com/place/1135970308/home?entry=pll</t>
  </si>
  <si>
    <t>Eo</t>
  </si>
  <si>
    <t>연수구 실버타운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</si>
  <si>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4.[*수제일주간보호센터]플레이스를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{ㅇㅊㅎㄱ}
정답 : &lt;4&gt; 글자
* 정답란에 띄어쓰기 없이 입력 후 제출해주세요.</t>
  </si>
  <si>
    <t>인천향교</t>
  </si>
  <si>
    <t>선학동 제일주간보호센터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</si>
  <si>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4.[*수제일주간보호센터]플레이스를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{ㅇㄹㄱㄹㄱㅇ}
정답 : &lt;6&gt; 글자
* 정답란에 띄어쓰기 없이 입력 후 제출해주세요.</t>
  </si>
  <si>
    <t>월례근린공원</t>
  </si>
  <si>
    <t>연수구 야간보호센터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</si>
  <si>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4.[*수제일주간보호센터]플레이스를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</si>
  <si>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솔안공원</t>
  </si>
  <si>
    <t>연수구 주간보호센터 제일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</si>
  <si>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4.[*수제일주간보호센터]플레이스를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{ㄴㄷㄱㄹㄱㅇ}
정답 : &lt;6&gt; 글자
* 정답란에 띄어쓰기 없이 입력 후 제출해주세요.</t>
  </si>
  <si>
    <t>남동근린공원</t>
  </si>
  <si>
    <t xml:space="preserve">스마일드래곤주식회사   </t>
  </si>
  <si>
    <t xml:space="preserve">스마일드래곤주식회사 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</si>
  <si>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강남]플레이스를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{ㅁㄷㄱㅇ}
정답 : &lt;4&gt; 글자
* 정답란에 띄어쓰기 없이 입력 후 제출해주세요.</t>
  </si>
  <si>
    <t>명달공원</t>
  </si>
  <si>
    <t>ELo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</si>
  <si>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노원]플레이스를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{ㅎㄱㅂㄱㄹㄱㅇ}
정답 : &lt;7&gt; 글자
* 정답란에 띄어쓰기 없이 입력 후 제출해주세요.</t>
  </si>
  <si>
    <t>한글비근린공원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</si>
  <si>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목동]플레이스를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{ㅅㄱㅊㅅㅌㄱㅇ}
정답 : &lt;7&gt; 글자
* 정답란에 띄어쓰기 없이 입력 후 제출해주세요.</t>
  </si>
  <si>
    <t>실개천생태공원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</si>
  <si>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부산서면]플레이스를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{ㅈㅍㅅㅇㄱ}
정답 : &lt;5&gt; 글자
* 정답란에 띄어쓰기 없이 입력 후 제출해주세요.</t>
  </si>
  <si>
    <t>전포사잇길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</si>
  <si>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부산연산]플레이스를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{ㅅㅇㅊㅇㄱㅇ}
정답 : &lt;6&gt; 글자
* 정답란에 띄어쓰기 없이 입력 후 제출해주세요.</t>
  </si>
  <si>
    <t>수안체육공원</t>
  </si>
  <si>
    <t>용인 삼가역 아울렛 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</si>
  <si>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 365 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{ㅇㅂㅅㄱㅇ}
정답 : &lt;5&gt; 글자
* 정답란에 띄어쓰기 없이 입력 후 제출해주세요.</t>
  </si>
  <si>
    <t>역북소공원</t>
  </si>
  <si>
    <t>*대폰 365 아울렛</t>
  </si>
  <si>
    <t>https://m.place.naver.com/place/1126374225/home</t>
  </si>
  <si>
    <t>https://docs.google.com/spreadsheets/d/1wz9G-ou9qutPaAtHhJl9cofib_y9kee1t8w-OSzldJw/edit?gid=2130012377#gid=2130012377</t>
  </si>
  <si>
    <t>용인 삼가역 휴대폰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</si>
  <si>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 365 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{ㅂㅇㄱㅇ}
정답 : &lt;4&gt; 글자
* 정답란에 띄어쓰기 없이 입력 후 제출해주세요.</t>
  </si>
  <si>
    <t>번암공원</t>
  </si>
  <si>
    <t>용인 삼가역 아울렛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</si>
  <si>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 365 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{ㅌㅇㄱㅇ}
정답 : &lt;4&gt; 글자
* 정답란에 띄어쓰기 없이 입력 후 제출해주세요.</t>
  </si>
  <si>
    <t>통일공원</t>
  </si>
  <si>
    <t>처인구 휴대폰 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</si>
  <si>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 365 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{ㄴㅁㄱㄹㄱㅇ}
정답 : &lt;6&gt; 글자
* 정답란에 띄어쓰기 없이 입력 후 제출해주세요.</t>
  </si>
  <si>
    <t>능말근린공원</t>
  </si>
  <si>
    <t>처인구 휴대폰 대리점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</si>
  <si>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 365 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{ㅎㄱㅊㄱㅇ}
정답 : &lt;5&gt; 글자
* 정답란에 띄어쓰기 없이 입력 후 제출해주세요.</t>
  </si>
  <si>
    <t>한길찬공원</t>
  </si>
  <si>
    <t>처인구 삼가역 휴대폰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</si>
  <si>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 365 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{ㅁㅈㅅ}
정답 : &lt;3&gt; 글자
* 정답란에 띄어쓰기 없이 입력 후 제출해주세요.</t>
  </si>
  <si>
    <t>멱조산</t>
  </si>
  <si>
    <t>역북동 휴대폰 8232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</si>
  <si>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 365 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{ㅇㅇㅅㄷ}
정답 : &lt;4&gt; 글자
* 정답란에 띄어쓰기 없이 입력 후 제출해주세요.</t>
  </si>
  <si>
    <t>용인성당</t>
  </si>
  <si>
    <t>역북동 휴대폰 아울렛 8232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</si>
  <si>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 365 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{ㅅㄱㅈㅅㅈ}
정답 : &lt;5&gt; 글자
* 정답란에 띄어쓰기 없이 입력 후 제출해주세요.</t>
  </si>
  <si>
    <t>신기저수지</t>
  </si>
  <si>
    <t>역북동 휴대폰 365 아울렛 8232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</si>
  <si>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 365 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{ㄷㅂㅅ}
정답 : &lt;3&gt; 글자
* 정답란에 띄어쓰기 없이 입력 후 제출해주세요.</t>
  </si>
  <si>
    <t>돌봉산</t>
  </si>
  <si>
    <t>문래 브런치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</si>
  <si>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4.[*길리]플레이스를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{ㄷㄹㅊ}
정답 : &lt;3&gt; 글자
* 정답란에 띄어쓰기 없이 입력 후 제출해주세요.</t>
  </si>
  <si>
    <t>도림천</t>
  </si>
  <si>
    <t>*길리</t>
  </si>
  <si>
    <t>https://m.place.naver.com/restaurant/1707407233/home</t>
  </si>
  <si>
    <t>문래동 양식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</si>
  <si>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4.[*길리]플레이스를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{ㅁㄹㅅㄱㅇ}
정답 : &lt;5&gt; 글자
* 정답란에 띄어쓰기 없이 입력 후 제출해주세요.</t>
  </si>
  <si>
    <t>문래소공원</t>
  </si>
  <si>
    <t>문래동 양식 맛집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</si>
  <si>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[*길리]플레이스를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</si>
  <si>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문래동 양식 맛집 추천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</si>
  <si>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4.[*길리]플레이스를 방문 하고 [ 소식 ] 탭을 클릭 해주세요.
 5. [ 소식 ] 탭을 클릭 후 아래 게시글 확인 해주세요. 
 6. 게시글을 보고 빈칸을 확인 후 정답에 입력 해주세요.  
 7.  정답 : &lt;4&gt; 글자
초성힌트 : {알림 3/13(목) OOOO로 인한 임시휴무}
* 정답란에 띄어쓰기 없이 입력 후 제출해주세요.</t>
  </si>
  <si>
    <t>대관행사</t>
  </si>
  <si>
    <t>문래동 양식 예약</t>
  </si>
  <si>
    <t>무주 한식당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</si>
  <si>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4.[*주한식당]플레이스를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{ㅅㅊㅂ}
정답 : &lt;3&gt; 글자
* 정답란에 띄어쓰기 없이 입력 후 제출해주세요.</t>
  </si>
  <si>
    <t>설천봉</t>
  </si>
  <si>
    <t>*주한식당</t>
  </si>
  <si>
    <t>https://m.place.naver.com/restaurant/1067622555/home</t>
  </si>
  <si>
    <t>oLE</t>
  </si>
  <si>
    <t>무주 한식당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</si>
  <si>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4.[*주한식당]플레이스를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{ㅊㅁㅅㅂㅁㅇ}
정답 : &lt;6&gt; 글자
* 정답란에 띄어쓰기 없이 입력 후 제출해주세요.</t>
  </si>
  <si>
    <t>치목삼베마을</t>
  </si>
  <si>
    <t>무주 한식당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</si>
  <si>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4.[*주한식당]플레이스를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{ㄱㅁㅈㅅㅈ}
정답 : &lt;5&gt; 글자
* 정답란에 띄어쓰기 없이 입력 후 제출해주세요.</t>
  </si>
  <si>
    <t>괴목저수지</t>
  </si>
  <si>
    <t>무주 백반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</si>
  <si>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4.[*주한식당]플레이스를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{ㅇㅇㄷ}
정답 : &lt;3&gt; 글자
* 정답란에 띄어쓰기 없이 입력 후 제출해주세요.</t>
  </si>
  <si>
    <t>인월담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</si>
  <si>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4.[크래머*]플레이스를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{ㅂㄹㅅ}
정답 : &lt;3&gt; 글자
* 정답란에 띄어쓰기 없이 입력 후 제출해주세요.</t>
  </si>
  <si>
    <t>크래머*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</si>
  <si>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4.[크래머*]플레이스를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{ㅇㄷㅅ}
정답 : &lt;3&gt; 글자
* 정답란에 띄어쓰기 없이 입력 후 제출해주세요.</t>
  </si>
  <si>
    <t>운두산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</si>
  <si>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4.[크래머*]플레이스를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{ㄷㅁㄱㅇㄱㅇㅅ}
정답 : &lt;7&gt; 글자
* 정답란에 띄어쓰기 없이 입력 후 제출해주세요.</t>
  </si>
  <si>
    <t>달마공원관음사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</si>
  <si>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4.[크래머*]플레이스를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{ㅊㅍㅅㅌㄱㅇ}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</si>
  <si>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4.[크래머*]플레이스를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{ㅇㅊㄱㅇㅅㅁㅇ}
정답 : &lt;7&gt; 글자
* 정답란에 띄어쓰기 없이 입력 후 제출해주세요.</t>
  </si>
  <si>
    <t>송도 리엠PT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</si>
  <si>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 리엠PT]플레이스를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{ㄷㅊㄷㅅㄷ}
정답 : &lt;5&gt; 글자
* 정답란에 띄어쓰기 없이 입력 후 제출해주세요.</t>
  </si>
  <si>
    <t>동춘동성당</t>
  </si>
  <si>
    <t>*도 리엠PT</t>
  </si>
  <si>
    <t>https://m.place.naver.com/place/1533793344/home</t>
  </si>
  <si>
    <t>송도 피티 리엠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</si>
  <si>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 리엠PT]플레이스를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{ㅅㄷㄲㄱㄱㄹ}
정답 : &lt;6&gt; 글자
* 정답란에 띄어쓰기 없이 입력 후 제출해주세요.</t>
  </si>
  <si>
    <t>송도꽃게거리</t>
  </si>
  <si>
    <t>송도재활pt 리엠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</si>
  <si>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 리엠PT]플레이스를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{ㄷㅊㄱㄹㄱㅇ}
정답 : &lt;6&gt; 글자
* 정답란에 띄어쓰기 없이 입력 후 제출해주세요.</t>
  </si>
  <si>
    <t>동춘근린공원</t>
  </si>
  <si>
    <t>대전 눈썹문신 엘리뷰티 눈썹&amp;속눈썹</t>
  </si>
  <si>
    <t>대전 눈썹문신 엘리뷰티</t>
  </si>
  <si>
    <t>대전 속눈썹 엘리뷰티</t>
  </si>
  <si>
    <t>부천 PT 바디체크짐 PT&amp;필라테스 신중동점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</si>
  <si>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4.[***크짐 PT&amp;필라테스 신중동점]플레이스를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{ㄱㄴㄱㅇ}
정답 : &lt;4&gt; 글자
* 정답란에 띄어쓰기 없이 입력 후 제출해주세요.</t>
  </si>
  <si>
    <t>계남공원</t>
  </si>
  <si>
    <t>***크짐 PT&amp;필라테스 신중동점</t>
  </si>
  <si>
    <t>https://m.place.naver.com/place/1761901600/home</t>
  </si>
  <si>
    <t>부천 PT 바디체크짐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</si>
  <si>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4.[***크짐 PT&amp;필라테스 신중동점]플레이스를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{ㅂㅅㄱㄱㅇ}
정답 : &lt;5&gt; 글자
* 정답란에 띄어쓰기 없이 입력 후 제출해주세요.</t>
  </si>
  <si>
    <t>복사골공원</t>
  </si>
  <si>
    <t>부천 바디체크짐 필라테스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</si>
  <si>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4.[***크짐 PT&amp;필라테스 신중동점]플레이스를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{ㅇㄷㄱㅇ}
정답 : &lt;4&gt; 글자
* 정답란에 띄어쓰기 없이 입력 후 제출해주세요.</t>
  </si>
  <si>
    <t>약대공원</t>
  </si>
  <si>
    <t>https://m.place.naver.com/restaurant/2079796477/home?entry=plt</t>
  </si>
  <si>
    <t>망원동 함박스테이크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</si>
  <si>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4.[*글스 망원]플레이스를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{ㅎㄴㄱ}
정답 : &lt;3&gt; 글자
* 정답란에 띄어쓰기 없이 입력 후 제출해주세요.</t>
  </si>
  <si>
    <t>하늘길</t>
  </si>
  <si>
    <t>망원동 알리오올리오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</si>
  <si>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4.[*글스 망원]플레이스를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{ㅇㅎㅈㅇㅅㄱㅇ}
정답 : &lt;7&gt; 글자
* 정답란에 띄어쓰기 없이 입력 후 제출해주세요.</t>
  </si>
  <si>
    <t>양화진역사공원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</si>
  <si>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4.[*글스 망원]플레이스를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{ㅎㄷㅅㄴㄱ}
정답 : &lt;5&gt; 글자
* 정답란에 띄어쓰기 없이 입력 후 제출해주세요.</t>
  </si>
  <si>
    <t>홍대솔내길</t>
  </si>
  <si>
    <t>신촌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</si>
  <si>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4.[*담동포장마차 신촌본점]플레이스를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{ㅅㄱㄷㅎㄱ}
정답 : &lt;5&gt; 글자
* 정답란에 띄어쓰기 없이 입력 후 제출해주세요.</t>
  </si>
  <si>
    <t>서강대학교</t>
  </si>
  <si>
    <t>*담동포장마차 신촌본점</t>
  </si>
  <si>
    <t>https://m.place.naver.com/restaurant/1662071630/home</t>
  </si>
  <si>
    <t>신촌 술집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</si>
  <si>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4.[*담동포장마차 신촌본점]플레이스를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{ㅇㄷㅇㄱㄹ}
정답 : &lt;5&gt; 글자
* 정답란에 띄어쓰기 없이 입력 후 제출해주세요.</t>
  </si>
  <si>
    <t>이대앞거리</t>
  </si>
  <si>
    <t>홍대 위스키바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</si>
  <si>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4.[투*]플레이스를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{ㅇㅎㅈㅇㅅㄱㅇ}
정답 : &lt;7&gt; 글자
* 정답란에 띄어쓰기 없이 입력 후 제출해주세요.</t>
  </si>
  <si>
    <t>투*</t>
  </si>
  <si>
    <t>https://m.place.naver.com/restaurant/1068226610/home?entry=pll</t>
  </si>
  <si>
    <t>서교동 위스키바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</si>
  <si>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4.[투*]플레이스를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{ㄱㅎㄷ}
정답 : &lt;3&gt; 글자
* 정답란에 띄어쓰기 없이 입력 후 제출해주세요.</t>
  </si>
  <si>
    <t>광흥당</t>
  </si>
  <si>
    <t>화곡사진관 스튜디오 목하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</si>
  <si>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4.[*튜디오 목하]플레이스를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{ㅅㅅㅅ}
정답 : &lt;3&gt; 글자
* 정답란에 띄어쓰기 없이 입력 후 제출해주세요.</t>
  </si>
  <si>
    <t>성심사</t>
  </si>
  <si>
    <t>*튜디오 목하</t>
  </si>
  <si>
    <t>https://m.place.naver.com/place/1158815772/home?entry=pll&amp;bk_query=</t>
  </si>
  <si>
    <t>화곡사진관 목하 여권사진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</si>
  <si>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4.[*튜디오 목하]플레이스를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{ㅅㅅㅇㅎㅅㄱㅇ}
정답 : &lt;7&gt; 글자
* 정답란에 띄어쓰기 없이 입력 후 제출해주세요.</t>
  </si>
  <si>
    <t>서서울호수공원</t>
  </si>
  <si>
    <t>화곡사진관 목하 증명사진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</si>
  <si>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4.[*튜디오 목하]플레이스를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{ㅂㅈㅅ}
정답 : &lt;3&gt; 글자
* 정답란에 띄어쓰기 없이 입력 후 제출해주세요.</t>
  </si>
  <si>
    <t>봉제산</t>
  </si>
  <si>
    <t>광교중앙역 미용실</t>
  </si>
  <si>
    <t>명동역 상품권 매입</t>
  </si>
  <si>
    <t>명동역 상품권 교환</t>
  </si>
  <si>
    <t>퇴계로 상품권 매입</t>
  </si>
  <si>
    <t>퇴계로 상품권 교환</t>
  </si>
  <si>
    <t>중구 상품권 교환</t>
  </si>
  <si>
    <t>홍천군 서면 비발디파크 스마일 렌탈샵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</si>
  <si>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{ㄱㅎㅅ}
정답 : &lt;3&gt; 글자
* 정답란에 띄어쓰기 없이 입력 후 제출해주세요.</t>
  </si>
  <si>
    <t>금학산</t>
  </si>
  <si>
    <t>*발디파크 렌탈샵</t>
  </si>
  <si>
    <t>https://m.place.naver.com/restaurant/309232033/home</t>
  </si>
  <si>
    <t>홍천 비발디파크 스마일 렌탈샵 대여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</si>
  <si>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{ㅎㅊㄱ}
정답 : &lt;3&gt; 글자
* 정답란에 띄어쓰기 없이 입력 후 제출해주세요.</t>
  </si>
  <si>
    <t>홍천강</t>
  </si>
  <si>
    <t>홍천 비발디파크 스마일 렌탈샵 보드대여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</si>
  <si>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{ㄴㄷㅅㅇ}
정답 : &lt;4&gt; 글자
* 정답란에 띄어쓰기 없이 입력 후 제출해주세요.</t>
  </si>
  <si>
    <t>노동서원</t>
  </si>
  <si>
    <t>홍천 비발디파크 스마일 렌탈샵 스키대여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</si>
  <si>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{ㅍㅂㅅ}
정답 : &lt;3&gt; 글자
* 정답란에 띄어쓰기 없이 입력 후 제출해주세요.</t>
  </si>
  <si>
    <t>팔봉산</t>
  </si>
  <si>
    <t>홍천 비발디파크 스마일 렌탈샵 대여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</si>
  <si>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{ㅍㅂㅅㄱㄱㅈ}
정답 : &lt;6&gt; 글자
* 정답란에 띄어쓰기 없이 입력 후 제출해주세요.</t>
  </si>
  <si>
    <t>팔봉산관광지</t>
  </si>
  <si>
    <t>반월당역 피자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</si>
  <si>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{ㅎㅊㅂㄱㅁ}
정답 : &lt;5&gt; 글자
* 정답란에 띄어쓰기 없이 입력 후 제출해주세요.</t>
  </si>
  <si>
    <t>헌책방골목</t>
  </si>
  <si>
    <t>*은집 동성로본점</t>
  </si>
  <si>
    <t>https://m.place.naver.com/restaurant/1908947901/home?entry=pll&amp;bk_query=%EC%88%A8%EC%9D%80%EC%A7%91#blogLinkNotice</t>
  </si>
  <si>
    <t>동성로 바질파스타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</si>
  <si>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{ㄱㅇㅅ}
정답 : &lt;3&gt; 글자
* 정답란에 띄어쓰기 없이 입력 후 제출해주세요.</t>
  </si>
  <si>
    <t>관음사</t>
  </si>
  <si>
    <t>반월당역 돈마호크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</si>
  <si>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{ㅂㅅㄱㄱㄱㅁ}
정답 : &lt;6&gt; 글자
* 정답란에 띄어쓰기 없이 입력 후 제출해주세요.</t>
  </si>
  <si>
    <t>봉산가구골목</t>
  </si>
  <si>
    <t>동성로 피자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</si>
  <si>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{ㅅㅅㄷㄱㅌ}
정답 : &lt;5&gt; 글자
* 정답란에 띄어쓰기 없이 입력 후 제출해주세요.</t>
  </si>
  <si>
    <t>서상돈고택</t>
  </si>
  <si>
    <t>동성로 돈마호크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</si>
  <si>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{ㅅㅇㅇㅅㅎㄱㅌ}
정답 : &lt;7&gt; 글자
* 정답란에 띄어쓰기 없이 입력 후 제출해주세요.</t>
  </si>
  <si>
    <t>시인이상화고택</t>
  </si>
  <si>
    <t>유성온천역 휴대폰 수리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</si>
  <si>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4.[*전아이폰수리 아이케어 유성점]플레이스를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{ㅇㅅㅅㄷ}
정답 : &lt;4&gt; 글자
* 정답란에 띄어쓰기 없이 입력 후 제출해주세요.</t>
  </si>
  <si>
    <t>유성성당</t>
  </si>
  <si>
    <t>*전아이폰수리 아이케어 유성점</t>
  </si>
  <si>
    <t>https://m.place.naver.com/place/1176994091/home</t>
  </si>
  <si>
    <t>유성온천역 휴대폰 수리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</si>
  <si>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4.[*전아이폰수리 아이케어 유성점]플레이스를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{ㅂㄱㅅㄱㅇ}
정답 : &lt;5&gt; 글자
* 정답란에 띄어쓰기 없이 입력 후 제출해주세요.</t>
  </si>
  <si>
    <t>벌구소공원</t>
  </si>
  <si>
    <t>탄방동 휴대폰 수리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</si>
  <si>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4.[*전아이폰수리센터 아이피플]플레이스를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{ㅂㄹㅁㄱㅇ}
정답 : &lt;5&gt; 글자
* 정답란에 띄어쓰기 없이 입력 후 제출해주세요.</t>
  </si>
  <si>
    <t>보라매공원</t>
  </si>
  <si>
    <t>*전아이폰수리센터 아이피플</t>
  </si>
  <si>
    <t>https://m.place.naver.com/place/37992951/home</t>
  </si>
  <si>
    <t>탄방동 아이폰 액정 수리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</si>
  <si>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4.[*전아이폰수리센터 아이피플]플레이스를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{ㅊㅈㄱㅁㄷㄱㅎ}
정답 : &lt;7&gt; 글자
* 정답란에 띄어쓰기 없이 입력 후 제출해주세요.</t>
  </si>
  <si>
    <t>천주교목동교회</t>
  </si>
  <si>
    <t>원흥동 구축물해체공사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</si>
  <si>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4.[*성종합개발]플레이스를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{ㄷㅅㄲㅁㅇㄱㅇ}
정답 : &lt;7&gt; 글자
* 정답란에 띄어쓰기 없이 입력 후 제출해주세요.</t>
  </si>
  <si>
    <t>동산꽃맞이공원</t>
  </si>
  <si>
    <t>*성종합개발</t>
  </si>
  <si>
    <t>https://m.place.naver.com/place/1627143700/home</t>
  </si>
  <si>
    <t>원흥동 건물해체공사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</si>
  <si>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4.[*성종합개발]플레이스를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{ㅅㅇㄹㄷㅂㅁ}
정답 : &lt;6&gt; 글자
* 정답란에 띄어쓰기 없이 입력 후 제출해주세요.</t>
  </si>
  <si>
    <t>서오릉대빈묘</t>
  </si>
  <si>
    <t>황리단길 곤드레밥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</si>
  <si>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4.[*택 경주]플레이스를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{ㄱㅈㅇㅅㅇㅈㅈㄱ}
정답 : &lt;8&gt; 글자
* 정답란에 띄어쓰기 없이 입력 후 제출해주세요.</t>
  </si>
  <si>
    <t>경주역사유적지구</t>
  </si>
  <si>
    <t>*택 경주</t>
  </si>
  <si>
    <t>https://m.place.naver.com/restaurant/1693973514/home?entry=pll</t>
  </si>
  <si>
    <t>황리단길 곤드레밥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</si>
  <si>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4.[*택 경주]플레이스를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{ㅅㄹㄱㅂㅈㅂㅅㅌ}
정답 : &lt;8&gt; 글자
* 정답란에 띄어쓰기 없이 입력 후 제출해주세요.</t>
  </si>
  <si>
    <t>신라고분정보센터</t>
  </si>
  <si>
    <t>황리단길 한식 덮밥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</si>
  <si>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4.[*택 경주]플레이스를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{ㅎㄴㄷㄱㅂㄱ}
정답 : &lt;6&gt; 글자
* 정답란에 띄어쓰기 없이 입력 후 제출해주세요.</t>
  </si>
  <si>
    <t>황남동고분군</t>
  </si>
  <si>
    <t>황리단길 한식 덮밥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</si>
  <si>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4.[*택 경주]플레이스를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{ㄴㅈㄷ}
정답 : &lt;3&gt; 글자
* 정답란에 띄어쓰기 없이 입력 후 제출해주세요.</t>
  </si>
  <si>
    <t>놋점들</t>
  </si>
  <si>
    <t>황리단길 향택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</si>
  <si>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4.[*택 경주]플레이스를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{ㄱㄹㄷㄱ}
정답 : &lt;4&gt; 글자
* 정답란에 띄어쓰기 없이 입력 후 제출해주세요.</t>
  </si>
  <si>
    <t>금리단길</t>
  </si>
  <si>
    <t>공덕역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</si>
  <si>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{ㅈㄱㅈㄱㅇ}
정답 : &lt;5&gt; 글자
* 정답란에 띄어쓰기 없이 입력 후 제출해주세요.</t>
  </si>
  <si>
    <t>정구중가옥</t>
  </si>
  <si>
    <t>*덕척정형외과재활의학과의원</t>
  </si>
  <si>
    <t>https://m.place.naver.com/hospital/1342539407/home?entry=pll</t>
  </si>
  <si>
    <t>https://docs.google.com/spreadsheets/d/1G9LyFzmEYQlY8QDF1IEPKlPFZnl0r5E60wczVAYrJYM/edit?gid=0#gid=0</t>
  </si>
  <si>
    <t>공덕역 재활치료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</si>
  <si>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{ㅊㅈㄱㅇㅅㅅㄷ}
정답 : &lt;7&gt; 글자
* 정답란에 띄어쓰기 없이 입력 후 제출해주세요.</t>
  </si>
  <si>
    <t>천주교용산성당</t>
  </si>
  <si>
    <t>공덕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</si>
  <si>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{ㅊㅈㄱㅊㅍㄷㅅㄷ}
정답 : &lt;8&gt; 글자
* 정답란에 띄어쓰기 없이 입력 후 제출해주세요.</t>
  </si>
  <si>
    <t>천주교청파동성당</t>
  </si>
  <si>
    <t>공덕동 재활의학과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</si>
  <si>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{ㅊㅈㄱㄷㅎㄷㄱㅎ}
정답 : &lt;8&gt; 글자
* 정답란에 띄어쓰기 없이 입력 후 제출해주세요.</t>
  </si>
  <si>
    <t>천주교대흥동교회</t>
  </si>
  <si>
    <t>공덕 재활의학과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</si>
  <si>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{ㅁㄹㅂㅅㅈㄱㅇ}
정답 : &lt;7&gt; 글자
* 정답란에 띄어쓰기 없이 입력 후 제출해주세요.</t>
  </si>
  <si>
    <t>만리배수지공원</t>
  </si>
  <si>
    <t>상봉 정형외과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</si>
  <si>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{ㅊㅈㄱㅁㅁㄷㄱㅎ}
정답 : &lt;8&gt; 글자
* 정답란에 띄어쓰기 없이 입력 후 제출해주세요.</t>
  </si>
  <si>
    <t>천주교면목동교회</t>
  </si>
  <si>
    <t>*봉퍼스트본정형외과의원</t>
  </si>
  <si>
    <t>https://m.place.naver.com/hospital/1405028371/home?entry=pll</t>
  </si>
  <si>
    <t>상봉 도수치료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</si>
  <si>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{ㅎㅅㄱㅇ}
정답 : &lt;4&gt; 글자
* 정답란에 띄어쓰기 없이 입력 후 제출해주세요.</t>
  </si>
  <si>
    <t>한신공원</t>
  </si>
  <si>
    <t>상봉 허리디스크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</si>
  <si>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{ㅈㅎㅅㄱㄱㅇ}
정답 : &lt;6&gt; 글자
* 정답란에 띄어쓰기 없이 입력 후 제출해주세요.</t>
  </si>
  <si>
    <t>중화수경공원</t>
  </si>
  <si>
    <t>상봉 어깨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</si>
  <si>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{ㅍㅇㄱㅇ}
정답 : &lt;4&gt; 글자
* 정답란에 띄어쓰기 없이 입력 후 제출해주세요.</t>
  </si>
  <si>
    <t>피울공원</t>
  </si>
  <si>
    <t>상봉역 허리디스크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</si>
  <si>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{ㅇㅁㄱㅇ}
정답 : &lt;4&gt; 글자
* 정답란에 띄어쓰기 없이 입력 후 제출해주세요.</t>
  </si>
  <si>
    <t>용마공원</t>
  </si>
  <si>
    <t>여의나루역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</si>
  <si>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{ㅈㅁㄹㄱㅇ}
정답 : &lt;5&gt; 글자
* 정답란에 띄어쓰기 없이 입력 후 제출해주세요.</t>
  </si>
  <si>
    <t>중마루공원</t>
  </si>
  <si>
    <t>*크원연세마디의원</t>
  </si>
  <si>
    <t>https://m.place.naver.com/hospital/1756044096/home?entry=pll</t>
  </si>
  <si>
    <t>여의도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</si>
  <si>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{ㄷㅈㅂㄹㄱㄱㅇ}
정답 : &lt;7&gt; 글자
* 정답란에 띄어쓰기 없이 입력 후 제출해주세요.</t>
  </si>
  <si>
    <t>동작반려견공원</t>
  </si>
  <si>
    <t>여의도동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</si>
  <si>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{ㅂㅅㄱㅇ}
정답 : &lt;4&gt; 글자
* 정답란에 띄어쓰기 없이 입력 후 제출해주세요.</t>
  </si>
  <si>
    <t>밤섬공원</t>
  </si>
  <si>
    <t>여의나루 정형외과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</si>
  <si>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{ㅅㅂㅅ}
정답 : &lt;3&gt; 글자
* 정답란에 띄어쓰기 없이 입력 후 제출해주세요.</t>
  </si>
  <si>
    <t>석불사</t>
  </si>
  <si>
    <t>여의나루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</si>
  <si>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{ㅇㄷㅍㄱㅇ}
정답 : &lt;5&gt; 글자
* 정답란에 띄어쓰기 없이 입력 후 제출해주세요.</t>
  </si>
  <si>
    <t>영등포공원</t>
  </si>
  <si>
    <t>석촌역 브런치카페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</si>
  <si>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{ㅅㅍㄱㄹㄱㅇ}
정답 : &lt;6&gt; 글자
* 정답란에 띄어쓰기 없이 입력 후 제출해주세요.</t>
  </si>
  <si>
    <t>*로우어스</t>
  </si>
  <si>
    <t>https://m.place.naver.com/restaurant/1151172532/home</t>
  </si>
  <si>
    <t>https://docs.google.com/spreadsheets/d/1NPBTo5WNq_Z44hZMJWZIYhmfoiZ9GpRsiQc3gaHojLI/edit?usp=sharing</t>
  </si>
  <si>
    <t>석촌역 브런치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</si>
  <si>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[*로우어스]플레이스를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</si>
  <si>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석촌호수 브런치카페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</si>
  <si>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4.[*로우어스]플레이스를 방문 하고 [ 소식 ] 탭을 클릭 해주세요.
 5. [ 소식 ] 탭을 클릭 후 아래 게시글 확인 해주세요. 
 6. 게시글을 보고 빈칸을 확인 후 정답에 입력 해주세요.  
 7.  정답 : &lt;3&gt; 글자
초성힌트 : {EVENT 파충류샵 OOO서울 오픈 이벤트!!}
* 정답란에 띄어쓰기 없이 입력 후 제출해주세요.</t>
  </si>
  <si>
    <t>슬로우</t>
  </si>
  <si>
    <t>석촌호수 브런치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</si>
  <si>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4.[*로우어스]플레이스를 방문 하고 [ 홈 ] 탭을 클릭 해주세요.
 5. [ 전화 ] 탭을 클릭 후 전화번호를 확인 해주세요. 
 6. 정답에 전화번호를 입력 해주세요.
 7. OOOO-OOOO-OOOO [복사]  ( - 포함하여 입력 )
정답 : &lt;14&gt; 글자
초성힌트 : {}
* 정답란에 띄어쓰기 없이 입력 후 제출해주세요.</t>
  </si>
  <si>
    <t>0507-1428-7938</t>
  </si>
  <si>
    <t>석촌동 브런치카페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</si>
  <si>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{ㅁㅇㅁㄷㄱㅇ}
정답 : &lt;6&gt; 글자
* 정답란에 띄어쓰기 없이 입력 후 제출해주세요.</t>
  </si>
  <si>
    <t>역삼동 애견동반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</si>
  <si>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{ㄷㄱㄱㅇ}
정답 : &lt;4&gt; 글자
* 정답란에 띄어쓰기 없이 입력 후 제출해주세요.</t>
  </si>
  <si>
    <t>도곡공원</t>
  </si>
  <si>
    <t>*페 슬로우커피</t>
  </si>
  <si>
    <t>https://m.place.naver.com/restaurant/1689752307/home</t>
  </si>
  <si>
    <t>강남구 역삼로 카페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</si>
  <si>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[*페 슬로우커피]플레이스를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</si>
  <si>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강남구 역삼로 디저트 카페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</si>
  <si>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4.[*페 슬로우커피]플레이스를 방문 하고 [ 소식 ] 탭을 클릭 해주세요.
 5. [ 소식 ] 탭을 클릭 후 아래 게시글 확인 해주세요. 
 6. 게시글을 보고 빈칸을 확인 후 정답에 입력 해주세요.  
 7.  정답 : &lt;4&gt; 글자
초성힌트 : {알림 *OOOO 디저트 신메뉴 출시*}
* 정답란에 띄어쓰기 없이 입력 후 제출해주세요.</t>
  </si>
  <si>
    <t>시그니처</t>
  </si>
  <si>
    <t>역삼동 애견동반 카페 추천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</si>
  <si>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4.[*페 슬로우커피]플레이스를 방문 하고 [ 홈 ] 탭을 클릭 해주세요.
 5. [ 전화 ] 탭을 클릭 후 전화번호를 확인 해주세요. 
 6. 정답에 전화번호를 입력 해주세요.
 7. OOOO-OOOO-OOOO [복사]  ( - 포함하여 입력 )
정답 : &lt;14&gt; 글자
초성힌트 : {}
* 정답란에 띄어쓰기 없이 입력 후 제출해주세요.</t>
  </si>
  <si>
    <t>0507-1339-0364</t>
  </si>
  <si>
    <t>강남 슬로우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</si>
  <si>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{ㅁㅈㄱㄹ}
정답 : &lt;4&gt; 글자
* 정답란에 띄어쓰기 없이 입력 후 제출해주세요.</t>
  </si>
  <si>
    <t>말죽거리</t>
  </si>
  <si>
    <t>성정동헬스 W1475PT 성정동PT 여성전용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</si>
  <si>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4.[*1475PT 성정동PT 여성전용]플레이스를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{ㅊㅈㄱㅅㅂㄷㄱㅎ}
정답 : &lt;8&gt; 글자
* 정답란에 띄어쓰기 없이 입력 후 제출해주세요.</t>
  </si>
  <si>
    <t>천주교신부동교회</t>
  </si>
  <si>
    <t>*1475PT 성정동PT 여성전용</t>
  </si>
  <si>
    <t>https://m.place.naver.com/place/1802038930/home?entry=pll</t>
  </si>
  <si>
    <t>천안 헬스장 W1475PT 성정동PT 여성전용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</si>
  <si>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4.[*1475PT 성정동PT 여성전용]플레이스를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{ㅂㅅㅅ}
정답 : &lt;3&gt; 글자
* 정답란에 띄어쓰기 없이 입력 후 제출해주세요.</t>
  </si>
  <si>
    <t>봉서산</t>
  </si>
  <si>
    <t>천안 여성전용 헬스장 W1475PT 성정동PT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</si>
  <si>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4.[*1475PT 성정동PT 여성전용]플레이스를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{ㄷㅅㄱㅈ}
정답 : &lt;4&gt; 글자
* 정답란에 띄어쓰기 없이 입력 후 제출해주세요.</t>
  </si>
  <si>
    <t>도솔광장</t>
  </si>
  <si>
    <t>창원 월영동 휴대폰 아울렛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</si>
  <si>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4.[*대폰아울렛 월영점]플레이스를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{ㅁㄴㄱㄹㄱㅇ}
정답 : &lt;6&gt; 글자
* 정답란에 띄어쓰기 없이 입력 후 제출해주세요.</t>
  </si>
  <si>
    <t>만날근린공원</t>
  </si>
  <si>
    <t>*대폰아울렛 월영점</t>
  </si>
  <si>
    <t>https://m.place.naver.com/place/1851070163/home?</t>
  </si>
  <si>
    <t>창원 월영동 휴대폰 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</si>
  <si>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4.[*대폰아울렛 월영점]플레이스를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{ㄷㅅ}
정답 : &lt;2&gt; 글자
* 정답란에 띄어쓰기 없이 입력 후 제출해주세요.</t>
  </si>
  <si>
    <t>돝섬</t>
  </si>
  <si>
    <t xml:space="preserve"> 월영동 휴대폰 아울렛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</si>
  <si>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4.[*대폰아울렛 월영점]플레이스를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{ㅁㅅㅎ}
정답 : &lt;3&gt; 글자
* 정답란에 띄어쓰기 없이 입력 후 제출해주세요.</t>
  </si>
  <si>
    <t>마산항</t>
  </si>
  <si>
    <t>남해맛집 블루칼라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</si>
  <si>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4.[*루칼라]플레이스를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{ㅅㄹㅅㅋㅇㅇㅋ}
정답 : &lt;7&gt; 글자
* 정답란에 띄어쓰기 없이 입력 후 제출해주세요.</t>
  </si>
  <si>
    <t>설리스카이워크</t>
  </si>
  <si>
    <t>*루칼라</t>
  </si>
  <si>
    <t>https://m.place.naver.com/restaurant/1439251501/home</t>
  </si>
  <si>
    <t>남해 양식 맛집 블루칼라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</si>
  <si>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4.[*루칼라]플레이스를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{ㄱㅅ}
정답 : &lt;2&gt; 글자
* 정답란에 띄어쓰기 없이 입력 후 제출해주세요.</t>
  </si>
  <si>
    <t>금산</t>
  </si>
  <si>
    <t>남해 블루칼라 햄버거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</si>
  <si>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4.[*루칼라]플레이스를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{ㄴㅎㄱㅅ}
정답 : &lt;4&gt; 글자
* 정답란에 띄어쓰기 없이 입력 후 제출해주세요.</t>
  </si>
  <si>
    <t>남해금산</t>
  </si>
  <si>
    <t>강화도 칼국수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</si>
  <si>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4.[*토리 바지락손칼국수]플레이스를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{ㄷㅁㅎㅂ}
정답 : &lt;4&gt; 글자
* 정답란에 띄어쓰기 없이 입력 후 제출해주세요.</t>
  </si>
  <si>
    <t>동막해변</t>
  </si>
  <si>
    <t>*토리 바지락손칼국수</t>
  </si>
  <si>
    <t>https://m.place.naver.com/restaurant/1511677705/home</t>
  </si>
  <si>
    <t>https://docs.google.com/spreadsheets/d/14t-LsOucjstZIXL3Bc2qjBYpfTcpRU89FXVSjq9O3lw/edit?gid=1075855373#gid=1075855373</t>
  </si>
  <si>
    <t>강화도 도토리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</si>
  <si>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4.[*토리 바지락손칼국수]플레이스를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{ㅁㄴㅅㅊㅅㄷ}
정답 : &lt;6&gt; 글자
* 정답란에 띄어쓰기 없이 입력 후 제출해주세요.</t>
  </si>
  <si>
    <t>마니산참성단</t>
  </si>
  <si>
    <t>강화도 바지락칼국수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</si>
  <si>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4.[*토리 바지락손칼국수]플레이스를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{ㅁㄴㅅ}
정답 : &lt;3&gt; 글자
* 정답란에 띄어쓰기 없이 입력 후 제출해주세요.</t>
  </si>
  <si>
    <t>마니산</t>
  </si>
  <si>
    <t>강화도 화도 칼국수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</si>
  <si>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4.[*토리 바지락손칼국수]플레이스를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{ㄱㅎㅅㄹㅅ}
정답 : &lt;5&gt; 글자
* 정답란에 띄어쓰기 없이 입력 후 제출해주세요.</t>
  </si>
  <si>
    <t>강화삼랑성</t>
  </si>
  <si>
    <t>강화도 해물칼국수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</si>
  <si>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4.[*토리 바지락손칼국수]플레이스를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{ㅂㅇㄹㄷㄷ}
정답 : &lt;5&gt; 글자
* 정답란에 띄어쓰기 없이 입력 후 제출해주세요.</t>
  </si>
  <si>
    <t>분오리돈대</t>
  </si>
  <si>
    <t>미사눈썹 더 유안 눈썹,두피,왁싱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</si>
  <si>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4.[더 유안 눈썹,두피,왁*]플레이스를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{ㅁㅅㄹ}
정답 : &lt;3&gt; 글자
* 정답란에 띄어쓰기 없이 입력 후 제출해주세요.</t>
  </si>
  <si>
    <t>미사리</t>
  </si>
  <si>
    <t>더 유안 눈썹,두피,왁*</t>
  </si>
  <si>
    <t>https://m.place.naver.com/place/1870293570/home?entry=pll</t>
  </si>
  <si>
    <t>미사역 더 유안 눈썹,두피,왁싱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</si>
  <si>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4.[더 유안 눈썹,두피,왁*]플레이스를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{ㄱㅇㄷㅅㄷ}
정답 : &lt;5&gt; 글자
* 정답란에 띄어쓰기 없이 입력 후 제출해주세요.</t>
  </si>
  <si>
    <t>하남 더 유안 눈썹,두피,왁싱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</si>
  <si>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4.[더 유안 눈썹,두피,왁*]플레이스를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{ㅂㅁㄱㄹㄱㅇ}
정답 : &lt;6&gt; 글자
* 정답란에 띄어쓰기 없이 입력 후 제출해주세요.</t>
  </si>
  <si>
    <t>곤지암 오리고기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</si>
  <si>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4.[*지암토담]플레이스를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{ㄱㅈㅂㅇ}
정답 : &lt;4&gt; 글자
* 정답란에 띄어쓰기 없이 입력 후 제출해주세요.</t>
  </si>
  <si>
    <t>곤지바위</t>
  </si>
  <si>
    <t>*지암토담</t>
  </si>
  <si>
    <t>https://m.place.naver.com/restaurant/19494463/home</t>
  </si>
  <si>
    <t>곤지암읍 오리훈제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</si>
  <si>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4.[*지암토담]플레이스를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{ㄱㅈㅇ}
정답 : &lt;3&gt; 글자
* 정답란에 띄어쓰기 없이 입력 후 제출해주세요.</t>
  </si>
  <si>
    <t>곤지암</t>
  </si>
  <si>
    <t>곤지암 고기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</si>
  <si>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4.[*지암토담]플레이스를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{ㅈㄱㅅ}
정답 : &lt;3&gt; 글자
* 정답란에 띄어쓰기 없이 입력 후 제출해주세요.</t>
  </si>
  <si>
    <t>정개산</t>
  </si>
  <si>
    <t>샛강역 한우 맛집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</si>
  <si>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4.[*무가든 동여의도점]플레이스를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{ㅇㅇㄷㅁㅂㄱㅈ}
정답 : &lt;7&gt; 글자
* 정답란에 띄어쓰기 없이 입력 후 제출해주세요.</t>
  </si>
  <si>
    <t>여의도물빛광장</t>
  </si>
  <si>
    <t>*무가든 동여의도점</t>
  </si>
  <si>
    <t>https://m.place.naver.com/restaurant/1184892160/home</t>
  </si>
  <si>
    <t>샛강역 한우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</si>
  <si>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4.[*무가든 동여의도점]플레이스를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{ㄷㅂㄱㅇ}
정답 : &lt;4&gt; 글자
* 정답란에 띄어쓰기 없이 입력 후 제출해주세요.</t>
  </si>
  <si>
    <t>대방공원</t>
  </si>
  <si>
    <t>샛강역 한우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</si>
  <si>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4.[*무가든 동여의도점]플레이스를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{ㅂㅎㄱㅈㅂㄱㄷ}
정답 : &lt;7&gt; 글자
* 정답란에 띄어쓰기 없이 입력 후 제출해주세요.</t>
  </si>
  <si>
    <t>방학곳지부군당</t>
  </si>
  <si>
    <t>송정역 라움주차대행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</si>
  <si>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4.[*움주차대행]플레이스를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{ㅇㄱㄱㄱㄹㄱㅇ}
정답 : &lt;7&gt; 글자
* 정답란에 띄어쓰기 없이 입력 후 제출해주세요.</t>
  </si>
  <si>
    <t>옹기골근린공원</t>
  </si>
  <si>
    <t>*움주차대행</t>
  </si>
  <si>
    <t>https://m.place.naver.com/place/2043155483/home</t>
  </si>
  <si>
    <t>김포공항 라움주차대행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</si>
  <si>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4.[*움주차대행]플레이스를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{ㄱㅎㅅ}
정답 : &lt;3&gt; 글자
* 정답란에 띄어쓰기 없이 입력 후 제출해주세요.</t>
  </si>
  <si>
    <t>개화사</t>
  </si>
  <si>
    <t>대구 만촌동 고양이미용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</si>
  <si>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4.[*블레스유 대구고양이미용]플레이스를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{ㄷㄹㅂ }
정답 : &lt;3&gt; 글자
* 정답란에 띄어쓰기 없이 입력 후 제출해주세요.</t>
  </si>
  <si>
    <t>두리봉</t>
  </si>
  <si>
    <t>*블레스유 대구고양이미용</t>
  </si>
  <si>
    <t>https://m.place.naver.com/place/1541365475/home</t>
  </si>
  <si>
    <t>대구 고양이미용 냥블레스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</si>
  <si>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4.[*블레스유 대구고양이미용]플레이스를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{ㅊㅎㅅㅇ}
정답 : &lt;4&gt; 글자
* 정답란에 띄어쓰기 없이 입력 후 제출해주세요.</t>
  </si>
  <si>
    <t>청호서원</t>
  </si>
  <si>
    <t>광안리 뭉티기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</si>
  <si>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4.[*손육회생고기전문점]플레이스를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{ㄱㅇㄹㅋㅍㄱㄹ}
정답 : &lt;7&gt; 글자
* 정답란에 띄어쓰기 없이 입력 후 제출해주세요.</t>
  </si>
  <si>
    <t>광안리카페거리</t>
  </si>
  <si>
    <t>*손육회생고기전문점</t>
  </si>
  <si>
    <t>https://m.place.naver.com/restaurant/1824878974/home</t>
  </si>
  <si>
    <t>광안리 뭉티기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</si>
  <si>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4.[*손육회생고기전문점]플레이스를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{ㅎㅇㄱㄹㄱㅇ}
정답 : &lt;6&gt; 글자
* 정답란에 띄어쓰기 없이 입력 후 제출해주세요.</t>
  </si>
  <si>
    <t>호암근린공원</t>
  </si>
  <si>
    <t>반정동 가구단지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</si>
  <si>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4.[*라인매트리스 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{ㅇㅅㅈㅊ}
정답 : &lt;4&gt; 글자
* 정답란에 띄어쓰기 없이 입력 후 제출해주세요.</t>
  </si>
  <si>
    <t>우시장천</t>
  </si>
  <si>
    <t>*라인매트리스 본점</t>
  </si>
  <si>
    <t>https://m.place.naver.com/place/1349077797/home</t>
  </si>
  <si>
    <t>화성 반정동 가구단지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</si>
  <si>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4.[*라인매트리스 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{ㄴㅍㄹㄱㅇ}
정답 : &lt;5&gt; 글자
* 정답란에 띄어쓰기 없이 입력 후 제출해주세요.</t>
  </si>
  <si>
    <t>늘푸른공원</t>
  </si>
  <si>
    <t>반정동 매트리스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</si>
  <si>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4.[*라인매트리스 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{ㅁㅈㄱㅇ}
정답 : &lt;4&gt; 글자
* 정답란에 띄어쓰기 없이 입력 후 제출해주세요.</t>
  </si>
  <si>
    <t>마중공원</t>
  </si>
  <si>
    <t>송리단길 치즈케이크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</si>
  <si>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{ㅅㅇㄱㄹㄱㅇ}
정답 : &lt;6&gt; 글자
* 정답란에 띄어쓰기 없이 입력 후 제출해주세요.</t>
  </si>
  <si>
    <t>송이근린공원</t>
  </si>
  <si>
    <t>*하우스</t>
  </si>
  <si>
    <t>https://m.place.naver.com/restaurant/1376277246/home</t>
  </si>
  <si>
    <t>https://docs.google.com/spreadsheets/d/1UtzXaGdqkyvu6_seI5isjJ-7daxRNfXbIF0GhXernGA/edit?gid=837614646#gid=837614646</t>
  </si>
  <si>
    <t>송리단길 핫초코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</si>
  <si>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{ㅊㅎㄱㄱㄱㅅㅅㅁ}
정답 : &lt;8&gt; 글자
* 정답란에 띄어쓰기 없이 입력 후 제출해주세요.</t>
  </si>
  <si>
    <t>충헌공김구선생묘</t>
  </si>
  <si>
    <t>송리단길 딸기케이크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</si>
  <si>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{ㅅㄴㅊ}
정답 : &lt;3&gt; 글자
* 정답란에 띄어쓰기 없이 입력 후 제출해주세요.</t>
  </si>
  <si>
    <t>성내천</t>
  </si>
  <si>
    <t>송리단길 버터바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</si>
  <si>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{ㅅㅍㄷㄹㄱ}
정답 : &lt;5&gt; 글자
* 정답란에 띄어쓰기 없이 입력 후 제출해주세요.ㅏㄷ</t>
  </si>
  <si>
    <t>송파둘레길</t>
  </si>
  <si>
    <t>송리단길 디카페인 커피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</si>
  <si>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{ㅇㅁㄱㄹㄱㅇ}
정답 : &lt;6&gt; 글자
* 정답란에 띄어쓰기 없이 입력 후 제출해주세요.</t>
  </si>
  <si>
    <t>웃말근린공원</t>
  </si>
  <si>
    <t>잠실 주차가능 케이크 맛집</t>
  </si>
  <si>
    <t>잠실 주차가능 딸기케이크 맛집</t>
  </si>
  <si>
    <t>잠실 주차가능 버터바 맛집</t>
  </si>
  <si>
    <t>잠실 주차가능 카페 라떼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</si>
  <si>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{ㅅㅍㄷㄹㄱ}
정답 : &lt;5&gt; 글자
* 정답란에 띄어쓰기 없이 입력 후 제출해주세요.</t>
  </si>
  <si>
    <t>송리단길 반려견동반 케이크 맛집</t>
  </si>
  <si>
    <t>대구마사지 대구마사지엔 헤스티아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</si>
  <si>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4.[*구마사지엔 헤스티아]플레이스를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{ㅊㄱㅎㄱ}
정답 : &lt;4&gt; 글자
* 정답란에 띄어쓰기 없이 입력 후 제출해주세요.</t>
  </si>
  <si>
    <t>칠곡향교</t>
  </si>
  <si>
    <t>*구마사지엔 헤스티아</t>
  </si>
  <si>
    <t xml:space="preserve"> https://m.place.naver.com/place/1288143323/home?entry=pll</t>
  </si>
  <si>
    <t>대구 마사지 헤스티아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</si>
  <si>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4.[*구마사지엔 헤스티아]플레이스를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{ㄷㅇㅅ}
정답 : &lt;3&gt; 글자
* 정답란에 띄어쓰기 없이 입력 후 제출해주세요.</t>
  </si>
  <si>
    <t>대구 팔거역 마사지 헤스티아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</si>
  <si>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4.[*구마사지엔 헤스티아]플레이스를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{ㅇㄱㄷㅅ}
정답 : &lt;4&gt; 글자
* 정답란에 띄어쓰기 없이 입력 후 제출해주세요.</t>
  </si>
  <si>
    <t>옻골동산</t>
  </si>
  <si>
    <t>고양시하수구막힘 고양시하수구막힘누수탐지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</si>
  <si>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4.[*양시하수구막힘누수탐지]플레이스를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{ㅈㄱㄱㅇ}
정답 : &lt;4&gt; 글자
* 정답란에 띄어쓰기 없이 입력 후 제출해주세요.</t>
  </si>
  <si>
    <t>조관공원</t>
  </si>
  <si>
    <t>*양시하수구막힘누수탐지</t>
  </si>
  <si>
    <t>https://m.place.naver.com/place/2094334777/home?entry=pll&amp;bk_query=</t>
  </si>
  <si>
    <t>고양시하수구막힘 삼송역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</si>
  <si>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4.[*양시하수구막힘누수탐지]플레이스를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</si>
  <si>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신원공원</t>
  </si>
  <si>
    <t>고양시하수구막힘 누수탐지 덕양구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</si>
  <si>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4.[*양시하수구막힘누수탐지]플레이스를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{ㅅㄱㅇㅇㄱㄱㅇ}
정답 : &lt;7&gt; 글자
* 정답란에 띄어쓰기 없이 입력 후 제출해주세요.</t>
  </si>
  <si>
    <t>송강이야기공원</t>
  </si>
  <si>
    <t>3월 세팅 완~3/3</t>
  </si>
  <si>
    <t>수영 코인노래방 CCY코인노래연습장 수영점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</si>
  <si>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4.[*CY코인노래연습장 수영점]플레이스를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{ㅂㅅ}
정답 : &lt;2&gt; 글자
* 정답란에 띄어쓰기 없이 입력 후 제출해주세요.</t>
  </si>
  <si>
    <t>*CY코인노래연습장 수영점</t>
  </si>
  <si>
    <t>https://m.place.naver.com/place/2035826578/home</t>
  </si>
  <si>
    <t>수영역 코인노래연습장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</si>
  <si>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4.[*CY코인노래연습장 수영점]플레이스를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{ㄱㅇㅅㄷ}
정답 : &lt;4&gt; 글자
* 정답란에 띄어쓰기 없이 입력 후 제출해주세요.</t>
  </si>
  <si>
    <t>광안성당</t>
  </si>
  <si>
    <t>수영동 코인노래연습장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</si>
  <si>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4.[*CY코인노래연습장 수영점]플레이스를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{ㅇㄹㅅㅇ}
정답 : &lt;4&gt; 글자
* 정답란에 띄어쓰기 없이 입력 후 제출해주세요.</t>
  </si>
  <si>
    <t>청주 북문로 꽃집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</si>
  <si>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4.[*경숙플라워]플레이스를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{ㅇㅎㅅ}
정답 : &lt;3&gt; 글자
* 정답란에 띄어쓰기 없이 입력 후 제출해주세요.</t>
  </si>
  <si>
    <t>용화사</t>
  </si>
  <si>
    <t>*경숙플라워</t>
  </si>
  <si>
    <t>https://m.place.naver.com/place/11713942/home</t>
  </si>
  <si>
    <t>청주 북문로 꽃집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</si>
  <si>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4.[*경숙플라워]플레이스를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{ㅊㅈㅅㄱㅎㅅㄷ}
정답 : &lt;7&gt; 글자
* 정답란에 띄어쓰기 없이 입력 후 제출해주세요.</t>
  </si>
  <si>
    <t>청주성공회성당</t>
  </si>
  <si>
    <t>청주 북문로 꽃배달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</si>
  <si>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4.[*경숙플라워]플레이스를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{ㅁㅅㅊㅊㅇㄱㅇ}
정답 : &lt;7&gt; 글자
* 정답란에 띄어쓰기 없이 입력 후 제출해주세요.</t>
  </si>
  <si>
    <t>무심천체육공원</t>
  </si>
  <si>
    <t>진주 칠암동 공인중개사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</si>
  <si>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4.[*부동산공인중개사사무소]플레이스를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{ㅅㅎㅅ}
정답 : &lt;3&gt; 글자
* 정답란에 띄어쓰기 없이 입력 후 제출해주세요.</t>
  </si>
  <si>
    <t>선학산</t>
  </si>
  <si>
    <t>*부동산공인중개사사무소</t>
  </si>
  <si>
    <t>https://m.place.naver.com/place/1880994037/home</t>
  </si>
  <si>
    <t>진주 칠암동 공인중개사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</si>
  <si>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4.[*부동산공인중개사사무소]플레이스를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{ㅅㅎㅅㅈㅁㄷ}
정답 : &lt;6&gt; 글자
* 정답란에 띄어쓰기 없이 입력 후 제출해주세요.</t>
  </si>
  <si>
    <t>선학산전망대</t>
  </si>
  <si>
    <t>대구 고성동 네일샵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</si>
  <si>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4.[*유뷰티]플레이스를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{ㄷㄱㄷㅅ}
정답 : &lt;4&gt; 글자
* 정답란에 띄어쓰기 없이 입력 후 제출해주세요.</t>
  </si>
  <si>
    <t>대구달성</t>
  </si>
  <si>
    <t>*유뷰티</t>
  </si>
  <si>
    <t>https://m.place.naver.com/nailshop/1391715445/home?entry=pll&amp;bk_query=%EC%98%A8%EC%9C%A0%EB%B7%B0%ED%8B%B0</t>
  </si>
  <si>
    <t>대구 고성동 네일샵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</si>
  <si>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4.[*유뷰티]플레이스를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{ㄷㅇㅅㄷ}
정답 : &lt;4&gt; 글자
* 정답란에 띄어쓰기 없이 입력 후 제출해주세요.</t>
  </si>
  <si>
    <t>대안성당</t>
  </si>
  <si>
    <t>신내동 푸른의원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</si>
  <si>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{ㅅㄴㄱㅇ}
정답 : &lt;4&gt; 글자
* 정답란에 띄어쓰기 없이 입력 후 제출해주세요.</t>
  </si>
  <si>
    <t>신내공원</t>
  </si>
  <si>
    <t>*른의원</t>
  </si>
  <si>
    <t>https://m.place.naver.com/hospital/19527728/home</t>
  </si>
  <si>
    <t>신내동 푸른의원 위치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</si>
  <si>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{ㅂㅁㅅ}
정답 : &lt;3&gt; 글자
* 정답란에 띄어쓰기 없이 입력 후 제출해주세요.</t>
  </si>
  <si>
    <t>법만사</t>
  </si>
  <si>
    <t>3월 세팅 완~3/31</t>
  </si>
  <si>
    <t>홍대입구역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</si>
  <si>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4.[*세여우치과의원 홍대점]플레이스를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{ㅎㄷㅊㅈㄱㄹ}
정답 : &lt;6&gt; 글자
* 정답란에 띄어쓰기 없이 입력 후 제출해주세요.</t>
  </si>
  <si>
    <t>*세여우치과의원 홍대점</t>
  </si>
  <si>
    <t>https://m.place.naver.com/hospital/11711446/home?entry=pll</t>
  </si>
  <si>
    <t>홍대 소아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</si>
  <si>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4.[*세여우치과의원 홍대점]플레이스를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{ㅎㄷㅋㄹㄱㄹ}
정답 : &lt;6&gt; 글자
* 정답란에 띄어쓰기 없이 입력 후 제출해주세요.</t>
  </si>
  <si>
    <t>홍대클럽거리</t>
  </si>
  <si>
    <t>홍대 치아교정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</si>
  <si>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4.[*세여우치과의원 홍대점]플레이스를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{ㅇㅇㄱㅇ}
정답 : &lt;4&gt; 글자
* 정답란에 띄어쓰기 없이 입력 후 제출해주세요.</t>
  </si>
  <si>
    <t>와우공원</t>
  </si>
  <si>
    <t>홍대 치과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</si>
  <si>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4.[*세여우치과의원 홍대점]플레이스를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{ㅅㄹㅅ}
정답 : &lt;3&gt; 글자
* 정답란에 띄어쓰기 없이 입력 후 제출해주세요.</t>
  </si>
  <si>
    <t>성룡사</t>
  </si>
  <si>
    <t>동교동 치과 예약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</si>
  <si>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[*세여우치과의원 홍대점]플레이스를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</si>
  <si>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천안 소고기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</si>
  <si>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4.[*984 한우클래식 천안본점]플레이스를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{ㅇㅂㅅ}
정답 : &lt;3&gt; 글자
* 정답란에 띄어쓰기 없이 입력 후 제출해주세요.</t>
  </si>
  <si>
    <t>월봉산</t>
  </si>
  <si>
    <t>*984 한우클래식 천안본점</t>
  </si>
  <si>
    <t>https://m.place.naver.com/restaurant/1480454794/home?entry=pll</t>
  </si>
  <si>
    <t>https://docs.google.com/spreadsheets/d/1zhAFpops78k7PnvrV1pqOCrWh5wtwAUgA1T-XkpzvP4/edit?usp=sharing</t>
  </si>
  <si>
    <t>불당동 한우 맛집 예약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</si>
  <si>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[*984 한우클래식 천안본점]플레이스를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</si>
  <si>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천안 불당동 소고기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</si>
  <si>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4.[*984 한우클래식 프라이빗]플레이스를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{ㅂㅅㅅ}
정답 : &lt;3&gt; 글자
* 정답란에 띄어쓰기 없이 입력 후 제출해주세요.</t>
  </si>
  <si>
    <t>*984 한우클래식 프라이빗</t>
  </si>
  <si>
    <t>https://m.place.naver.com/restaurant/1015365825/home?entry=pll</t>
  </si>
  <si>
    <t>불당동 한우 오마카세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</si>
  <si>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[*984 한우클래식 프라이빗]플레이스를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</si>
  <si>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천안 성성동 소고기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</si>
  <si>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4.[*984 한우클래식 하이엔드]플레이스를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{ㅊㅇㄱㄹㄱㅇ}
정답 : &lt;6&gt; 글자
* 정답란에 띄어쓰기 없이 입력 후 제출해주세요.</t>
  </si>
  <si>
    <t>차암근린공원</t>
  </si>
  <si>
    <t>*984 한우클래식 하이엔드</t>
  </si>
  <si>
    <t>https://m.place.naver.com/restaurant/1422929063/home?entry=pll</t>
  </si>
  <si>
    <t>성성동 한우 오마카세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</si>
  <si>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[*984 한우클래식 하이엔드]플레이스를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</si>
  <si>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천안 성성동 소고기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</si>
  <si>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4.[*984 한우클래식 울프강]플레이스를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{ㅋㅁㅅ}
정답 : &lt;3&gt; 글자
* 정답란에 띄어쓰기 없이 입력 후 제출해주세요.</t>
  </si>
  <si>
    <t>큰매산</t>
  </si>
  <si>
    <t>*984 한우클래식 울프강</t>
  </si>
  <si>
    <t>https://m.place.naver.com/restaurant/1683289930/home?entry=pll</t>
  </si>
  <si>
    <t>성성동 한우 맛집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</si>
  <si>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[*984 한우클래식 울프강]플레이스를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</si>
  <si>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의정부 헬스장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</si>
  <si>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4.[*itness H]플레이스를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{ㄷㅂㅅㄷㄹㄱ}
정답 : &lt;6&gt; 글자
* 정답란에 띄어쓰기 없이 입력 후 제출해주세요.</t>
  </si>
  <si>
    <t>도봉산둘레길</t>
  </si>
  <si>
    <t>*itness H</t>
  </si>
  <si>
    <t>https://m.place.naver.com/place/12990269/home?entry=pll</t>
  </si>
  <si>
    <t>망월사역 헬스장 추천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</si>
  <si>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[*itness H]플레이스를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</si>
  <si>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연남동 루프탑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</si>
  <si>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4.[*채색]플레이스를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{ㅎㄷㄱㄹ}
정답 : &lt;4&gt; 글자
* 정답란에 띄어쓰기 없이 입력 후 제출해주세요.</t>
  </si>
  <si>
    <t>*채색</t>
  </si>
  <si>
    <t>https://m.place.naver.com/restaurant/1146136386/home?entry=plt</t>
  </si>
  <si>
    <t>연남동 루프탑 요리주점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</si>
  <si>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[*채색]플레이스를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</si>
  <si>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연남동 루프탑 와인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</si>
  <si>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4.[*채색]플레이스를 방문 하고 [ 소식 ] 탭을 클릭 해주세요.
 5. [ 소식 ] 탭을 클릭 후 아래 게시글 확인 해주세요. 
 6. 게시글을 보고 빈칸을 확인 후 정답에 입력 해주세요.  
 7.  정답 : &lt;3&gt; 글자
초성힌트 : {알림 추운 겨울에도 이용 가능한 따뜻한 OOO !}
* 정답란에 띄어쓰기 없이 입력 후 제출해주세요.</t>
  </si>
  <si>
    <t>루프탑</t>
  </si>
  <si>
    <t>연남동 루프탑 주점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</si>
  <si>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4.[*채색]플레이스를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{ㅎㅇㅁㅎㄱㅇ}
정답 : &lt;6&gt; 글자
* 정답란에 띄어쓰기 없이 입력 후 제출해주세요.</t>
  </si>
  <si>
    <t>홍익문화공원</t>
  </si>
  <si>
    <t>마포구 곱창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</si>
  <si>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4.[*화곱창]플레이스를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{ㄱㅇㅅㄱㅇ}
정답 : &lt;5&gt; 글자
* 정답란에 띄어쓰기 없이 입력 후 제출해주세요.</t>
  </si>
  <si>
    <t>경의선공원</t>
  </si>
  <si>
    <t>*화곱창</t>
  </si>
  <si>
    <t>https://m.place.naver.com/restaurant/1190007175/home?entry=plt</t>
  </si>
  <si>
    <t>공덕역 곱창 추천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</si>
  <si>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[*화곱창]플레이스를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</si>
  <si>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가정역 뭉티기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</si>
  <si>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4.[*늘뭉티기 루원시티점]플레이스를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{ㅇㅅㄱㄹㄱㅇ}
정답 : &lt;6&gt; 글자
* 정답란에 띄어쓰기 없이 입력 후 제출해주세요.</t>
  </si>
  <si>
    <t>원신근린공원</t>
  </si>
  <si>
    <t>*늘뭉티기 루원시티점</t>
  </si>
  <si>
    <t>https://m.place.naver.com/restaurant/1053214346/home?entry=plt</t>
  </si>
  <si>
    <t>가정동 뭉티기 추천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</si>
  <si>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[*늘뭉티기 루원시티점]플레이스를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</si>
  <si>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인천 용현동 뭉티기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</si>
  <si>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4.[*늘뭉티기]플레이스를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{ㅂㄱㅅㅇ}
정답 : &lt;4&gt; 글자
* 정답란에 띄어쓰기 없이 입력 후 제출해주세요.</t>
  </si>
  <si>
    <t>보각선원</t>
  </si>
  <si>
    <t>*늘뭉티기</t>
  </si>
  <si>
    <t>https://m.place.naver.com/restaurant/1044797325/home?entry=pll</t>
  </si>
  <si>
    <t>미추홀구 뭉티기 맛집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</si>
  <si>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[*늘뭉티기]플레이스를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</si>
  <si>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경주 우렁된장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</si>
  <si>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4.[*주우렁각시]플레이스를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{ㅂㄱㅅㅊㅂㄱ}
정답 : &lt;6&gt; 글자
* 정답란에 띄어쓰기 없이 입력 후 제출해주세요.</t>
  </si>
  <si>
    <t>불국사칠보교</t>
  </si>
  <si>
    <t>*주우렁각시</t>
  </si>
  <si>
    <t>https://m.place.naver.com/restaurant/15261549</t>
  </si>
  <si>
    <t>경주 우렁강된장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</si>
  <si>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4.[*주우렁각시]플레이스를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{ㅂㄱㅅㅂㅇㄱ}
정답 : &lt;6&gt; 글자
* 정답란에 띄어쓰기 없이 입력 후 제출해주세요.</t>
  </si>
  <si>
    <t>불국사백운교</t>
  </si>
  <si>
    <t>경주 하동 떡갈비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</si>
  <si>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4.[*주우렁각시]플레이스를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{ㅇㄲㅁ}
정답 : &lt;3&gt; 글자
* 정답란에 띄어쓰기 없이 입력 후 제출해주세요.</t>
  </si>
  <si>
    <t>연꽃못</t>
  </si>
  <si>
    <t>교대역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</si>
  <si>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교대점]플레이스를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{ㅁㅁㄹㄸㄱㅇ}
정답 : &lt;6&gt; 글자
* 정답란에 띄어쓰기 없이 입력 후 제출해주세요.</t>
  </si>
  <si>
    <t>몽마르뜨공원</t>
  </si>
  <si>
    <t>*자카야나무 교대점</t>
  </si>
  <si>
    <t>https://m.place.naver.com/restaurant/1620580872</t>
  </si>
  <si>
    <t>교대역 이자카야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</si>
  <si>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교대점]플레이스를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{ㅁㄷㄱㅇ}
정답 : &lt;4&gt; 글자
* 정답란에 띄어쓰기 없이 입력 후 제출해주세요.</t>
  </si>
  <si>
    <t>교대역 이자카야 단체석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</si>
  <si>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교대점]플레이스를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{ㅅㄹㅍㄱㅇ}
정답 : &lt;5&gt; 글자
* 정답란에 띄어쓰기 없이 입력 후 제출해주세요.</t>
  </si>
  <si>
    <t>서리풀공원</t>
  </si>
  <si>
    <t>강남역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</si>
  <si>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{ㅇㅎㄴㅁㄱㅇ}
정답 : &lt;6&gt; 글자
* 정답란에 띄어쓰기 없이 입력 후 제출해주세요.</t>
  </si>
  <si>
    <t>*자카야나무 서초점</t>
  </si>
  <si>
    <t>https://m.place.naver.com/restaurant/37725304</t>
  </si>
  <si>
    <t>강남역 이자카야 단체석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</si>
  <si>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{ㅇㅅㅁㄱㅎㄱㅇ}
정답 : &lt;7&gt; 글자
* 정답란에 띄어쓰기 없이 입력 후 제출해주세요.</t>
  </si>
  <si>
    <t>역삼무궁화공원</t>
  </si>
  <si>
    <t>서초 강남역 이자카야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</si>
  <si>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{ㅁㄱㅎㄱㅇ}
정답 : &lt;5&gt; 글자
* 정답란에 띄어쓰기 없이 입력 후 제출해주세요.</t>
  </si>
  <si>
    <t>무궁화공원</t>
  </si>
  <si>
    <t>창원 형사이혼전문변호사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</si>
  <si>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변호사창원사무소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{ㅂㅇㅅ}
정답 : &lt;3&gt; 글자
* 정답란에 띄어쓰기 없이 입력 후 제출해주세요.</t>
  </si>
  <si>
    <t>비음산</t>
  </si>
  <si>
    <t>*무법인 오현 변호사창원사무소 형사이혼전문</t>
  </si>
  <si>
    <t>https://m.place.naver.com/place/1250445692</t>
  </si>
  <si>
    <t>사파동 형사이혼전문변호사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</si>
  <si>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변호사창원사무소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{ㅊㅇㄱㅈ}
정답 : &lt;4&gt; 글자
* 정답란에 띄어쓰기 없이 입력 후 제출해주세요.</t>
  </si>
  <si>
    <t>창원광장</t>
  </si>
  <si>
    <t>창원 성산구 형사이혼전문변호사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</si>
  <si>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변호사창원사무소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{ㄱㅇㅈㄱㄹㄱㅇ}
정답 : &lt;7&gt; 글자
* 정답란에 띄어쓰기 없이 입력 후 제출해주세요.</t>
  </si>
  <si>
    <t>가음정근린공원</t>
  </si>
  <si>
    <t>익산 중앙동 닭강정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</si>
  <si>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4.[*개날다 닭강정]플레이스를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{ㅇㅅㅂㅅㄱㅇ}
정답 : &lt;6&gt; 글자
* 정답란에 띄어쓰기 없이 입력 후 제출해주세요.</t>
  </si>
  <si>
    <t>익산배산공원</t>
  </si>
  <si>
    <t>*개날다 닭강정</t>
  </si>
  <si>
    <t>https://m.place.naver.com/restaurant/2018158928/home</t>
  </si>
  <si>
    <t>익산 중앙동 양념닭강정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</si>
  <si>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4.[*개날다 닭강정]플레이스를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{ㅂㅅ}
정답 : &lt;2&gt; 글자
* 정답란에 띄어쓰기 없이 입력 후 제출해주세요.</t>
  </si>
  <si>
    <t>배산</t>
  </si>
  <si>
    <t>익산 중앙로 양념닭강정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</si>
  <si>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4.[*개날다 닭강정]플레이스를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{ㅅㄷㅅㄷ}
정답 : &lt;4&gt; 글자
* 정답란에 띄어쓰기 없이 입력 후 제출해주세요.</t>
  </si>
  <si>
    <t>신동성당</t>
  </si>
  <si>
    <t>인천 서구 청라에메랄드로 네일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</si>
  <si>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4.[*미무드네일]플레이스를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</si>
  <si>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사염공원</t>
  </si>
  <si>
    <t>*미무드네일</t>
  </si>
  <si>
    <t>https://m.place.naver.com/nailshop/1587592784/home</t>
  </si>
  <si>
    <t>인천 서구 청라에메랄드로 네일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</si>
  <si>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4.[*미무드네일]플레이스를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{ㅊㄹㅎㅅㄱㅇ}
정답 : &lt;6&gt; 글자
* 정답란에 띄어쓰기 없이 입력 후 제출해주세요.</t>
  </si>
  <si>
    <t>청라호수공원</t>
  </si>
  <si>
    <t>인천 서구 청라에메랄드로 네일샵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</si>
  <si>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4.[*미무드네일]플레이스를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{ㅅㅎㅅ}
정답 : &lt;3&gt; 글자
* 정답란에 띄어쓰기 없이 입력 후 제출해주세요.</t>
  </si>
  <si>
    <t>승학산</t>
  </si>
  <si>
    <t>E</t>
  </si>
  <si>
    <t>구미 파인드미 헤어 컷</t>
  </si>
  <si>
    <t>구미 파인드미 헤어 펌</t>
  </si>
  <si>
    <t>고한 한우 맛집 누리한우촌</t>
  </si>
  <si>
    <t>하이원 맛집 누리한우촌</t>
  </si>
  <si>
    <t>안산 선부동 커튼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</si>
  <si>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4.[**블라인드]플레이스를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{ㅅㄱㅇㅅㅇㅈㄱㅇ}
정답 : &lt;8&gt; 글자
* 정답란에 띄어쓰기 없이 입력 후 제출해주세요.</t>
  </si>
  <si>
    <t>신길역사유적공원</t>
  </si>
  <si>
    <t>**블라인드</t>
  </si>
  <si>
    <t>https://m.place.naver.com/place/1950204097/home</t>
  </si>
  <si>
    <t>https://docs.google.com/spreadsheets/d/1YCn61UsBXRjUgeWs56dbh8eDxQloAxk59OhkEr0009I/edit?gid=526316958#gid=526316958</t>
  </si>
  <si>
    <t>안산 선부동 블라인드</t>
  </si>
  <si>
    <t>안산 선부동 버티컬</t>
  </si>
  <si>
    <t>선부동 버티컬 업체</t>
  </si>
  <si>
    <t>선부동 블라인드 예약</t>
  </si>
  <si>
    <t>창원 커튼 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</si>
  <si>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4.[**블라인드]플레이스를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{ㅈㅎㄹ}
정답 : &lt;3&gt; 글자
* 정답란에 띄어쓰기 없이 입력 후 제출해주세요.</t>
  </si>
  <si>
    <t>진해루</t>
  </si>
  <si>
    <t>https://m.place.naver.com/place/1718335900/home</t>
  </si>
  <si>
    <t>진해구 커튼 업체</t>
  </si>
  <si>
    <t>창원 버티컬 업체</t>
  </si>
  <si>
    <t>창원 블라인드 예약</t>
  </si>
  <si>
    <t>진해구 블라인드 업체</t>
  </si>
  <si>
    <t>수원 음악학원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</si>
  <si>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4.[*직드로잉 취미음악학원 수원시청점]플레이스를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{ㅅㅇㅊ}
정답 : &lt;3&gt; 글자
* 정답란에 띄어쓰기 없이 입력 후 제출해주세요.</t>
  </si>
  <si>
    <t>수원천</t>
  </si>
  <si>
    <t>*직드로잉 취미음악학원 수원시청점</t>
  </si>
  <si>
    <t>https://m.place.naver.com/place/1426217193/home?entry=pll</t>
  </si>
  <si>
    <t>https://docs.google.com/spreadsheets/d/1WLnLE48IIKamkZLssKmFPZFbEeVzEYNPk050BRSo7CQ/edit?gid=0#gid=0</t>
  </si>
  <si>
    <t>수원 취미음악학원</t>
  </si>
  <si>
    <t>수원시청역 취미음악학원</t>
  </si>
  <si>
    <t>수원시청역 음악학원</t>
  </si>
  <si>
    <t>권선동 음악학원</t>
  </si>
  <si>
    <t>울산 위고비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</si>
  <si>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4.[*림미의원]플레이스를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{ㅈㄷㄱㅇ}
정답 : &lt;4&gt; 글자
* 정답란에 띄어쓰기 없이 입력 후 제출해주세요.</t>
  </si>
  <si>
    <t>자두공원</t>
  </si>
  <si>
    <t>*림미의원</t>
  </si>
  <si>
    <t>https://m.place.naver.com/hospital/1246494345/home</t>
  </si>
  <si>
    <t>울산 마운자로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</si>
  <si>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4.[*림미의원]플레이스를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{ㅇㅅㅇㄷㄱㄹ}
정답 : &lt;6&gt; 글자
* 정답란에 띄어쓰기 없이 입력 후 제출해주세요.</t>
  </si>
  <si>
    <t>울산웨딩거리</t>
  </si>
  <si>
    <t>울산 슬림미의원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</si>
  <si>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4.[*림미의원]플레이스를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{ㅇㄷㅌㅁㄱㅇ}
정답 : &lt;6&gt; 글자
* 정답란에 띄어쓰기 없이 입력 후 제출해주세요.</t>
  </si>
  <si>
    <t>웨딩테마공원</t>
  </si>
  <si>
    <t>울산 피부과 슬림미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</si>
  <si>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4.[*림미의원]플레이스를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{ㄴㅍㄹㄱㅇ}
정답 : &lt;5&gt; 글자
* 정답란에 띄어쓰기 없이 입력 후 제출해주세요.</t>
  </si>
  <si>
    <t>울산 슬림미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</si>
  <si>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4.[*림미의원]플레이스를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{ㄱㅇㄷㅁㅎㄱㅇ}
정답 : &lt;7&gt; 글자
* 정답란에 띄어쓰기 없이 입력 후 제출해주세요.</t>
  </si>
  <si>
    <t>강원도민회공원</t>
  </si>
  <si>
    <t>이태원 곱도리탕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</si>
  <si>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4.[*번째집]플레이스를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{ㄱㄹㄷㄱ}
정답 : &lt;4&gt; 글자
* 정답란에 띄어쓰기 없이 입력 후 제출해주세요.</t>
  </si>
  <si>
    <t>경리단길</t>
  </si>
  <si>
    <t>광안리 브런치 카페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</si>
  <si>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4.[*타팜 테라스 광안리점]플레이스를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{ㄱㅇㄹㅋㅍㄱㄹ}
정답 : &lt;7&gt; 글자
* 정답란에 띄어쓰기 없이 입력 후 제출해주세요.</t>
  </si>
  <si>
    <t>*타팜 테라스 광안리점</t>
  </si>
  <si>
    <t>https://m.place.naver.com/restaurant/89125916/home</t>
  </si>
  <si>
    <t>광안리 브런치 카페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</si>
  <si>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4.[*타팜 테라스 광안리점]플레이스를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{ㅎㅇㄱㄹㄱㅇ}
정답 : &lt;6&gt; 글자
* 정답란에 띄어쓰기 없이 입력 후 제출해주세요.</t>
  </si>
  <si>
    <t>무주 닭볶음탕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</si>
  <si>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4.[*주농원]플레이스를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{ㄷㅇㅅㅈㅇㅎㅇㄹ}
정답 : &lt;8&gt; 글자
* 정답란에 띄어쓰기 없이 입력 후 제출해주세요.</t>
  </si>
  <si>
    <t>덕유산자연휴양림</t>
  </si>
  <si>
    <t>*주농원</t>
  </si>
  <si>
    <t>https://m.place.naver.com/restaurant/1577150678/home</t>
  </si>
  <si>
    <t>무주 닭볶음탕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</si>
  <si>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4.[*주농원]플레이스를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{ㅅㅊㅂ}
정답 : &lt;3&gt; 글자
* 정답란에 띄어쓰기 없이 입력 후 제출해주세요.</t>
  </si>
  <si>
    <t>무주 솥뚜껑 닭볶음탕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</si>
  <si>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4.[*주농원]플레이스를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{ㄱㅁㅈㅅㅈ}
정답 : &lt;5&gt; 글자
* 정답란에 띄어쓰기 없이 입력 후 제출해주세요.</t>
  </si>
  <si>
    <t>무주 솥뚜껑 닭볶음탕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</si>
  <si>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4.[*주농원]플레이스를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{ㅇㅇㄷ}
정답 : &lt;3&gt; 글자
* 정답란에 띄어쓰기 없이 입력 후 제출해주세요.</t>
  </si>
  <si>
    <t>홍성 금마면 숙소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</si>
  <si>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4.[*테이 그리다]플레이스를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{ㅇㅎㅈㄱㅇ}
정답 : &lt;5&gt; 글자
* 정답란에 띄어쓰기 없이 입력 후 제출해주세요.</t>
  </si>
  <si>
    <t>이한직가옥</t>
  </si>
  <si>
    <t>홍성 전통숙소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</si>
  <si>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4.[*테이 그리다]플레이스를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{ㅇㅈㅇㅎㅈㄱㅇ}
정답 : &lt;7&gt; 글자
* 정답란에 띄어쓰기 없이 입력 후 제출해주세요.</t>
  </si>
  <si>
    <t>의좋은형제공원</t>
  </si>
  <si>
    <t>성북구 정릉동 청소대행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</si>
  <si>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4.[*성기업]플레이스를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{ㅎㄴㅎㅁㄷ}
정답 : &lt;5&gt; 글자
* 정답란에 띄어쓰기 없이 입력 후 제출해주세요.</t>
  </si>
  <si>
    <t>하늘한마당</t>
  </si>
  <si>
    <t>*성기업</t>
  </si>
  <si>
    <t>https://m.place.naver.com/place/1818368995/home</t>
  </si>
  <si>
    <t>성북구 정릉동 청소대행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</si>
  <si>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4.[*성기업]플레이스를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{ㅅㄱㄷㅎㄱ}
정답 : &lt;5&gt; 글자
* 정답란에 띄어쓰기 없이 입력 후 제출해주세요.</t>
  </si>
  <si>
    <t>서경대학교</t>
  </si>
  <si>
    <t>금련산역 브런치 카페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</si>
  <si>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4.[*타팜 테라스 광안리점]플레이스를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{ㅁㄹㅎㅂㄱㅇ}
정답 : &lt;6&gt; 글자
* 정답란에 띄어쓰기 없이 입력 후 제출해주세요.</t>
  </si>
  <si>
    <t>민락해변공원</t>
  </si>
  <si>
    <t>금련산역 브런치 카페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</si>
  <si>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4.[*타팜 테라스 광안리점]플레이스를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{ㅎㅁㅅ}
정답 : &lt;3&gt; 글자
* 정답란에 띄어쓰기 없이 입력 후 제출해주세요.</t>
  </si>
  <si>
    <t>호민사</t>
  </si>
  <si>
    <t>광명 철산동 교정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</si>
  <si>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{ㅊㅁㅅㄱㄹㄱㅇ}
정답 : &lt;7&gt; 글자
* 정답란에 띄어쓰기 없이 입력 후 제출해주세요.</t>
  </si>
  <si>
    <t>철망산근린공원</t>
  </si>
  <si>
    <t>*디플란트치과의원 광명</t>
  </si>
  <si>
    <t>https://m.place.naver.com/hospital/11569511/home</t>
  </si>
  <si>
    <t>광명 철산동 턱관절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</si>
  <si>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{ㄱㅁㅊㅂㄱㅈ}
정답 : &lt;6&gt; 글자
* 정답란에 띄어쓰기 없이 입력 후 제출해주세요.</t>
  </si>
  <si>
    <t>광명찬빛광장</t>
  </si>
  <si>
    <t>광명 철산동 사랑니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</si>
  <si>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{ㄱㅂㅅㄷ}
정답 : &lt;4&gt; 글자
* 정답란에 띄어쓰기 없이 입력 후 제출해주세요.</t>
  </si>
  <si>
    <t>광북성당</t>
  </si>
  <si>
    <t>대전 둔산동 이혼소송변호사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</si>
  <si>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대전사무소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{ㅅㄷㅅㅇ}
정답 : &lt;4&gt; 글자
* 정답란에 띄어쓰기 없이 입력 후 제출해주세요.</t>
  </si>
  <si>
    <t>세등선원</t>
  </si>
  <si>
    <t>*무법인 오현 대전사무소 형사이혼전문</t>
  </si>
  <si>
    <t>https://m.place.naver.com/place/1564240011/home</t>
  </si>
  <si>
    <t>대전 둔산동 법률상담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</si>
  <si>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대전사무소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{ㅁㄴㄷㅅㄷ}
정답 : &lt;5&gt; 글자
* 정답란에 띄어쓰기 없이 입력 후 제출해주세요.</t>
  </si>
  <si>
    <t>만년동성당</t>
  </si>
  <si>
    <t>대전 둔산동 성범죄전문변호사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</si>
  <si>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대전사무소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{ㄷㅅㅅㅇ}
정답 : &lt;4&gt; 글자
* 정답란에 띄어쓰기 없이 입력 후 제출해주세요.</t>
  </si>
  <si>
    <t>도산서원</t>
  </si>
  <si>
    <t>대전 둔산동 형사소송변호사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</si>
  <si>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대전사무소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{ㅊㅎㅅ}
정답 : &lt;3&gt; 글자
* 정답란에 띄어쓰기 없이 입력 후 제출해주세요.</t>
  </si>
  <si>
    <t>충효사</t>
  </si>
  <si>
    <t>대전 법무법인 오현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</si>
  <si>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대전사무소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{ㄴㅅㄱㅇ}
정답 : &lt;4&gt; 글자
* 정답란에 띄어쓰기 없이 입력 후 제출해주세요.</t>
  </si>
  <si>
    <t>남선공원</t>
  </si>
  <si>
    <t>일산 경락마사지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</si>
  <si>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4.[*송스포츠마사지 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{ㄴㄹㄱ}
정답 : &lt;3&gt; 글자
* 정답란에 띄어쓰기 없이 입력 후 제출해주세요.</t>
  </si>
  <si>
    <t>*송스포츠마사지 일산본점</t>
  </si>
  <si>
    <t>https://m.place.naver.com/place/11838921/home</t>
  </si>
  <si>
    <t>일산 정발산동 스포츠마사지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</si>
  <si>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4.[*송스포츠마사지 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{ㅎㅅㄱㅇ}
정답 : &lt;4&gt; 글자
* 정답란에 띄어쓰기 없이 입력 후 제출해주세요.</t>
  </si>
  <si>
    <t>호수공원</t>
  </si>
  <si>
    <t>일산 정발산동 커플마사지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</si>
  <si>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4.[*송스포츠마사지 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{ㅇㄹㅅ}
정답 : &lt;3&gt;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</si>
  <si>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4.[*스테틱 인천청라점]플레이스를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{ㅅㅎㅅ}
정답 : &lt;3&gt; 글자
* 정답란에 띄어쓰기 없이 입력 후 제출해주세요.</t>
  </si>
  <si>
    <t>청라 모스테틱</t>
  </si>
  <si>
    <t>청라 두피관리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</si>
  <si>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{ㅈㅂㅇ}
정답 : &lt;3&gt; 글자
* 정답란에 띄어쓰기 없이 입력 후 제출해주세요.</t>
  </si>
  <si>
    <t>자비암</t>
  </si>
  <si>
    <t>부산 허성엽 법무사</t>
  </si>
  <si>
    <t>부산 법무사 허성엽</t>
  </si>
  <si>
    <t>부산상속포기 법무사허성엽사무소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</si>
  <si>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{ㄴㅁㄱㅇ}
정답 : &lt;4&gt; 글자
* 정답란에 띄어쓰기 없이 입력 후 제출해주세요.</t>
  </si>
  <si>
    <t>낙민공원</t>
  </si>
  <si>
    <t>부산상속포기 허성엽 법무사</t>
  </si>
  <si>
    <t>부산상속포기 법무사</t>
  </si>
  <si>
    <t>LE</t>
  </si>
  <si>
    <t>3월 세팅 완 ~3/1</t>
  </si>
  <si>
    <t>배도라지즙 삼과채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</si>
  <si>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 도라* 스틱 배*라지즙 *액 청 맥*동 12g 15포 3Box 삼*채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삼과채건강즙 배곧본점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</si>
  <si>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삼과채건강즙 배곧본점</t>
  </si>
  <si>
    <t>https://smartstore.naver.com/samgwachae/products/8860063328</t>
  </si>
  <si>
    <t>https://docs.google.com/spreadsheets/d/1YnhvaNZosIhZ7OaMuMsKzuaCvMFLo9ZZBp1JeizLJrw/edit?gid=0#gid=0</t>
  </si>
  <si>
    <t>LokE</t>
  </si>
  <si>
    <t>배도라지즙 스틱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</si>
  <si>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 도라* 스틱 배*라지즙 *액 청 맥*동 12g 15포 3Box 삼*채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삼과채건강즙 배곧본점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</si>
  <si>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https://m.search.naver.com/search.naver?sm=mtp_hty.top&amp;where=m&amp;query=%EB%B0%B0%EB%8F%84%EB%9D%BC%EC%A7%80%EC%A6%99&amp;ackey=wvtx5pq4</t>
  </si>
  <si>
    <t>배도라지즙 진액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</si>
  <si>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 도라* 스틱 배*라지즙 *액 청 맥*동 12g 15포 3Box 삼*채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삼과채건강즙 배곧본점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</si>
  <si>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https://msearch.shopping.naver.com/search/all?query=%EB%B0%B0%EB%8F%84%EB%9D%BC%EC%A7%80%EC%A6%99&amp;vertical=search</t>
  </si>
  <si>
    <t>배도라지즙 맥문동 스틱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</si>
  <si>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 도라* 스틱 배*라지즙 *액 청 맥*동 12g 15포 3Box 삼*채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삼과채건강즙 배곧본점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</si>
  <si>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178개</t>
  </si>
  <si>
    <t>배도라지즙 스틱 삼과채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</si>
  <si>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배 도라* 스틱 배*라지즙 *액 청 맥*동 12g 15포 3Box 삼*채
 ( '광고' 클릭 절대 금지 )
 ▶판매처 : 삼과채건강즙 배곧본점
 5. 찜하기 클릭
 6. 바로가기 클릭
 7. 상품 클릭
 8. 링크(url) 복사 후 정답에 붙여넣기 후 제출</t>
    </r>
  </si>
  <si>
    <t>https://m.smartstore.naver.com/samgwachae/products/8860063328</t>
  </si>
  <si>
    <t>리포좀글루타치온 바이탈봄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</si>
  <si>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바*탈봄 리*좀글*타치* 리*존글*타치* 600mgX60정 3*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웰빙플러스유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</si>
  <si>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웰빙플러스유</t>
  </si>
  <si>
    <t>https://smartstore.naver.com/spring25/products/11538838726</t>
  </si>
  <si>
    <t>리포좀글루타치온 3병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</si>
  <si>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바*탈봄 리*좀글*타치* 리*존글*타치* 600mgX60정 3*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웰빙플러스유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</si>
  <si>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https://m.search.naver.com/search.naver?sm=mtp_hty.top&amp;where=m&amp;query=%EB%A6%AC%ED%8F%AC%EC%A2%80%EA%B8%80%EB%A3%A8%ED%83%80%EC%B9%98%EC%98%A8&amp;ackey=y3u8e50l</t>
  </si>
  <si>
    <t>리포좀글루타치온 60정 3병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</si>
  <si>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바*탈봄 리*좀글*타치* 리*존글*타치* 600mgX60정 3*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웰빙플러스유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</si>
  <si>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https://msearch.shopping.naver.com/search/all?query=%EB%A6%AC%ED%8F%AC%EC%A2%80%EA%B8%80%EB%A3%A8%ED%83%80%EC%B9%98%EC%98%A8&amp;vertical=search</t>
  </si>
  <si>
    <t>리포좀글루타치온 600mg 3병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</si>
  <si>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바*탈봄 리*좀글*타치* 리*존글*타치* 600mgX60정 3*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웰빙플러스유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</si>
  <si>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372개</t>
  </si>
  <si>
    <t>리포좀글루타치온 바이탈봄 3병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</si>
  <si>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바*탈봄 리*좀글*타치* 리*존글*타치* 600mgX60정 3*
 ( '광고' 클릭 절대 금지 )
 ▶판매처 : 웰빙플러스유
 5. 찜하기 클릭
 6. 바로가기 클릭
 7. 상품 클릭
 8. 링크(url) 복사 후 정답에 붙여넣기 후 제출</t>
    </r>
  </si>
  <si>
    <t>https://m.smartstore.naver.com/spring25/products/11538838726</t>
  </si>
  <si>
    <t>일회용앞치마 식당 업소용 부직포 1000매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</si>
  <si>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일*용 *치마 1000매 국산 *직포 업*용 *생 앞치* 식*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김가상점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</si>
  <si>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김가상점</t>
  </si>
  <si>
    <t>https://smartstore.naver.com/kimgashop/products/12211786228</t>
  </si>
  <si>
    <t>일회용앞치마 국산 업소용 부직포 1000매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</si>
  <si>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일*용 *치마 1000매 국산 *직포 업*용 *생 앞치* 식*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김가상점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</si>
  <si>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https://m.search.naver.com/search.naver?query=%EC%9D%BC%ED%9A%8C%EC%9A%A9%EC%95%9E%EC%B9%98%EB%A7%88&amp;sm=mtp_hty.top&amp;where=m</t>
  </si>
  <si>
    <t>일회용앞치마 식당 국산 부직포 1000매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</si>
  <si>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일*용 *치마 1000매 국산 *직포 업*용 *생 앞치* 식*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김가상점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</si>
  <si>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https://msearch.shopping.naver.com/search/all?query=%EC%9D%BC%ED%9A%8C%EC%9A%A9%EC%95%9E%EC%B9%98%EB%A7%88&amp;vertical=search</t>
  </si>
  <si>
    <t>일회용앞치마 국산 위생 부직포 1000매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</si>
  <si>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일*용 *치마 1000매 국산 *직포 업*용 *생 앞치* 식*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김가상점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</si>
  <si>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166개</t>
  </si>
  <si>
    <t>일회용앞치마 식당 위생 부직포 1000매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</si>
  <si>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일*용 *치마 1000매 국산 *직포 업*용 *생 앞치* 식*
 ( '광고' 클릭 절대 금지 )
 ▶판매처 : 김가상점
 5. 찜하기 클릭
 6. 바로가기 클릭
 7. 상품 클릭
 8. 링크(url) 복사 후 정답에 붙여넣기 후 제출</t>
    </r>
  </si>
  <si>
    <t>https://m.smartstore.naver.com/kimgashop/products/12211786228</t>
  </si>
  <si>
    <t>감성엽서 직접찍은 여행사진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</si>
  <si>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(4+1) 감**서 직**은 자연풍경 집인**어 카페 방**기 촬영소품 선물용 여행사진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수몬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</si>
  <si>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수몬</t>
  </si>
  <si>
    <t>https://smartstore.naver.com/sumonn/products/12674446296</t>
  </si>
  <si>
    <t>oLkE</t>
  </si>
  <si>
    <t>감성엽서 직접찍은 자연풍경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</si>
  <si>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(4+1) 감**서 직**은 자연풍경 집인**어 카페 방**기 촬영소품 선물용 여행사진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수몬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</si>
  <si>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https://m.search.naver.com/search.naver?sm=mtp_hty.top&amp;where=m&amp;query=%EA%B0%90%EC%84%B1%EC%97%BD%EC%84%9C&amp;ackey=8tscwrx6</t>
  </si>
  <si>
    <t>감성엽서 인테리어 촬영소품 선물용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</si>
  <si>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(4+1) 감**서 직**은 자연풍경 집인**어 카페 방**기 촬영소품 선물용 여행사진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수몬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</si>
  <si>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https://msearch.shopping.naver.com/search/all?query=%EA%B0%90%EC%84%B1%EC%97%BD%EC%84%9C&amp;vertical=search</t>
  </si>
  <si>
    <t>감성엽서 인테리어 선물용 여행사진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</si>
  <si>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(4+1) 감**서 직**은 자연풍경 집인**어 카페 방**기 촬영소품 선물용 여행사진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수몬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</si>
  <si>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295개</t>
  </si>
  <si>
    <t>감성엽서 4+1 직접찍은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</si>
  <si>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(4+1) 감**서 직**은 자연풍경 집인**어 카페 방**기 촬영소품 선물용 여행사진
 ( '광고' 클릭 절대 금지 )
 ▶판매처 : 수몬
 5. 찜하기 클릭
 6. 바로가기 클릭
 7. 상품 클릭
 8. 링크(url) 복사 후 정답에 붙여넣기 후 제출</t>
    </r>
  </si>
  <si>
    <t>https://m.smartstore.naver.com/sumonn/products/12674446296</t>
  </si>
  <si>
    <t>모바일 청첩장 알림톡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</si>
  <si>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</si>
  <si>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모바일 청첩장 리마인드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</si>
  <si>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</si>
  <si>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https://m.search.naver.com/search.naver?sm=mtp_hty.top&amp;where=m&amp;query=%EB%AA%A8%EB%B0%94%EC%9D%BC+%EC%B2%AD%EC%B2%A9%EC%9E%A5&amp;ackey=ldghoenx</t>
  </si>
  <si>
    <t>모바일 청첩장 평생소장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</si>
  <si>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</si>
  <si>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https://msearch.shopping.naver.com/search/all?query=%EB%AA%A8%EB%B0%94%EC%9D%BC%20%EC%B2%AD%EC%B2%A9%EC%9E%A5&amp;vertical=search</t>
  </si>
  <si>
    <t>모바일 청첩장 1+2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</si>
  <si>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</si>
  <si>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459개</t>
  </si>
  <si>
    <t>모바일 청첩장 하객 알림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</si>
  <si>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Bonne Yajou
 5. 찜하기 클릭
 6. 바로가기 클릭
 7. 상품 클릭
 8. 링크(url) 복사 후 정답에 붙여넣기 후 제출</t>
    </r>
  </si>
  <si>
    <t>https://m.smartstore.naver.com/bonneyajou/products/12584036947</t>
  </si>
  <si>
    <t>달항아리액자 이담작가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</si>
  <si>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</si>
  <si>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이담소상점</t>
  </si>
  <si>
    <t>https://smartstore.naver.com/idamso/products/12882598811</t>
  </si>
  <si>
    <t>https://docs.google.com/spreadsheets/d/15a3MfxY9WXvShR7UbxoUraaidVVUDS1yLJ7d5XA4N-Q/edit?usp=sharing</t>
  </si>
  <si>
    <t>달항아리액자 이담작가 그림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</si>
  <si>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</si>
  <si>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https://m.search.naver.com/search.naver?sm=mtp_hty.top&amp;where=m&amp;query=%EB%8B%AC%ED%95%AD%EC%95%84%EB%A6%AC+%EC%95%A1%EC%9E%90&amp;ackey=u1711ued</t>
  </si>
  <si>
    <t>달항아리액자 개업선물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</si>
  <si>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</si>
  <si>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https://msearch.shopping.naver.com/search/all?query=%EB%8B%AC%ED%95%AD%EC%95%84%EB%A6%AC%20%EC%95%A1%EC%9E%90&amp;frm=MOSCPRO&amp;nl-ts-pid=jTkAslqX6IKssNbj3Tl-389759</t>
  </si>
  <si>
    <t>달항아리액자 재물운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</si>
  <si>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</si>
  <si>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127개</t>
  </si>
  <si>
    <t>달항아리액자 풍수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</si>
  <si>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</si>
  <si>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https://m.smartstore.naver.com/idamso/products/12882598811</t>
  </si>
  <si>
    <t>답례품 비누 플루메리아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</si>
  <si>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</si>
  <si>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답례품 비누 결혼 돌잔치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</si>
  <si>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</si>
  <si>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https://m.search.naver.com/search.naver?sm=mtp_hty.top&amp;where=m&amp;query=%EB%8B%B5%EB%A1%80%ED%92%88+%EB%B9%84%EB%88%84&amp;ackey=06lni9io</t>
  </si>
  <si>
    <t>답례품 비누 천연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</si>
  <si>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</si>
  <si>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https://msearch.shopping.naver.com/search/all?query=%EB%8B%B5%EB%A1%80%ED%92%88%20%EB%B9%84%EB%88%84&amp;vertical=search</t>
  </si>
  <si>
    <t>답례품 비누 하와이꽃 천연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</si>
  <si>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</si>
  <si>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453개</t>
  </si>
  <si>
    <t>답례품 비누 플루메리아 돌잔치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</si>
  <si>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하*이꽃 플*메리* 결혼 돌*치 *례품 천*비누
 ( '광고' 클릭 절대 금지 )
 ▶판매처 : 온비다
 5. 찜하기 클릭
 6. 바로가기 클릭
 7. 상품 클릭
 8. 링크(url) 복사 후 정답에 붙여넣기 후 제출</t>
    </r>
  </si>
  <si>
    <t>https://m.smartstore.naver.com/soap_0322/products/12589486421</t>
  </si>
  <si>
    <t>졸업식꽃다발 토일월플라워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</si>
  <si>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대형 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</si>
  <si>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https://smartstore.naver.com/toilwol_flower/products/12972261684</t>
  </si>
  <si>
    <t>졸업식꽃다발 토일월플라워 생화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</si>
  <si>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대형 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</si>
  <si>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https://m.search.naver.com/search.naver?sm=mtp_hty.top&amp;where=m&amp;query=%EC%A1%B8%EC%97%85%EC%8B%9D%EA%BD%83%EB%8B%A4%EB%B0%9C&amp;ackey=yropnb2s</t>
  </si>
  <si>
    <t>졸업식꽃다발 토일월플라워 배송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</si>
  <si>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대형 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</si>
  <si>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https://msearch.shopping.naver.com/search/all?query=%EC%A1%B8%EC%97%85%EC%8B%9D%EA%BD%83%EB%8B%A4%EB%B0%9C&amp;vertical=search</t>
  </si>
  <si>
    <t>졸업식꽃다발 토일월플라워 기념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</si>
  <si>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대형 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</si>
  <si>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73개</t>
  </si>
  <si>
    <t>졸업식꽃다발 토일월플라워 연인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</si>
  <si>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졸*식 꽃*발 생**송 축하 기념 연인 선물 대형 L
 ( '광고' 클릭 절대 금지 )
 ▶판매처 : 토일월플라워
 5. 찜하기 클릭
 6. 바로가기 클릭 
 7. 상품 클릭
 8. 링크(url) 복사 후 정답에 붙여넣기 후 제출</t>
    </r>
  </si>
  <si>
    <t>https://m.smartstore.naver.com/toilwol_flower/products/12972261684</t>
  </si>
  <si>
    <t>졸업식 꽃다발 토일월플라워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</si>
  <si>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중형 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</si>
  <si>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https://smartstore.naver.com/toilwol_flower/products/12967427944</t>
  </si>
  <si>
    <t>졸업식 꽃다발 토일월플라워 연인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</si>
  <si>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중형 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</si>
  <si>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졸업식 꽃다발 토일월플라워 중형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</si>
  <si>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중형 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</si>
  <si>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졸업식 꽃다발 토일월플라워 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</si>
  <si>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중형 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</si>
  <si>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74개</t>
  </si>
  <si>
    <t>졸업식 꽃다발 토일월플라워 생화배송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</si>
  <si>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졸*식 꽃*발 생**송 축하 기념 연인 선물 중형 M
 ( '광고' 클릭 절대 금지 )
 ▶판매처 : 토일월플라워
 5. 찜하기 클릭
 6. 바로가기 클릭 
 7. 상품 클릭
 8. 링크(url) 복사 후 정답에 붙여넣기 후 제출</t>
    </r>
  </si>
  <si>
    <t>https://m.smartstore.naver.com/toilwol_flower/products/12967427944</t>
  </si>
  <si>
    <t>노즈워크 뚱땅 뚱땅 강아지 퍼즐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</si>
  <si>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</si>
  <si>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뚱땅 뚱땅</t>
  </si>
  <si>
    <t>https://smartstore.naver.com/gye_oul/products/12566771495</t>
  </si>
  <si>
    <t>노즈워크 분리불안 퍼즐 뚱땅뚱땅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</si>
  <si>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</si>
  <si>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https://m.search.naver.com/search.naver?sm=mtp_hty.top&amp;where=m&amp;query=%EB%85%B8%EC%A6%88%EC%9B%8C%ED%81%AC&amp;ackey=fkt4wpqv</t>
  </si>
  <si>
    <t>노즈워크 발자국퍼즐 강아지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</si>
  <si>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</si>
  <si>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https://msearch.shopping.naver.com/search/all?query=%EB%85%B8%EC%A6%88%EC%9B%8C%ED%81%AC&amp;vertical=search</t>
  </si>
  <si>
    <t>노즈워크 분리불안 강아지 발자국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</si>
  <si>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</si>
  <si>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노즈워크 분리불안 강아지 발자국퍼즐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</si>
  <si>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</si>
  <si>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https://m.smartstore.naver.com/gye_oul/products/12566771495</t>
  </si>
  <si>
    <t>쇼핑백 제작 빠른 종이가방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</si>
  <si>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</si>
  <si>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쇼핑백 초고속 맞춤제작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</si>
  <si>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</si>
  <si>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https://m.search.naver.com/search.naver?sm=mtp_hty.top&amp;where=m&amp;query=%EC%87%BC%ED%95%91%EB%B0%B1%EC%A0%9C%EC%9E%91&amp;ackey=a4c9i3xi</t>
  </si>
  <si>
    <t>쇼핑백 소량 관공서 200매 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</si>
  <si>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</si>
  <si>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https://msearch.shopping.naver.com/search/all?query=%EC%87%BC%ED%95%91%EB%B0%B1%EC%A0%9C%EC%9E%91&amp;vertical=search</t>
  </si>
  <si>
    <t>쇼핑백 제작 관공서 병원 치과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</si>
  <si>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</si>
  <si>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473개</t>
  </si>
  <si>
    <t>쇼핑백 제작 관공서 병원 치과 200매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</si>
  <si>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200매 소* 쇼*백제* 맞춤*작 빠른 *이가* 초*속 7일 관*서 *원 치*
 ( '광고' 클릭 절대 금지 )
 ▶판매처 : 인쇄공장
 5. 찜하기 클릭
 6. 바로가기 클릭
 7. 상품 클릭
 8. 링크(url) 복사 후 정답에 붙여넣기 후 제출</t>
    </r>
  </si>
  <si>
    <t>https://m.smartstore.naver.com/future_integration/products/7362295626</t>
  </si>
  <si>
    <t>자석 전단지 부동산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</si>
  <si>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</si>
  <si>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자석 전단지 종이자석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</si>
  <si>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</si>
  <si>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https://m.search.naver.com/search.naver?sm=mtp_hty.top&amp;where=m&amp;query=%EC%9E%90%EC%84%9D%20%EC%A0%84%EB%8B%A8%EC%A7%80&amp;ackey=rnf9597z</t>
  </si>
  <si>
    <t>자석 전단지 전단1000매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</si>
  <si>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</si>
  <si>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https://msearch.shopping.naver.com/search/all?query=%EC%9E%90%EC%84%9D%20%EC%A0%84%EB%8B%A8%EC%A7%80&amp;vertical=search</t>
  </si>
  <si>
    <t>자석 전단지 홍보지 소량제작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</si>
  <si>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</si>
  <si>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282개</t>
  </si>
  <si>
    <t>자석 전단지 음식점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</si>
  <si>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종*자석 전*지 소*제작 홍보* 음*점 *동산 전* 1000매 배*
 ( '광고' 클릭 절대 금지 )
 ▶판매처 : 다잇다인쇄
 5. 찜하기 클릭
 6. 바로가기 클릭 
 7. 상품 클릭
 8. 링크(url) 복사 후 정답에 붙여넣기 후 제출</t>
    </r>
  </si>
  <si>
    <t>https://m.smartstore.naver.com/idbag/products/6275745194</t>
  </si>
  <si>
    <t>유기농 밀크씨슬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</si>
  <si>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</si>
  <si>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https://search.shopping.naver.com/catalog/51929517815</t>
  </si>
  <si>
    <t>유기농 밀크씨슬 30정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</si>
  <si>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</si>
  <si>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https://m.search.naver.com/search.naver?sm=mtp_hty.top&amp;where=m&amp;query=%EC%9C%A0%EA%B8%B0%EB%86%8D%20%EB%B0%80%ED%81%AC%EC%94%A8%EC%8A%AC&amp;ackey=k8iczucg</t>
  </si>
  <si>
    <t>유기농 밀크씨슬 1개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</si>
  <si>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</si>
  <si>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https://msearch.shopping.naver.com/search/all?query=%EC%9C%A0%EA%B8%B0%EB%86%8D%20%EB%B0%80%ED%81%AC%EC%94%A8%EC%8A%AC&amp;vertical=search</t>
  </si>
  <si>
    <t>유기농 밀크씨슬 30정 1개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</si>
  <si>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</si>
  <si>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478개</t>
  </si>
  <si>
    <t>유기농 밀크씨슬 1000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</si>
  <si>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셀* 유기* 밀**슬 1000mg x 30정 1개
 ▶판매처 : 셀가
 5. 찜하기 클릭
 6. 바로가기 클릭
 7. 상품 클릭
 8. 링크(url) 복사 후 정답에 붙여넣기 후 제출</t>
  </si>
  <si>
    <t>https://m.smartstore.naver.com/cellga/products/6204948610</t>
  </si>
  <si>
    <t>어린이 홍삼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</si>
  <si>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</si>
  <si>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어린이 홍삼 30포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</si>
  <si>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</si>
  <si>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https://m.search.naver.com/search.naver?sm=mtb_hty.top&amp;where=m&amp;ssc=tab.m.all&amp;oquery=%EC%96%B4%EB%A6%B0%EC%9D%B4+%ED%99%8D%EC%82%BC&amp;tqi=jTNlzlqX6IKssNbejQl-282637&amp;query=%ED%99%8D%EC%82%BC&amp;ackey=okb6ge7c</t>
  </si>
  <si>
    <t>어린이 홍삼 1개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</si>
  <si>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</si>
  <si>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https://msearch.shopping.naver.com/search/all?query=%EC%96%B4%EB%A6%B0%EC%9D%B4%20%ED%99%8D%EC%82%BC&amp;vertical=search</t>
  </si>
  <si>
    <t>어린이 홍삼 30포 1개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</si>
  <si>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</si>
  <si>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198개</t>
  </si>
  <si>
    <t>어린이 홍삼 추천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</si>
  <si>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'가격비교' 상품을 클릭 해주세요.
 *최저 및 판매처 표시가 있는 상품을 클릭 해주세요*
*생가 *즈로운 *린이홍삼 *5ml x *0포 *개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진생가 몰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</si>
  <si>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https://m.smartstore.naver.com/ginsenga/products/5015177050</t>
  </si>
  <si>
    <t>무드등 다이아몬드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</si>
  <si>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</si>
  <si>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빛내는 사람들</t>
  </si>
  <si>
    <t>https://smartstore.naver.com/homecoffeeing/products/5685412242</t>
  </si>
  <si>
    <t>무드등 다이아몬드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</si>
  <si>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( '광고' 클릭 절대 금지 )
 ▶판매처 :빛내는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</si>
  <si>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https://m.search.naver.com/search.naver?sm=mtp_hty.top&amp;where=m&amp;query=%EB%AC%B4%EB%93%9C%EB%93%B1&amp;ackey=n20sddzt</t>
  </si>
  <si>
    <t>무드등 LED 탁상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</si>
  <si>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( '광고' 클릭 절대 금지 )
 ▶판매처 :빛내는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</si>
  <si>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https://msearch.shopping.naver.com/search/all?query=%EB%AC%B4%EB%93%9C%EB%93%B1&amp;vertical=search</t>
  </si>
  <si>
    <t>무드등 오로라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</si>
  <si>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( '광고' 클릭 절대 금지 )
 ▶판매처 :빛내는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</si>
  <si>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216개</t>
  </si>
  <si>
    <t>무드등 오로라 취침등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</si>
  <si>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[*처리] *이아몬드 *드등 *멍 *ED *선 *상 *침등 *로라 *명
 ( '광고' 클릭 절대 금지 )
 ▶판매처 :빛내는 사람들
 5. 찜하기 클릭
 6. 바로가기 클릭
 7. 상품 클릭
 8. 링크(url) 복사 후 정답에 붙여넣기 후 제출</t>
    </r>
  </si>
  <si>
    <t>https://m.smartstore.naver.com/homecoffeeing/products/5685412242</t>
  </si>
  <si>
    <t>불멍 무드등 무선 LED E형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</si>
  <si>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</si>
  <si>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https://smartstore.naver.com/homecoffeeing/products/11070773408</t>
  </si>
  <si>
    <t>불멍 무드등 LED E형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</si>
  <si>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</si>
  <si>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https://m.search.naver.com/search.naver?sm=mtp_hty.top&amp;where=m&amp;query=%EB%B6%88%EB%A9%8D+%EB%AC%B4%EB%93%9C%EB%93%B1&amp;ackey=6gaos88n</t>
  </si>
  <si>
    <t>불멍 무드등 수면등 E형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</si>
  <si>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</si>
  <si>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https://msearch.shopping.naver.com/search/all?query=%EB%B6%88%EB%A9%8D%20%EB%AC%B4%EB%93%9C%EB%93%B1&amp;vertical=search</t>
  </si>
  <si>
    <t>불멍 무드등 벽난로 E형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</si>
  <si>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</si>
  <si>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791개</t>
  </si>
  <si>
    <t>불멍 무드등 무선 수유등 E형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</si>
  <si>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찜하기 클릭
 6. 바로가기 클릭
 7. 상품 클릭
 8. 링크(url) 복사 후 정답에 붙여넣기 후 제출</t>
    </r>
  </si>
  <si>
    <t>https://m.smartstore.naver.com/homecoffeeing/products/11070773408</t>
  </si>
  <si>
    <t>불멍 무드등 크리스마스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</si>
  <si>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</si>
  <si>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템x템</t>
  </si>
  <si>
    <t>https://smartstore.naver.com/temxtem/products/8471353962</t>
  </si>
  <si>
    <t>불멍 무드등 크리스마스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</si>
  <si>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( '광고' 클릭 절대 금지 )
 ▶판매처 : 템x템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</si>
  <si>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https://m.search.naver.com/search.naver?sm=mtp_hty.top&amp;where=m&amp;query=%EB%B6%88%EB%A9%8D%20%EB%AC%B4%EB%93%9C%EB%93%B1&amp;ackey=n20sddzt</t>
  </si>
  <si>
    <t>불멍 무드등 크리스마스 땡처리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</si>
  <si>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( '광고' 클릭 절대 금지 )
 ▶판매처 : 템x템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</si>
  <si>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무선 LED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</si>
  <si>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( '광고' 클릭 절대 금지 )
 ▶판매처 : 템x템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</si>
  <si>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450개</t>
  </si>
  <si>
    <t>불멍 무드등 벽난로 땡처리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</si>
  <si>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[*처리] *멍 *드등 *ED *명 *난로 *유등 *선 *리스마스 *들이
 ( '광고' 클릭 절대 금지 )
 ▶판매처 : 템x템
 5. 찜하기 클릭
 6. 바로가기 클릭
 7. 상품 클릭
 8. 링크(url) 복사 후 정답에 붙여넣기 후 제출</t>
    </r>
  </si>
  <si>
    <t>https://m.smartstore.naver.com/temxtem/products/8471353962</t>
  </si>
  <si>
    <t>불멍 무드등 무선 LED G형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</si>
  <si>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</si>
  <si>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https://smartstore.naver.com/homecoffeeing/products/11070784883</t>
  </si>
  <si>
    <t>불멍 무드등 무선 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</si>
  <si>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</si>
  <si>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무선 수유등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</si>
  <si>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</si>
  <si>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불타는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</si>
  <si>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</si>
  <si>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406개</t>
  </si>
  <si>
    <t>불멍 무드등 불타는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</si>
  <si>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찜하기 클릭
 6. 바로가기 클릭
 7. 상품 클릭
 8. 링크(url) 복사 후 정답에 붙여넣기 후 제출</t>
    </r>
  </si>
  <si>
    <t>https://m.smartstore.naver.com/homecoffeeing/products/11070784883</t>
  </si>
  <si>
    <t>참기름 진한 저온압착 300ml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</si>
  <si>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*온압착 *내산 *한 *기름 *00ml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읍내방앗간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</si>
  <si>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읍내방앗간</t>
  </si>
  <si>
    <t>https://smartstore.naver.com/eus444/products/9118672343</t>
  </si>
  <si>
    <t>참기름 국내산 진한 300ml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</si>
  <si>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*온압착 *내산 *한 *기름 *00ml
 ( '광고' 클릭 절대 금지 )
 ▶판매처 : 읍내방앗간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</si>
  <si>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https://m.search.naver.com/search.naver?sm=mtp_hty.top&amp;where=m&amp;query=%EC%B0%B8%EA%B8%B0%EB%A6%84&amp;ackey=dtmz0016</t>
  </si>
  <si>
    <t>참기름 진한 300ml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</si>
  <si>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*온압착 *내산 *한 *기름 *00ml
 ( '광고' 클릭 절대 금지 )
 ▶판매처 : 읍내방앗간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</si>
  <si>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u/>
        <sz val="0"/>
        <color rgb="FF1155CC"/>
        <rFont val="Arial"/>
      </rPr>
      <t>https://msearch.shopping.naver.com/search/all?query=%EC%B0%B8%EA%B8%B0%EB%A6%84&amp;vertical=search</t>
    </r>
    <r>
      <rPr>
        <sz val="0"/>
        <color rgb="FF000000"/>
        <rFont val="Arial"/>
      </rPr>
      <t>h</t>
    </r>
  </si>
  <si>
    <t>참기름 읍내방앗간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</si>
  <si>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*온압착 *내산 *한 *기름 *00ml
 ( '광고' 클릭 절대 금지 )
 ▶판매처 : 읍내방앗간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</si>
  <si>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88개</t>
  </si>
  <si>
    <t>참기름 읍내방앗간 300ml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</si>
  <si>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*온압착 *내산 *한 *기름 *00ml
 ( '광고' 클릭 절대 금지 )
 ▶판매처 : 읍내방앗간
 5. 찜하기 클릭
 6. 바로가기 클릭
 7. 상품 클릭
 8. 링크(url) 복사 후 정답에 붙여넣기 후 제출</t>
    </r>
  </si>
  <si>
    <t>https://m.smartstore.naver.com/eus444/products/9118672343</t>
  </si>
  <si>
    <t>홍삼정 프리미엄 스틱</t>
  </si>
  <si>
    <t>미션 수행하고,
리워드 즉시 적립 받으세요!
1. 하단 [검색어 복사하기] 버튼을 클릭 하고, 키워드를 복사해주세요.
2. [힌트 보기] 버튼을 클릭해서 구글에 접속해주세요.
3. 복사된 키워드를 검색 창에 붙여 넣고 검색해주세요.
4. 아래 '가격비교' 상품을 클릭 해주세요.
 *최저 및 판매처 표시가 있는 상품을 클릭 해주세요*
*생가 *삼정 순 *리미엄 *틱 *0g x *0포 *개
 ▶판매처 : 진생가 몰
 5. 상세페이지 하단 구매 추가정보에서 상품번호 뒤 5자리를
 아래 정답란에 입력 후 제출해주세요.</t>
  </si>
  <si>
    <t>홍삼정 10g 30포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</si>
  <si>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*생가 *삼정 순 *리미엄 *틱 *0g x *0포 *개
 ▶판매처 : 진생가 몰
 5. 상세페이지 하단 구매 추가정보에서 상품번호 뒤 5자리를
 아래 정답란에 입력 후 제출해주세요.</t>
  </si>
  <si>
    <t>https://m.search.naver.com/search.naver?sm=mtp_hty.top&amp;where=m&amp;query=%ED%99%8D%EC%82%BC%EC%A0%95&amp;ackey=sa14lnux</t>
  </si>
  <si>
    <t>홍삼정 10g 30포 1개</t>
  </si>
  <si>
    <t>https://msearch.shopping.naver.com/search/all?query=%ED%99%8D%EC%82%BC%EC%A0%95&amp;vertical=search</t>
  </si>
  <si>
    <t>홍삼정 프리미엄 스틱 30포</t>
  </si>
  <si>
    <t>501개</t>
  </si>
  <si>
    <t>홍삼정 프리미엄 스틱 10g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</si>
  <si>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</t>
    </r>
    <r>
      <rPr>
        <sz val="0"/>
        <color rgb="FF4A86E8"/>
        <rFont val="Arial"/>
      </rPr>
      <t xml:space="preserve"> 
</t>
    </r>
    <r>
      <rPr>
        <sz val="0"/>
        <color theme="1"/>
        <rFont val="Arial"/>
      </rPr>
      <t xml:space="preserve"> *최저 및 판매처 표시가 있는 상품을 클릭 해주세요*
*생가 *삼정 순 *리미엄 *틱 *0g x *0포 *개
 ▶판매처 : 진생가 몰
 5. 찜하기 클릭
 6. 바로가기 클릭
 7. 상품 클릭
 8. 링크(url) 복사 후 정답에 붙여넣기 후 제출</t>
    </r>
  </si>
  <si>
    <t>https://m.smartstore.naver.com/ginsenga/products/4079311815</t>
  </si>
  <si>
    <t>액체표백제 맘크린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</si>
  <si>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*크린 O2*체 *소계 *백제 2Lx*개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맘크린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</si>
  <si>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맘크린</t>
  </si>
  <si>
    <t>https://smartstore.naver.com/jwventure/products/11398057988</t>
  </si>
  <si>
    <t>액체표백제 O2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</si>
  <si>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*크린 O2*체 *소계 *백제 2Lx*개
 ( '광고' 클릭 절대 금지 )
 ▶판매처 : 맘크린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</si>
  <si>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https://m.search.naver.com/search.naver?sm=mtp_hty.top&amp;where=m&amp;query=%EC%95%A1%EC%B2%B4%ED%91%9C%EB%B0%B1%EC%A0%9C&amp;ackey=2nptvce2</t>
  </si>
  <si>
    <t>액체표백제 산소계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</si>
  <si>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*크린 O2*체 *소계 *백제 2Lx*개
 ( '광고' 클릭 절대 금지 )
 ▶판매처 : 맘크린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</si>
  <si>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https://msearch.shopping.naver.com/search/all?query=%EC%95%A1%EC%B2%B4%ED%91%9C%EB%B0%B1%EC%A0%9C&amp;vertical=search</t>
  </si>
  <si>
    <t>액체표백제 O2 산소계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</si>
  <si>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*크린 O2*체 *소계 *백제 2Lx*개
 ( '광고' 클릭 절대 금지 )
 ▶판매처 : 맘크린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</si>
  <si>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52개</t>
  </si>
  <si>
    <t>액체표백제 맘크린O2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</si>
  <si>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*크린 O2*체 *소계 *백제 2Lx*개
 ( '광고' 클릭 절대 금지 )
 ▶판매처 : 맘크린
 5. 찜하기 클릭
 6. 바로가기 클릭
 7. 상품 클릭
 8. 링크(url) 복사 후 정답에 붙여넣기 후 제출</t>
    </r>
  </si>
  <si>
    <t>https://m.smartstore.naver.com/jwventure/products/11398057988</t>
  </si>
  <si>
    <t>인절미 호랭이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</si>
  <si>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무*산호*이떡 단*박 *절미 *지않* 떡 1kg 10개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무등산 호랭이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</si>
  <si>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무등산 호랭이</t>
  </si>
  <si>
    <t>https://smartstore.naver.com/mudungricecake/products/12319204042</t>
  </si>
  <si>
    <t>인절미 단호박 10개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</si>
  <si>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무*산호*이떡 단*박 *절미 *지않* 떡 1kg 10개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무등산 호랭이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</si>
  <si>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https://m.search.naver.com/search.naver?sm=mtp_hty.top&amp;where=m&amp;query=%EC%9D%B8%EC%A0%88%EB%AF%B8&amp;ackey=gkgy2tdl</t>
  </si>
  <si>
    <t>인절미 1kg 10개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</si>
  <si>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무*산호*이떡 단*박 *절미 *지않* 떡 1kg 10개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무등산 호랭이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</si>
  <si>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https://msearch.shopping.naver.com/search/all?query=%EC%9D%B8%EC%A0%88%EB%AF%B8&amp;vertical=search</t>
  </si>
  <si>
    <t>인절미 무등산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</si>
  <si>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무*산호*이떡 단*박 *절미 *지않* 떡 1kg 10개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무등산 호랭이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</si>
  <si>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446개</t>
  </si>
  <si>
    <t>인절미 떡 10개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</si>
  <si>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무*산호*이떡 단*박 *절미 *지않* 떡 1kg 10개
 ( '광고' 클릭 절대 금지 )
 ▶판매처 : 무등산 호랭이
 5. 찜하기 클릭
 6. 바로가기 클릭
 7. 상품 클릭
 8. 링크(url) 복사 후 정답에 붙여넣기 후 제출</t>
    </r>
  </si>
  <si>
    <t>https://m.smartstore.naver.com/mudungricecake/products/12319204042</t>
  </si>
  <si>
    <t>침대 파로마 슬라이딩 수납침대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</si>
  <si>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</si>
  <si>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온라인 브랜드 가구</t>
  </si>
  <si>
    <t>https://smartstore.naver.com/furnionehome/products/6941758196</t>
  </si>
  <si>
    <t>침대 소이 통큰 SS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</si>
  <si>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</si>
  <si>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https://m.search.naver.com/search.naver?sm=mtp_hty.top&amp;where=m&amp;query=%EC%B9%A8%EB%8C%80&amp;ackey=10a93fmc</t>
  </si>
  <si>
    <t>침대 소이 수납침대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</si>
  <si>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</si>
  <si>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https://msearch.shopping.naver.com/search/all?query=%EC%B9%A8%EB%8C%80&amp;vertical=search</t>
  </si>
  <si>
    <t>침대 소이 파로마 통큰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</si>
  <si>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</si>
  <si>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파로마 소이 SS 수납침대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</si>
  <si>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소* 빅 *라이딩 통큰 수*침* SS 프*임
 ( '광고' 클릭 절대 금지 )
 ▶판매처 : 온라인 브랜드 가구
 5. 찜하기 클릭
 6. 바로가기 클릭
 7. 상품 클릭
 8. 링크(url) 복사 후 정답에 붙여넣기 후 제출</t>
    </r>
  </si>
  <si>
    <t>https://m.smartstore.naver.com/furnionehome/products/6941758196</t>
  </si>
  <si>
    <t>화장대 틈새 입식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</si>
  <si>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</si>
  <si>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https://search.shopping.naver.com/catalog/42766555631</t>
  </si>
  <si>
    <t>화장대 소이 카렌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</si>
  <si>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</si>
  <si>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https://m.search.naver.com/search.naver?sm=mtp_hty.top&amp;where=m&amp;query=%ED%99%94%EC%9E%A5%EB%8C%80&amp;ackey=mejcnglv</t>
  </si>
  <si>
    <t>화장대 파로마 카렌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</si>
  <si>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</si>
  <si>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https://msearch.shopping.naver.com/search/all?query=%ED%99%94%EC%9E%A5%EB%8C%80&amp;vertical=search</t>
  </si>
  <si>
    <t>화장대 파로마 입식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</si>
  <si>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</si>
  <si>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749개</t>
  </si>
  <si>
    <t>화장대 파로마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</si>
  <si>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파*마 *이 카* 틈새 *식 화*대 400 Y*G062
 ▶판매처 : 온라인 브랜드 가구
 5. 찜하기 클릭
 6. 바로가기 클릭
 7. 상품 클릭
 8. 링크(url) 복사 후 정답에 붙여넣기 후 제출</t>
  </si>
  <si>
    <t>https://m.smartstore.naver.com/furnionehome/products/9199426232</t>
  </si>
  <si>
    <t>옷장 라자가구 양문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</si>
  <si>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</si>
  <si>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라자가구 스토어</t>
  </si>
  <si>
    <t>https://smartstore.naver.com/rajastore/products/9618562096</t>
  </si>
  <si>
    <t>옷장 양문 1000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</si>
  <si>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</si>
  <si>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https://m.search.naver.com/search.naver?sm=mtp_hty.top&amp;where=m&amp;query=%EC%98%B7%EC%9E%A5&amp;ackey=6mhy0lqa</t>
  </si>
  <si>
    <t>옷장 위드 모노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</si>
  <si>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</si>
  <si>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https://msearch.shopping.naver.com/search/all?query=%EC%98%B7%EC%9E%A5&amp;vertical=search</t>
  </si>
  <si>
    <t>옷장 1000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</si>
  <si>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</si>
  <si>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358개</t>
  </si>
  <si>
    <t xml:space="preserve">옷장 양문 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</si>
  <si>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라*가구 *드 키* 모노 *문 옷* 1000
 ( '광고' 클릭 절대 금지 )
 ▶판매처 : 라자가구 스토어
 5. 찜하기 클릭
 6. 바로가기 클릭
 7. 상품 클릭
 8. 링크(url) 복사 후 정답에 붙여넣기 후 제출</t>
    </r>
  </si>
  <si>
    <t>https://m.smartstore.naver.com/rajastore/products/9618562096</t>
  </si>
  <si>
    <t>옷장 라자가구 슬라이딩 빅 1200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</si>
  <si>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</si>
  <si>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https://smartstore.naver.com/rajastore/products/5069856798</t>
  </si>
  <si>
    <t>옷장 라자가구 슬라이딩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</si>
  <si>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</si>
  <si>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https://m.search.naver.com/search.naver?sm=mtp_hty.top&amp;where=m&amp;query=%EC%98%B7%EC%9E%A5&amp;ackey=b4savo7u</t>
  </si>
  <si>
    <t>옷장 라자가구 jy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</si>
  <si>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</si>
  <si>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jy195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</si>
  <si>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</si>
  <si>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373개</t>
  </si>
  <si>
    <t>옷장 행거형 JY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</si>
  <si>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라**구 위드 빅 1**0 슬라이딩 옷장 행거형 j*195
 ( '광고' 클릭 절대 금지 )
 ▶판매처 : 라자가구 스토어
 5. 찜하기 클릭
 6. 바로가기 클릭
 7. 상품 클릭
 8. 링크(url) 복사 후 정답에 붙여넣기 후 제출</t>
    </r>
  </si>
  <si>
    <t>https://m.smartstore.naver.com/rajastore/products/5069856798</t>
  </si>
  <si>
    <t>주방수납장 라자가구 밥솥장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</si>
  <si>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</si>
  <si>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https://search.shopping.naver.com/catalog/56651011287</t>
  </si>
  <si>
    <t>주방수납장 라자가구 전자렌지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</si>
  <si>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</si>
  <si>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https://m.search.naver.com/search.naver?sm=mtp_hty.top&amp;where=m&amp;query=%EC%A3%BC%EB%B0%A9%EC%88%98%EB%82%A9%EC%9E%A5&amp;ackey=9i6k1h33</t>
  </si>
  <si>
    <t>주방수납장 데코 전자렌지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</si>
  <si>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</si>
  <si>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https://msearch.shopping.naver.com/search/all?query=%EC%A3%BC%EB%B0%A9%EC%88%98%EB%82%A9%EC%9E%A5&amp;vertical=search</t>
  </si>
  <si>
    <t>주방수납장 화이트 3단 밥솥장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</si>
  <si>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</si>
  <si>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514개</t>
  </si>
  <si>
    <t>주방수납장 밥솥장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</si>
  <si>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라**구 위드 데코 인출 밥*장 전**지 수납장 g**045 600x400x1225mm 3단, 화이트
 ▶판매처 : 라자가구 스토어
 5. 찜하기 클릭
 6. 바로가기 클릭
 7. 상품 클릭
 8. 링크(url) 복사 후 정답에 붙여넣기 후 제출</t>
  </si>
  <si>
    <t>https://m.smartstore.naver.com/rajastore/products/6515554205</t>
  </si>
  <si>
    <t>옷걸이 홈앤영 논슬립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</si>
  <si>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</si>
  <si>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https://smartstore.naver.com/nbi12/products/10249717232</t>
  </si>
  <si>
    <t>옷걸이 프리미엄 나무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</si>
  <si>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</si>
  <si>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https://m.search.naver.com/search.naver?sm=mtp_hty.top&amp;where=m&amp;query=%EC%98%B7%EA%B1%B8%EC%9D%B4&amp;ackey=b4savo7u</t>
  </si>
  <si>
    <t>옷걸이 논슬립 10P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</si>
  <si>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</si>
  <si>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https://msearch.shopping.naver.com/search/all?query=%EC%98%B7%EA%B1%B8%EC%9D%B4&amp;vertical=search</t>
  </si>
  <si>
    <t>옷걸이 프리미엄 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</si>
  <si>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</si>
  <si>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510개</t>
  </si>
  <si>
    <t>옷걸이 니트 논슬립 10P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</si>
  <si>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홈*영 프**엄 논슬립 나무 옷*이 원목 니트 긴목 옷*게 10P 세트
 ( '광고' 클릭 절대 금지 )
 ▶판매처 : 홈앤영
 5. 찜하기 클릭
 6. 바로가기 클릭
 7. 상품 클릭
 8. 링크(url) 복사 후 정답에 붙여넣기 후 제출</t>
    </r>
  </si>
  <si>
    <t>https://m.smartstore.naver.com/nbi12/products/10249717232</t>
  </si>
  <si>
    <t>겨울골프장갑 엔젤 18호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</si>
  <si>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 18호, 블랙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</si>
  <si>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MacKulty</t>
  </si>
  <si>
    <t>https://smartstore.naver.com/mackulty/products/12703040546</t>
  </si>
  <si>
    <t>겨울골프장갑 양손 블랙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</si>
  <si>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 18호, 블랙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</si>
  <si>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https://m.search.naver.com/search.naver?sm=mtp_hty.top&amp;where=m&amp;query=%EA%B2%A8%EC%9A%B8%EA%B3%A8%ED%94%84%EC%9E%A5%EA%B0%91&amp;ackey=wm5zl5l3</t>
  </si>
  <si>
    <t>겨울골프장갑 양손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</si>
  <si>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 18호, 블랙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</si>
  <si>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https://msearch.shopping.naver.com/search/all?query=%EA%B2%A8%EC%9A%B8%EA%B3%A8%ED%94%84%EC%9E%A5%EA%B0%91&amp;vertical=search</t>
  </si>
  <si>
    <t>겨울골프장갑 양손 선물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</si>
  <si>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 18호, 블랙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 xml:space="preserve">를
 아래 정답란에 입력 후 제출해주세요. </t>
    </r>
  </si>
  <si>
    <t>159개</t>
  </si>
  <si>
    <t>겨울골프장갑 양손 블랙 18호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</si>
  <si>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맥*티 엔* 겨울 *프장갑 *손 18호, 블랙
 ( '광고' 클릭 절대 금지 )
 ▶판매처 : MacKulty
 5. 찜하기 클릭
 6. 바로가기 클릭
 7. 상품 클릭
 8. 링크(url) 복사 후 정답에 붙여넣기 후 제출</t>
    </r>
  </si>
  <si>
    <t>https://m.smartstore.naver.com/mackulty/products/12703040546</t>
  </si>
  <si>
    <t>온열변기커버 제조직판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</si>
  <si>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</si>
  <si>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운상</t>
  </si>
  <si>
    <t>https://smartstore.naver.com/woonsang/products/2376170293</t>
  </si>
  <si>
    <t>https://docs.google.com/spreadsheets/d/1a-7MApfhc9J9XptKWoG2-3J3uldbiSqb8GHhEAT1Hig/edit?gid=855286865#gid=855286865</t>
  </si>
  <si>
    <t>온열변기커버 운상 온시트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</si>
  <si>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</si>
  <si>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https://m.search.naver.com/search.naver?sm=mtp_hty.top&amp;where=m&amp;query=%EC%98%A8%EC%97%B4%EB%B3%80%EA%B8%B0%EC%BB%A4%EB%B2%84&amp;ackey=hp8ro1g2</t>
  </si>
  <si>
    <t>온열변기커버 WS-1000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</si>
  <si>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</si>
  <si>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https://msearch.shopping.naver.com/search/all?query=%EC%98%A8%EC%97%B4%EB%B3%80%EA%B8%B0%EC%BB%A4%EB%B2%84&amp;vertical=search</t>
  </si>
  <si>
    <t>온열변기커버 방수 시트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</si>
  <si>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</si>
  <si>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1242개</t>
  </si>
  <si>
    <t>온열변기커버 생활방수 시트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</si>
  <si>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(제*직판) *상 온시* WS-1000 따*한 온*변기*버 생*방수
( '광고' 클릭 절대 금지 )
 ▶판매처 : 운상
 5. 찜하기 클릭
 6. 바로가기 클릭
 7. 상품 클릭
 8. 링크(url) 복사 후 정답에 붙여넣기 후 제출</t>
    </r>
  </si>
  <si>
    <t>https://m.smartstore.naver.com/woonsang/products/2376170293</t>
  </si>
  <si>
    <t>멀칭비닐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</si>
  <si>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</si>
  <si>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</si>
  <si>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https://m.search.naver.com/search.naver?sm=mtp_hty.top&amp;where=m&amp;query=%EB%A9%80%EC%B9%AD%EB%B9%84%EB%8B%90&amp;ackey=q6ipe6o1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</si>
  <si>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</si>
  <si>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https://msearch.shopping.naver.com/search/all?query=%EB%A9%80%EC%B9%AD%EB%B9%84%EB%8B%90&amp;vertical=search</t>
  </si>
  <si>
    <t>멀칭비닐 EL724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</si>
  <si>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</si>
  <si>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370개</t>
  </si>
  <si>
    <t>멀칭비닐 생분해 필름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</si>
  <si>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비*네이* 생*해 멀*비닐 필* 500M 진짜 생*해 *경부 EL724
 ▶판매처 : 비오네이쳐
 5. 찜하기 클릭
 6. 바로가기 클릭
 7. 상품 클릭
 8. 링크(url) 복사 후 정답에 붙여넣기 후 제출</t>
  </si>
  <si>
    <t>슬로건타올 주문제작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</si>
  <si>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</si>
  <si>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나인스타아트</t>
  </si>
  <si>
    <t>https://smartstore.naver.com/sunu10/products/10630036533</t>
  </si>
  <si>
    <t>슬로건타올 300장 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</si>
  <si>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</si>
  <si>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https://m.search.naver.com/search.naver?sm=mtp_hty.top&amp;where=m&amp;query=%EC%8A%AC%EB%A1%9C%EA%B1%B4%ED%83%80%EC%98%AC&amp;ackey=3azvrikx</t>
  </si>
  <si>
    <t>슬로건타올 동호회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</si>
  <si>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</si>
  <si>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https://msearch.shopping.naver.com/search/all?query=%EC%8A%AC%EB%A1%9C%EA%B1%B4%ED%83%80%EC%98%AC&amp;vertical=search</t>
  </si>
  <si>
    <t>슬로건타올 100x20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</si>
  <si>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</si>
  <si>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슬로건타올 소량 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</si>
  <si>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</si>
  <si>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https://m.smartstore.naver.com/sunu10/products/10630036533</t>
  </si>
  <si>
    <t>뜨개화분 소품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</si>
  <si>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</si>
  <si>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지수의 스튜디오</t>
  </si>
  <si>
    <t>https://smartstore.naver.com/jisoostudio/products/12365925161</t>
  </si>
  <si>
    <t>뜨개화분 드로잉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</si>
  <si>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</si>
  <si>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https://m.search.naver.com/search.naver?sm=mtp_hty.top&amp;where=m&amp;query=%EB%9C%A8%EA%B0%9C%ED%99%94%EB%B6%84&amp;ackey=kgjr2yj8</t>
  </si>
  <si>
    <t>뜨개화분 오브제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</si>
  <si>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</si>
  <si>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https://msearch.shopping.naver.com/search/all?query=%EB%9C%A8%EA%B0%9C%ED%99%94%EB%B6%84&amp;frm=MOSCPRO&amp;nl-ts-pid=jTklHwqpsOZssS9kd%2FK-466186</t>
  </si>
  <si>
    <t>뜨개화분 만들기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</si>
  <si>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</si>
  <si>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285개</t>
  </si>
  <si>
    <t>뜨개화분 A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</si>
  <si>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지수의 스튜디오
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</si>
  <si>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https://m.smartstore.naver.com/jisoostudio/products/12365925161</t>
  </si>
  <si>
    <t>치즈케이크 미니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</si>
  <si>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*리미엄 *제 *페 *품 *스크 *즈 *이크 *익 *니 *룰로스 *일 *체 *약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바스크담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</si>
  <si>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바스크담</t>
  </si>
  <si>
    <t>https://smartstore.naver.com/damjini_mom/products/10285618097</t>
  </si>
  <si>
    <t>치즈케이크 예약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</si>
  <si>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*리미엄 *제 *페 *품 *스크 *즈 *이크 *익 *니 *룰로스 *일 *체 *약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바스크담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</si>
  <si>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https://m.search.naver.com/search.naver?sm=mtp_hty.top&amp;where=m&amp;query=%EC%B9%98%EC%A6%88%EC%BC%80%EC%9D%B4%ED%81%AC&amp;ackey=53jwcj38</t>
  </si>
  <si>
    <t>치즈케이크 생일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</si>
  <si>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*리미엄 *제 *페 *품 *스크 *즈 *이크 *익 *니 *룰로스 *일 *체 *약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바스크담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</si>
  <si>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https://msearch.shopping.naver.com/search/all?query=%EC%B9%98%EC%A6%88%EC%BC%80%EC%9D%B4%ED%81%AC&amp;vertical=search</t>
  </si>
  <si>
    <t>치즈케이크 납품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</si>
  <si>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*리미엄 *제 *페 *품 *스크 *즈 *이크 *익 *니 *룰로스 *일 *체 *약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바스크담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</si>
  <si>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658개</t>
  </si>
  <si>
    <t>치즈케이크 수제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</si>
  <si>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*리미엄 *제 *페 *품 *스크 *즈 *이크 *익 *니 *룰로스 *일 *체 *약
( '광고' 클릭 절대 금지 )
 ▶판매처 : 바스크담
 5. 찜하기 클릭
 6. 바로가기 클릭
 7. 상품 클릭
 8. 링크(url) 복사 후 정답에 붙여넣기 후 제출</t>
    </r>
  </si>
  <si>
    <t>https://m.smartstore.naver.com/damjini_mom/products/10285618097</t>
  </si>
  <si>
    <t>각굴 통영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</si>
  <si>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</si>
  <si>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바다의품격</t>
  </si>
  <si>
    <t>https://smartstore.naver.com/badapoomm/products/4728155860</t>
  </si>
  <si>
    <t>각굴 삼배체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</si>
  <si>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</si>
  <si>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https://m.search.naver.com/search.naver?sm=mtp_hty.top&amp;where=m&amp;query=%EA%B0%81%EA%B5%B4&amp;ackey=i4x5wiu1</t>
  </si>
  <si>
    <t>각굴 하프셀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</si>
  <si>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</si>
  <si>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https://msearch.shopping.naver.com/search/all?query=%EA%B0%81%EA%B5%B4&amp;vertical=search</t>
  </si>
  <si>
    <t>하프셀 캠핑용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</si>
  <si>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</si>
  <si>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1128개</t>
  </si>
  <si>
    <t>하프셀 석화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</si>
  <si>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석* 통영 생* 각굴 삼*체 반*굴 하*셀 캠*용 구이
 ( '광고' 클릭 절대 금지 )
 ▶판매처 : 바다의품격
 5. 찜하기 클릭
 6. 바로가기 클릭
 7. 상품 클릭
 8. 링크(url) 복사 후 정답에 붙여넣기 후 제출</t>
    </r>
  </si>
  <si>
    <t>https://m.smartstore.naver.com/badapoomm/products/4728155860</t>
  </si>
  <si>
    <t>굴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</si>
  <si>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</si>
  <si>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https://smartstore.naver.com/badapoomm/products/7170452934</t>
  </si>
  <si>
    <t>굴 최상급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</si>
  <si>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</si>
  <si>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https://m.search.naver.com/search.naver?sm=mtp_hty.top&amp;where=m&amp;query=%EA%B5%B4&amp;ackey=i4x5wiu1</t>
  </si>
  <si>
    <t>굴 세척 석화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</si>
  <si>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</si>
  <si>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https://msearch.shopping.naver.com/search/all?query=%EA%B5%B4&amp;vertical=search</t>
  </si>
  <si>
    <t>굴 최상급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</si>
  <si>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</si>
  <si>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2316개</t>
  </si>
  <si>
    <t>굴 통영 최상급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</si>
  <si>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통영 굴 *철 최*급 석화 *굴 세척 생굴 1kg
 ( '광고' 클릭 절대 금지 )
 ▶판매처 : 바다의 품격
 5. 찜하기 클릭
 6. 바로가기 클릭
 7. 상품 클릭
 8. 링크(url) 복사 후 정답에 붙여넣기 후 제출</t>
    </r>
  </si>
  <si>
    <t>https://m.smartstore.naver.com/badapoomm/products/7170452934</t>
  </si>
  <si>
    <t>가리비 통영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</si>
  <si>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</si>
  <si>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https://smartstore.naver.com/badapoomm/products/4691179872</t>
  </si>
  <si>
    <t>가리비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</si>
  <si>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</si>
  <si>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https://m.search.naver.com/search.naver?sm=mtp_hty.top&amp;where=m&amp;query=%EA%B0%80%EB%A6%AC%EB%B9%84&amp;ackey=i4x5wiu1</t>
  </si>
  <si>
    <t>가리비 세척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</si>
  <si>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</si>
  <si>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https://msearch.shopping.naver.com/search/all?query=%EA%B0%80%EB%A6%AC%EB%B9%84&amp;vertical=search</t>
  </si>
  <si>
    <t>가리비 제철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</si>
  <si>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</si>
  <si>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5228개</t>
  </si>
  <si>
    <t>가리비 캠핑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</si>
  <si>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통영 가*비 제철 세척 비단 홍**비 1kg 캠핑 조**이 찜
 ( '광고' 클릭 절대 금지 )
 ▶판매처 : 바다의품격
 5. 찜하기 클릭
 6. 바로가기 클릭
 7. 상품 클릭
 8. 링크(url) 복사 후 정답에 붙여넣기 후 제출</t>
    </r>
  </si>
  <si>
    <t>https://m.smartstore.naver.com/badapoomm/products/4691179872</t>
  </si>
  <si>
    <t>비발디파크렌탈샵 대여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</si>
  <si>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비*디파* 렌*샵 장비 *류 스키*드 대* 리프트*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</si>
  <si>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비발디파크렌탈샵스키야놀자</t>
  </si>
  <si>
    <t>https://smartstore.naver.com/skiyanolja/products/7767264536</t>
  </si>
  <si>
    <t>비발디파크렌탈샵 장비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</si>
  <si>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비*디파* 렌*샵 장비 *류 스키*드 대* 리프트*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</si>
  <si>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https://m.search.naver.com/search.naver?sm=mtp_hty.top&amp;where=m&amp;query=%EB%B9%84%EB%B0%9C%EB%94%94%ED%8C%8C%ED%81%AC%EB%A0%8C%ED%83%88%EC%83%B5&amp;ackey=1jhichkv</t>
  </si>
  <si>
    <t>비발디파크렌탈샵 의류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</si>
  <si>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비*디파* 렌*샵 장비 *류 스키*드 대* 리프트*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</si>
  <si>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https://msearch.shopping.naver.com/search/all?query=%EB%B9%84%EB%B0%9C%EB%94%94%ED%8C%8C%ED%81%AC%EB%A0%8C%ED%83%88%EC%83%B5&amp;vertical=search</t>
  </si>
  <si>
    <t>비발디파크렌탈샵 스키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</si>
  <si>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비*디파* 렌*샵 장비 *류 스키*드 대* 리프트*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</si>
  <si>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183개</t>
  </si>
  <si>
    <t>비발디파크렌탈샵 보드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</si>
  <si>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홍* 비*디파* 렌*샵 장비 *류 스키*드 대* 리프트* 패*지
 ( '광고' 클릭 절대 금지 )
 ▶판매처 : 비발디파크렌탈샵스키야놀자
 5. 찜하기 클릭
 6. 바로가기 클릭 
 7. 상품 클릭
 8. 링크(url) 복사 후 정답에 붙여넣기 후 제출</t>
    </r>
  </si>
  <si>
    <t>https://m.smartstore.naver.com/skiyanolja/products/7767264536</t>
  </si>
  <si>
    <t>수제청 답례품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</si>
  <si>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</si>
  <si>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Melihour</t>
  </si>
  <si>
    <t>https://smartstore.naver.com/melistore/products/12338964034</t>
  </si>
  <si>
    <t>LkE</t>
  </si>
  <si>
    <t>수제청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</si>
  <si>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</si>
  <si>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https://m.search.naver.com/search.naver?sm=mtp_hty.top&amp;where=m&amp;query=%EC%88%98%EC%A0%9C%EC%B2%AD&amp;ackey=xf0hqnw5</t>
  </si>
  <si>
    <t>수제청 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</si>
  <si>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</si>
  <si>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https://msearch.shopping.naver.com/search/all?query=%EC%88%98%EC%A0%9C%EC%B2%AD&amp;vertical=search</t>
  </si>
  <si>
    <t>수제청 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</si>
  <si>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</si>
  <si>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836개</t>
  </si>
  <si>
    <t>수제청 패션후르츠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</si>
  <si>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</si>
  <si>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https://m.smartstore.naver.com/melistore/products/12338964034</t>
  </si>
  <si>
    <t>윈터프린스 만감류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</si>
  <si>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고당* 과*이 팡팡 *타맛 윈*프린* 만*류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</si>
  <si>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티알마켓</t>
  </si>
  <si>
    <t>https://smartstore.naver.com/trcompanyy/products/13021085615</t>
  </si>
  <si>
    <t>oLk</t>
  </si>
  <si>
    <t>윈터프린스 고당도 만감류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</si>
  <si>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고당* 과*이 팡팡 *타맛 윈*프린* 만*류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</si>
  <si>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https://m.search.naver.com/search.naver?sm=mtp_hty.top&amp;where=m&amp;query=%EC%9C%88%ED%84%B0%ED%94%84%EB%A6%B0%EC%8A%A4&amp;ackey=o39jqc2v</t>
  </si>
  <si>
    <t>윈터프린스 환타맛 만감류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</si>
  <si>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고당* 과*이 팡팡 *타맛 윈*프린* 만*류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</si>
  <si>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https://msearch.shopping.naver.com/search/all?query=%EC%9C%88%ED%84%B0%ED%94%84%EB%A6%B0%EC%8A%A4&amp;vertical=search</t>
  </si>
  <si>
    <t>윈터프린스 티알마켓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</si>
  <si>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고당* 과*이 팡팡 *타맛 윈*프린* 만*류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</si>
  <si>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15개</t>
  </si>
  <si>
    <t>윈터프린스 팡팡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</si>
  <si>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고당* 과*이 팡팡 *타맛 윈*프린* 만*류
 ( '광고' 클릭 절대 금지 )
 ▶판매처 : 티알마켓
 5. 찜하기 클릭
 6. 바로가기 클릭
 7. 상품 클릭
 8. 링크(url) 복사 후 정답에 붙여넣기 후 제출</t>
    </r>
  </si>
  <si>
    <t>https://m.smartstore.naver.com/trcompanyy/products/13021085615</t>
  </si>
  <si>
    <t>도마뱀사육장 303045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</si>
  <si>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도*뱀 *육장 3*30*5 아크* 게코 케*지 크레 *충류 크*스*드게* 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</si>
  <si>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랩티케어</t>
  </si>
  <si>
    <t>https://smartstore.naver.com/healthproud/products/12959828905</t>
  </si>
  <si>
    <t>도마뱀사육장 303045 아크릴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</si>
  <si>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도*뱀 *육장 3*30*5 아크* 게코 케*지 크레 *충류 크*스*드게* 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</si>
  <si>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https://m.search.naver.com/search.naver?sm=mtp_hty.top&amp;where=m&amp;query=%EB%8F%84%EB%A7%88%EB%B1%80%EC%82%AC%EC%9C%A1%EC%9E%A5&amp;ackey=7j32xtzs</t>
  </si>
  <si>
    <t>도마뱀사육장 랩티케어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</si>
  <si>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도*뱀 *육장 3*30*5 아크* 게코 케*지 크레 *충류 크*스*드게* 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</si>
  <si>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https://msearch.shopping.naver.com/search/all?query=%EB%8F%84%EB%A7%88%EB%B1%80%EC%82%AC%EC%9C%A1%EC%9E%A5&amp;vertical=search</t>
  </si>
  <si>
    <t>도마뱀사육장 랩티케어 아크릴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</si>
  <si>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도*뱀 *육장 3*30*5 아크* 게코 케*지 크레 *충류 크*스*드게* 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</si>
  <si>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65개</t>
  </si>
  <si>
    <t>도마뱀사육장 303045 케이지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</si>
  <si>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도*뱀 *육장 3*30*5 아크* 게코 케*지 크레 *충류 크*스*드게* 집
 ( '광고' 클릭 절대 금지 )
 ▶판매처 : 랩티케어
 5. 찜하기 클릭
 6. 바로가기 클릭
 7. 상품 클릭
 8. 링크(url) 복사 후 정답에 붙여넣기 후 제출</t>
    </r>
  </si>
  <si>
    <t>https://m.smartstore.naver.com/healthproud/products/12959828905</t>
  </si>
  <si>
    <t>냉동 귀뚜라미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</si>
  <si>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</si>
  <si>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https://smartstore.naver.com/healthproud/products/12893681977</t>
  </si>
  <si>
    <t>냉동 귀뚜라미 먹이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</si>
  <si>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</si>
  <si>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https://m.search.naver.com/search.naver?sm=mtp_hty.top&amp;where=m&amp;query=%EB%83%89%EB%8F%99%20%EA%B7%80%EB%9A%9C%EB%9D%BC%EB%AF%B8&amp;ackey=nglx4h0n</t>
  </si>
  <si>
    <t>냉동 귀뚜라미 냉뚜리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</si>
  <si>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</si>
  <si>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https://msearch.shopping.naver.com/search/all?query=%EB%83%89%EB%8F%99%20%EA%B7%80%EB%9A%9C%EB%9D%BC%EB%AF%B8&amp;vertical=search</t>
  </si>
  <si>
    <t>냉동 귀뚜라미 파충류 먹이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</si>
  <si>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</si>
  <si>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243개</t>
  </si>
  <si>
    <t>냉동 귀뚜라미 도마뱀 먹이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</si>
  <si>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냉동 귀**미 냉*리 크레***게코 도*뱀 파*류 먹이 먹*용 중 20g 약 120*리
 ( '광고' 클릭 절대 금지 )
 ▶판매처 : 랩티케어
 5. 찜하기 클릭
 6. 바로가기 클릭
 7. 상품 클릭
 8. 링크(url) 복사 후 정답에 붙여넣기 후 제출</t>
    </r>
  </si>
  <si>
    <t>https://m.smartstore.naver.com/healthproud/products/12893681977</t>
  </si>
  <si>
    <t>한방차 맑은샘 김순렬 원장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</si>
  <si>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[설*벤트 1+1] *순렬 원* 맑*샘 녹*쌍화*감 (100ml x 30포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맑은샘생활건강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</si>
  <si>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맑은샘생활건강</t>
  </si>
  <si>
    <t>https://smartstore.naver.com/malkeunseam/products/11130334730</t>
  </si>
  <si>
    <t>한방차 맑은샘 1+1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</si>
  <si>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[설*벤트 1+1] *순렬 원* 맑*샘 녹*쌍화*감 (100ml x 30포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맑은샘생활건강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</si>
  <si>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https://m.search.naver.com/search.naver?sm=mtp_hty.top&amp;where=m&amp;query=%ED%95%9C%EB%B0%A9%EC%B0%A8&amp;ackey=xb1robkl</t>
  </si>
  <si>
    <t>한방차 맑은샘 30포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</si>
  <si>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[설*벤트 1+1] *순렬 원* 맑*샘 녹*쌍화*감 (100ml x 30포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맑은샘생활건강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</si>
  <si>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https://msearch.shopping.naver.com/search/all?query=%ED%95%9C%EB%B0%A9%EC%B0%A8&amp;vertical=search</t>
  </si>
  <si>
    <t>한방차 맑은샘 100ml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</si>
  <si>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[설*벤트 1+1] *순렬 원* 맑*샘 녹*쌍화*감 (100ml x 30포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맑은샘생활건강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</si>
  <si>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112개</t>
  </si>
  <si>
    <t>한방차 맑은샘 설이벤트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</si>
  <si>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[설*벤트 1+1] *순렬 원* 맑*샘 녹*쌍화*감 (100ml x 30포 )
 ( '광고' 클릭 절대 금지 )
 ▶판매처 : 맑은샘생활건강
 5. 찜하기 클릭
 6. 바로가기 클릭
 7. 상품 클릭
 8. 링크(url) 복사 후 정답에 붙여넣기 후 제출</t>
    </r>
  </si>
  <si>
    <t>https://m.smartstore.naver.com/malkeunseam/products/11130334730</t>
  </si>
  <si>
    <t>저분자 콜라겐 라이필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</si>
  <si>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</si>
  <si>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저분자 콜라겐 비오틴맥스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</si>
  <si>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</si>
  <si>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https://m.search.naver.com/search.naver?sm=mtp_hty.top&amp;where=m&amp;query=%EC%A0%80%EB%B6%84%EC%9E%90+%EC%BD%9C%EB%9D%BC%EA%B2%90&amp;ackey=aove7uit</t>
  </si>
  <si>
    <t>저분자 콜라겐 신민아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</si>
  <si>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</si>
  <si>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https://msearch.shopping.naver.com/search/all?query=%EC%A0%80%EB%B6%84%EC%9E%90%20%EC%BD%9C%EB%9D%BC%EA%B2%90&amp;vertical=search</t>
  </si>
  <si>
    <t>저분자 콜라겐 3박스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</si>
  <si>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</si>
  <si>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577개</t>
  </si>
  <si>
    <t>저분자 콜라겐 150포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</si>
  <si>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라*필 *마 콜라* *오틴*스 신*아 라*필 어린 저분* 3.5g x 150포 3*스
 ( '광고' 클릭 절대 금지 )
 ▶판매처 : 마넬리 코스메틱
 5. 찜하기 클릭
 6. 바로가기 클릭 
 7. 상품 클릭
 8. 링크(url) 복사 후 정답에 붙여넣기 후 제출</t>
    </r>
  </si>
  <si>
    <t>https://m.smartstore.naver.com/manelli_cosmetic/products/12204313412</t>
  </si>
  <si>
    <t>저분자 콜라겐 더마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</si>
  <si>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</si>
  <si>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저분자 콜라겐 초저분자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</si>
  <si>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</si>
  <si>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</si>
  <si>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저분자 콜라겐 어린 6병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</si>
  <si>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</si>
  <si>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564개</t>
  </si>
  <si>
    <t>저분자 콜라겐 24주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</si>
  <si>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라이* 더마 *분자 콜*겐 시*니처 173*톤 초저*자 비오* 신*아 *린 6병 24주
 ( '광고' 클릭 절대 금지 )
 ▶판매처 : 마넬리 코스메틱
 5. 찜하기 클릭
 6. 바로가기 클릭 
 7. 상품 클릭
 8. 링크(url) 복사 후 정답에 붙여넣기 후 제출</t>
    </r>
  </si>
  <si>
    <t>https://m.smartstore.naver.com/manelli_cosmetic/products/12205081606</t>
  </si>
  <si>
    <t>축구반티 반티지 no.1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</si>
  <si>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"축구반티 · www.bantg.co.kr"을 찾아주세요.
5. "No.1 반티지│반티사이트│축구반티│야구반티│농구반티"를 클릭해주세요.
6. 사이트 방문 후 제일 하단 '사업자정보확인'을 클릭해주세요.
7. [ 힌트 ] 를 보고 정답을 찾아주세요.
8. 초성힌트 : [ 법인명(상호): OOOO]
정답 : &lt;4&gt;  글자
* 정답란에 - 포함하여 띄어쓰기 없이 입력 후 제출해주세요.</t>
  </si>
  <si>
    <t>싸커홀릭</t>
  </si>
  <si>
    <t>반티지</t>
  </si>
  <si>
    <t>https://www.bantg.co.kr/</t>
  </si>
  <si>
    <t>https://docs.google.com/spreadsheets/d/1KSERBdjhG9-lw7FsUTSa2eKGv5DMH2DZ-wpqKP_9CEQ/edit?gid=0#gid=0</t>
  </si>
  <si>
    <t>남양주변호사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</si>
  <si>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"법률사무소 나인 · ninelawfirm.co.kr"을 찾아주세요.
5. "남양주 이혼변호사, 형사변호사 - 법률사무소 나인"을 클릭해주세요.
6. 사이트 방문 후 우측 상단 "☰(삼선) -&gt; 법률사무소 소개 -&gt; 로펌소개"를 클릭해주세요.
7. [ 힌트 ] 를 보고 정답을 찾아주세요.
8. 초성힌트 : [ 나인은 여러분의 곁을 지키는 든든한 ‘내 편인 OOO’ 입니다. ]
정답 : &lt;3&gt;  글자
* 정답란에 - 포함하여 띄어쓰기 없이 입력 후 제출해주세요.</t>
  </si>
  <si>
    <t>변호사</t>
  </si>
  <si>
    <t>법률사무소 나인</t>
  </si>
  <si>
    <t>https://ninelawfirm.co.kr/</t>
  </si>
  <si>
    <t>남양주 개인회생 24call</t>
  </si>
  <si>
    <r>
      <rPr>
        <sz val="0"/>
        <color rgb="FF000000"/>
        <rFont val="Arial"/>
      </rPr>
      <t xml:space="preserve"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"네이버TV · </t>
    </r>
    <r>
      <rPr>
        <u/>
        <sz val="0"/>
        <color rgb="FF1155CC"/>
        <rFont val="Arial"/>
      </rPr>
      <t>tv.naver.com</t>
    </r>
    <r>
      <rPr>
        <sz val="0"/>
        <color rgb="FF000000"/>
        <rFont val="Arial"/>
      </rPr>
      <t xml:space="preserve"> › ninelaw24call"을 찾아주세요.
5. "남양주개인회생 변호사 상담"을 클릭해주세요.
6. 사이트 방문 후 "정보" 탭을 클릭해주세요.
7. [ 힌트 ] 를 보고 정답을 찾아주세요.
8. 초성힌트 : [ 채널 카테고리 : OOO ]
정답 : &lt;3&gt;  글자
* 정답란에 - 포함하여 띄어쓰기 없이 입력 후 제출해주세요.</t>
    </r>
  </si>
  <si>
    <t>라이프</t>
  </si>
  <si>
    <t>남양주개인회생 변호사 상담</t>
  </si>
  <si>
    <t>https://tv.naver.com/ninelaw24call</t>
  </si>
  <si>
    <t>장아찌 슈퍼와사비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</si>
  <si>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</si>
  <si>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슈퍼와사비</t>
  </si>
  <si>
    <t>https://smartstore.naver.com/superwasabi/products/11815150052</t>
  </si>
  <si>
    <t>장아찌 와사비 잎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</si>
  <si>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</si>
  <si>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https://m.search.naver.com/search.naver?sm=mtp_hty.top&amp;where=m&amp;query=%EC%9E%A5%EC%95%84%EC%B0%8C&amp;ackey=nzw6j7un</t>
  </si>
  <si>
    <t>장아찌 태백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</si>
  <si>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</si>
  <si>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https://msearch.shopping.naver.com/search/all?query=%EC%9E%A5%EC%95%84%EC%B0%8C&amp;vertical=search</t>
  </si>
  <si>
    <t>장아찌 잎 태백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</si>
  <si>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</si>
  <si>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469개</t>
  </si>
  <si>
    <t>장아찌 잎 300g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</si>
  <si>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슈*와사* 태* 고*냉이 잎 장*찌 300g
 ( '광고' 클릭 절대 금지 )
 ▶판매처 : 슈퍼와사비
 5. 찜하기 클릭
 6. 바로가기 클릭
 7. 상품 클릭
 8. 링크(url) 복사 후 정답에 붙여넣기 후 제출</t>
    </r>
  </si>
  <si>
    <t>https://m.smartstore.naver.com/superwasabi/products/11815150052</t>
  </si>
  <si>
    <t>쇼핑백 제작 소량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</si>
  <si>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</si>
  <si>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로고 인쇄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</si>
  <si>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</si>
  <si>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https://m.search.naver.com/search.naver?sm=mtp_hty.top&amp;where=m&amp;query=%EC%87%BC%ED%95%91%EB%B0%B1+%EC%A0%9C%EC%9E%91&amp;ackey=n9s8v49m</t>
  </si>
  <si>
    <t>쇼핑백 관공서 소량 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</si>
  <si>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</si>
  <si>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https://msearch.shopping.naver.com/search/all?query=%EC%87%BC%ED%95%91%EB%B0%B1%20%EC%A0%9C%EC%9E%91&amp;vertical=search</t>
  </si>
  <si>
    <t>쇼핑백 소량 200매 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</si>
  <si>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</si>
  <si>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644개</t>
  </si>
  <si>
    <t>쇼핑백 주문제작 천매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</si>
  <si>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소량 쇼*백 로* 인쇄 *문 제작 *원 관공* 행사 *이 가* 200매 *매-A
 ( '광고' 클릭 절대 금지 )
 ▶판매처 : 다잇다인쇄
 5. 찜하기 클릭
 6. 바로가기 클릭
 7. 상품 클릭
 8. 링크(url) 복사 후 정답에 붙여넣기 후 제출</t>
    </r>
  </si>
  <si>
    <t>https://m.smartstore.naver.com/idbag/products/7361713838</t>
  </si>
  <si>
    <t>와인오프너 따개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</si>
  <si>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구글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</si>
  <si>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더카인드</t>
  </si>
  <si>
    <t>https://smartstore.naver.com/snowara/products/11085718647</t>
  </si>
  <si>
    <t>와인오프너 코르크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</si>
  <si>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</si>
  <si>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https://m.search.naver.com/search.naver?sm=mtp_hty.top&amp;where=m&amp;query=%EC%99%80%EC%9D%B8%20%EC%98%A4%ED%94%84%EB%84%88&amp;ackey=y45th8xl</t>
  </si>
  <si>
    <t>와인오프너 각인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</si>
  <si>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</si>
  <si>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https://msearch.shopping.naver.com/search/all?query=%EC%99%80%EC%9D%B8%20%EC%98%A4%ED%94%84%EB%84%88&amp;vertical=search</t>
  </si>
  <si>
    <t>와인오프너 전동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</si>
  <si>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</si>
  <si>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552개</t>
  </si>
  <si>
    <t>와인오프너 자동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</si>
  <si>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전동 와*오프너 *동 오*너 와*따개 코르* 병*기 각*
 ( '광고' 클릭 절대 금지 )
 ▶판매처 : 더카인드
 5. 찜하기 클릭
 6. 바로가기 클릭
 7. 상품 클릭
 8. 링크(url) 복사 후 정답에 붙여넣기 후 제출</t>
    </r>
  </si>
  <si>
    <t>https://m.smartstore.naver.com/snowara/products/11085718647</t>
  </si>
  <si>
    <t>불멍 무드등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</si>
  <si>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*리스마스 *명 *선 *난로 *품 *ED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</si>
  <si>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https://smartstore.naver.com/temxtem/products/10439190548</t>
  </si>
  <si>
    <t>불멍 무드등 크리스마스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</si>
  <si>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*리스마스 *명 *선 *난로 *품 *ED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</si>
  <si>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https://m.search.naver.com/search.naver?sm=mtp_hty.top&amp;where=m&amp;query=%EB%B6%88%EB%A9%8D+%EB%AC%B4%EB%93%9C%EB%93%B1&amp;ackey=gd5bzmbb</t>
  </si>
  <si>
    <t>불멍 무드등 LED 땡처리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</si>
  <si>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*리스마스 *명 *선 *난로 *품 *ED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</si>
  <si>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무선 벽난로 소품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</si>
  <si>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*리스마스 *명 *선 *난로 *품 *ED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</si>
  <si>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119개</t>
  </si>
  <si>
    <t>불멍 무드등 무선 벽난로 땡처리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</si>
  <si>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[*처리] *멍 *드등 *리스마스 *명 *선 *난로 *품 *ED *들이
 ( '광고' 클릭 절대 금지 )
 ▶판매처 : 템x템
 5. 찜하기 클릭
 6. 바로가기 클릭
 7. 상품 클릭
 8. 링크(url) 복사 후 정답에 붙여넣기 후 제출</t>
    </r>
  </si>
  <si>
    <t>https://m.smartstore.naver.com/temxtem/products/10439190548</t>
  </si>
  <si>
    <t>무드등 LED 나무 수면등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</si>
  <si>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*드등 *유등 *면등 *침등 *선 *실 *ED *멍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</si>
  <si>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https://smartstore.naver.com/homecoffeeing/products/5302117034</t>
  </si>
  <si>
    <t>무드등 LED 나무 불멍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</si>
  <si>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*드등 *유등 *면등 *침등 *선 *실 *ED *멍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</si>
  <si>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https://m.search.naver.com/search.naver?sm=mtp_hty.top&amp;where=m&amp;query=%EB%AC%B4%EB%93%9C%EB%93%B1&amp;ackey=1nktfaq9</t>
  </si>
  <si>
    <t>무드등 LED 나무 무선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</si>
  <si>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*드등 *유등 *면등 *침등 *선 *실 *ED *멍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</si>
  <si>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무드등 나무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</si>
  <si>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*드등 *유등 *면등 *침등 *선 *실 *ED *멍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</si>
  <si>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92개</t>
  </si>
  <si>
    <t>무드등 LED 취침등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</si>
  <si>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*무 *드등 *유등 *면등 *침등 *선 *실 *ED *멍 *들이
 ( '광고' 클릭 절대 금지 )
 ▶판매처 : 빛내는 사람들
 5. 찜하기 클릭
 6. 바로가기 클릭
 7. 상품 클릭
 8. 링크(url) 복사 후 정답에 붙여넣기 후 제출</t>
    </r>
  </si>
  <si>
    <t>https://m.smartstore.naver.com/homecoffeeing/products/5302117034</t>
  </si>
  <si>
    <t>부적 명운신각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</si>
  <si>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*운신각 *적 *물 *회 *재 *교 *제 *적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LIFE IS FUN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</si>
  <si>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LIFE IS FUN</t>
  </si>
  <si>
    <t>https://smartstore.naver.com/taehyeon/products/11912513890</t>
  </si>
  <si>
    <t>명운신각 불교 부적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</si>
  <si>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*운신각 *적 *물 *회 *재 *교 *제 *적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LIFE IS FUN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</si>
  <si>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https://m.search.naver.com/search.naver?sm=mtp_hty.top&amp;where=m&amp;query=%EB%B6%80%EC%A0%81&amp;ackey=b1l5bzzj</t>
  </si>
  <si>
    <t>명운신각 삼재 부적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</si>
  <si>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*운신각 *적 *물 *회 *재 *교 *제 *적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LIFE IS FUN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</si>
  <si>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https://msearch.shopping.naver.com/search/all?query=%EB%B6%80%EC%A0%81&amp;vertical=search</t>
  </si>
  <si>
    <t>명운신각 수제 부적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</si>
  <si>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*운신각 *적 *물 *회 *재 *교 *제 *적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LIFE IS FUN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</si>
  <si>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126개</t>
  </si>
  <si>
    <t>불교 수제 부적 명운신각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</si>
  <si>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*운신각 *적 *물 *회 *재 *교 *제 *적
 ( '광고' 클릭 절대 금지 )
 ▶판매처 : LIFE IS FUN
 5. 찜하기 클릭
 6. 바로가기 클릭
 7. 상품 클릭
 8. 링크(url) 복사 후 정답에 붙여넣기 후 제출</t>
    </r>
  </si>
  <si>
    <t>https://m.smartstore.naver.com/taehyeon/products/11912513890</t>
  </si>
  <si>
    <t>그림포장박스 대형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</si>
  <si>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*70x*50mm *림포장박스 *형 *트단프라 *0호 *버스 *술품 *자배송 *품패킹*자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아트단프라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</si>
  <si>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아트단프라</t>
  </si>
  <si>
    <t>https://smartstore.naver.com/drart/products/8350354953</t>
  </si>
  <si>
    <t>그림포장박스 30호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</si>
  <si>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*70x*50mm *림포장박스 *형 *트단프라 *0호 *버스 *술품 *자배송 *품패킹*자
 ( '광고' 클릭 절대 금지 )
 ▶판매처 : 아트단프라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</si>
  <si>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https://m.search.naver.com/search.naver?sm=mtp_hty.top&amp;where=m&amp;query=%EA%B7%B8%EB%A6%BC%ED%8F%AC%EC%9E%A5%EB%B0%95%EC%8A%A4&amp;ackey=ldx69f6x</t>
  </si>
  <si>
    <t>그림포장박스 캔버스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</si>
  <si>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*70x*50mm *림포장박스 *형 *트단프라 *0호 *버스 *술품 *자배송 *품패킹*자
 ( '광고' 클릭 절대 금지 )
 ▶판매처 : 아트단프라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</si>
  <si>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https://msearch.shopping.naver.com/search/all?query=%EA%B7%B8%EB%A6%BC%ED%8F%AC%EC%9E%A5%EB%B0%95%EC%8A%A4&amp;vertical=search</t>
  </si>
  <si>
    <t>그림포장박스 아트단프라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</si>
  <si>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*70x*50mm *림포장박스 *형 *트단프라 *0호 *버스 *술품 *자배송 *품패킹*자
 ( '광고' 클릭 절대 금지 )
 ▶판매처 : 아트단프라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</si>
  <si>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247개</t>
  </si>
  <si>
    <t>그림포장박스 액자배송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</si>
  <si>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*70x*50mm *림포장박스 *형 *트단프라 *0호 *버스 *술품 *자배송 *품패킹*자
 ( '광고' 클릭 절대 금지 )
 ▶판매처 : 아트단프라
 5. 찜하기 클릭
 6. 바로가기 클릭
 7. 상품 클릭
 8. 링크(url) 복사 후 정답에 붙여넣기 후 제출</t>
    </r>
  </si>
  <si>
    <t>https://m.smartstore.naver.com/drart/products/8350354953</t>
  </si>
  <si>
    <t>꿀스틱 8g 20개입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</si>
  <si>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위* 꿀*때 국산 *꿀 8g 20*입 아카*아 야생* 라*더밤 *스틱 *례품 선*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위잉2025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</si>
  <si>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위잉2025</t>
  </si>
  <si>
    <t>https://smartstore.naver.com/weing2025/products/12580557607</t>
  </si>
  <si>
    <t>꿀스틱 라벤더밤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</si>
  <si>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위* 꿀*때 국산 *꿀 8g 20*입 아카*아 야생* 라*더밤 *스틱 *례품 선*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위잉2025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</si>
  <si>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https://m.search.naver.com/search.naver?sm=mtp_hty.top&amp;where=m&amp;query=%EA%BF%80%EC%8A%A4%ED%8B%B1&amp;ackey=hwqrom6t</t>
  </si>
  <si>
    <t>꿀스틱 위잉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</si>
  <si>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위* 꿀*때 국산 *꿀 8g 20*입 아카*아 야생* 라*더밤 *스틱 *례품 선*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위잉2025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</si>
  <si>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https://msearch.shopping.naver.com/search/all?query=%EA%BF%80%EC%8A%A4%ED%8B%B1&amp;vertical=search</t>
  </si>
  <si>
    <t>꿀스틱 라벤더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</si>
  <si>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위* 꿀*때 국산 *꿀 8g 20*입 아카*아 야생* 라*더밤 *스틱 *례품 선*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위잉2025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</si>
  <si>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224개</t>
  </si>
  <si>
    <t>꿀스틱 8g 20개입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</si>
  <si>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위* 꿀*때 국산 *꿀 8g 20*입 아카*아 야생* 라*더밤 *스틱 *례품 선*
 ( '광고' 클릭 절대 금지 )
 ▶판매처 : 위잉2025
 5. 찜하기 클릭
 6. 바로가기 클릭
 7. 상품 클릭
 8. 링크(url) 복사 후 정답에 붙여넣기 후 제출</t>
    </r>
  </si>
  <si>
    <t>https://m.smartstore.naver.com/weing2025/products/12580557607</t>
  </si>
  <si>
    <t>쌀 가가호호 신동진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</si>
  <si>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</si>
  <si>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농사꾼쌀</t>
  </si>
  <si>
    <t>https://smartstore.naver.com/nongsaggon/products/5608799610</t>
  </si>
  <si>
    <t>쌀 가가호호 특등급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</si>
  <si>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</si>
  <si>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https://m.search.naver.com/search.naver?sm=mtp_hty.top&amp;where=m&amp;query=%EC%8C%80&amp;ackey=83ex7949</t>
  </si>
  <si>
    <t>쌀 가가호호 단일품종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</si>
  <si>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</si>
  <si>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https://msearch.shopping.naver.com/search/all?query=%EC%8C%80&amp;vertical=search</t>
  </si>
  <si>
    <t>쌀 가가호호 백미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</si>
  <si>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</si>
  <si>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143개</t>
  </si>
  <si>
    <t>쌀 10kg 신동진 특등급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</si>
  <si>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가*호호 신*진쌀 10kg 특*급 단*품종* 백* 2025년산 햅*
 ( '광고' 클릭 절대 금지 )
 ▶판매처 : 농사꾼쌀
 5. 찜하기 클릭
 6. 바로가기 클릭 
 7. 상품 클릭
 8. 링크(url) 복사 후 정답에 붙여넣기 후 제출</t>
    </r>
  </si>
  <si>
    <t>https://m.smartstore.naver.com/nongsaggon/products/5608799610</t>
  </si>
  <si>
    <t>쌀20kg 농사꾼양심쌀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</si>
  <si>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2025*산 햅* 농*꾼양*쌀 쌀 20kg *미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</si>
  <si>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https://smartstore.naver.com/nongsaggon/products/5281693654</t>
  </si>
  <si>
    <t>쌀20kg 양심쌀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</si>
  <si>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2025*산 햅* 농*꾼양*쌀 쌀 20kg *미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</si>
  <si>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https://m.search.naver.com/search.naver?sm=mtp_hty.top&amp;where=m&amp;query=%EC%8C%8020kg&amp;ackey=s2i7mrlh</t>
  </si>
  <si>
    <t>쌀20kg 양심쌀 백미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</si>
  <si>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2025*산 햅* 농*꾼양*쌀 쌀 20kg *미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</si>
  <si>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https://msearch.shopping.naver.com/search/all?query=%EC%8C%8020kg&amp;vertical=search</t>
  </si>
  <si>
    <t>쌀20kg 양심쌀 햅쌀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</si>
  <si>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2025*산 햅* 농*꾼양*쌀 쌀 20kg *미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</si>
  <si>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49개</t>
  </si>
  <si>
    <t>쌀20kg 양심쌀 2025년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</si>
  <si>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2025*산 햅* 농*꾼양*쌀 쌀 20kg *미
 ( '광고' 클릭 절대 금지 )
 ▶판매처 : 농사꾼쌀
 5. 찜하기 클릭
 6. 바로가기 클릭 
 7. 상품 클릭
 8. 링크(url) 복사 후 정답에 붙여넣기 후 제출</t>
    </r>
  </si>
  <si>
    <t>https://m.smartstore.naver.com/nongsaggon/products/5281693654</t>
  </si>
  <si>
    <t>비오틴 추천 셀가 60정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</si>
  <si>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</si>
  <si>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https://search.shopping.naver.com/catalog/51929050993</t>
  </si>
  <si>
    <t>비오틴 추천 셀가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</si>
  <si>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</si>
  <si>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https://m.search.naver.com/search.naver?sm=mtp_hty.top&amp;where=m&amp;query=%EB%B9%84%EC%98%A4%ED%8B%B4%EC%B6%94%EC%B2%9C&amp;ackey=rqnxkmjl</t>
  </si>
  <si>
    <t>비오틴 추천 유기농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</si>
  <si>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</si>
  <si>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https://msearch.shopping.naver.com/search/all?query=%EB%B9%84%EC%98%A4%ED%8B%B4%20%EC%B6%94%EC%B2%9C&amp;vertical=search</t>
  </si>
  <si>
    <t>비오틴 추천 유기농 60정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</si>
  <si>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</si>
  <si>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493개</t>
  </si>
  <si>
    <t>비오틴 추천 유기농 500mg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</si>
  <si>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</t>
    </r>
    <r>
      <rPr>
        <sz val="0"/>
        <color theme="1"/>
        <rFont val="Arial"/>
      </rPr>
      <t xml:space="preserve">' 상품을 클릭 해주세요.
 *최저 및 판매처 표시가 있는 상품을 클릭 해주세요*
</t>
    </r>
    <r>
      <rPr>
        <sz val="0"/>
        <color rgb="FF0000FF"/>
        <rFont val="Arial"/>
      </rPr>
      <t xml:space="preserve">
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</si>
  <si>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https://m.smartstore.naver.com/cellga/products/6363740786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</si>
  <si>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
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*삼정 순 *리미엄 *틱 *0g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</si>
  <si>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</t>
    </r>
    <r>
      <rPr>
        <sz val="0"/>
        <color rgb="FF4A86E8"/>
        <rFont val="Arial"/>
      </rPr>
      <t xml:space="preserve"> 
</t>
    </r>
    <r>
      <rPr>
        <sz val="0"/>
        <color theme="1"/>
        <rFont val="Arial"/>
      </rPr>
      <t xml:space="preserve"> *최저 및 판매처 표시가 있는 상품을 클릭 해주세요*
*생가 *삼정 순 *리미엄 *틱 *0g x *0포 *개
 ▶판매처 : 진생가 몰
 5. 찜하기 클릭
 6. 바로가기 클릭
 7. 상품 클릭
 8. 링크(url) 복사 후 정답에 붙여넣기 후 제출</t>
    </r>
  </si>
  <si>
    <t>어린이 홍삼 키즈로운 건강식품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</si>
  <si>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</si>
  <si>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어린이 홍삼 키즈로운 농축액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</si>
  <si>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</si>
  <si>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어린이 홍삼 키즈로운 30포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</si>
  <si>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</si>
  <si>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어린이 홍삼 15ml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</si>
  <si>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</si>
  <si>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어린이 홍삼 진생가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</si>
  <si>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진생가 몰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</si>
  <si>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환갑꽃바구니 잔치 센터피스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</si>
  <si>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구글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환갑*바구니 칠순 *순잔치 센*피스 꽃배달 당*배달 *곡꽃집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</si>
  <si>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꽃한모금</t>
  </si>
  <si>
    <t>https://smartstore.naver.com/imsoflower/products/10453127402</t>
  </si>
  <si>
    <t>https://docs.google.com/spreadsheets/d/1FWU4trrxTr171X6ahq5YCt36tmcaCK2SzCdnxEH3fZo/edit?gid=1935386709#gid=1935386709</t>
  </si>
  <si>
    <t>환갑꽃바구니 마곡 배달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</si>
  <si>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환갑*바구니 칠순 *순잔치 센*피스 꽃배달 당*배달 *곡꽃집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</si>
  <si>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https://m.search.naver.com/search.naver?sm=mtp_hty.top&amp;where=m&amp;query=%ED%99%98%EA%B0%91%EA%BD%83%EB%B0%94%EA%B5%AC%EB%8B%88&amp;ackey=rlo3xba4</t>
  </si>
  <si>
    <t>환갑꽃바구니 마곡꽃집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</si>
  <si>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환갑*바구니 칠순 *순잔치 센*피스 꽃배달 당*배달 *곡꽃집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</si>
  <si>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https://msearch.shopping.naver.com/search/all?query=%ED%99%98%EA%B0%91%EA%BD%83%EB%B0%94%EA%B5%AC%EB%8B%88&amp;vertical=search</t>
  </si>
  <si>
    <t>환갑꽃바구니 마곡꽃집 배달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</si>
  <si>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환갑*바구니 칠순 *순잔치 센*피스 꽃배달 당*배달 *곡꽃집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</si>
  <si>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537개</t>
  </si>
  <si>
    <t>환갑꽃바구니 센터피스 배달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</si>
  <si>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환갑*바구니 칠순 *순잔치 센*피스 꽃배달 당*배달 *곡꽃집
 ( '광고' 클릭 절대 금지 )
 ▶판매처 : 꽃한모금
 5. 찜하기 클릭
 6. 바로가기 클릭
 7. 상품 클릭
 8. 링크(url) 복사 후 정답에 붙여넣기 후 제출</t>
    </r>
  </si>
  <si>
    <t>https://m.smartstore.naver.com/imsoflower/products/10453127402</t>
  </si>
  <si>
    <t>호텔프로포즈 시그니엘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</si>
  <si>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구글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*울 호* 프**즈 이*트 *그니엘 *장 *장식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</si>
  <si>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https://smartstore.naver.com/imsoflower/products/10543385535</t>
  </si>
  <si>
    <t>호텔프로포즈 서울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</si>
  <si>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*울 호* 프**즈 이*트 *그니엘 *장 *장식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</si>
  <si>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https://m.search.naver.com/search.naver?query=%ED%98%B8%ED%85%94%ED%94%84%EB%A1%9C%ED%8F%AC%EC%A6%88&amp;sm=mtp_hty.top&amp;where=m</t>
  </si>
  <si>
    <t>호텔프로포즈 꽃장식 이벤트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</si>
  <si>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*울 호* 프**즈 이*트 *그니엘 *장 *장식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</si>
  <si>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https://msearch.shopping.naver.com/search/all?query=%ED%98%B8%ED%85%94%ED%94%84%EB%A1%9C%ED%8F%AC%EC%A6%88&amp;vertical=search</t>
  </si>
  <si>
    <t>호텔프로포즈 꽃장식 출장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</si>
  <si>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*울 호* 프**즈 이*트 *그니엘 *장 *장식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</si>
  <si>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457개</t>
  </si>
  <si>
    <t>호텔프로포즈 시그니엘 꽃장식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</si>
  <si>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*울 호* 프**즈 이*트 *그니엘 *장 *장식
 ( '광고' 클릭 절대 금지 )
 ▶판매처 : 꽃한모금
 5. 찜하기 클릭
 6. 바로가기 클릭
 7. 상품 클릭
 8. 링크(url) 복사 후 정답에 붙여넣기 후 제출</t>
    </r>
  </si>
  <si>
    <t>https://m.smartstore.naver.com/imsoflower/products/10543385535</t>
  </si>
  <si>
    <t>군산탐정사무소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</si>
  <si>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"군산흥신소.kr"을 찾아주세요.
5. "군산 흥신소 / 탐정사무소 의뢰비용 / 스토커 차단 / 사이버 보안 - 대성기획"을 클릭해주세요.
6. 사이트 방문 후 제일 하단으로 이동해주세요.
7. [ 힌트 ] 를 보고 정답을 찾아주세요.
8. 초성힌트 : [ TEL : 1533-OOOO ]
정답 : &lt;4&gt;  글자
* 정답란에 - 포함하여 띄어쓰기 없이 입력 후 제출해주세요.</t>
  </si>
  <si>
    <t>대성기획</t>
  </si>
  <si>
    <t>https://xn--6e0b287a4sag5bo99c.kr/</t>
  </si>
  <si>
    <t>거실테이블 리프트 테이블 cw150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</si>
  <si>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*자가구 *드 *200 *프트업 *실 *이블 *w1*0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</si>
  <si>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https://search.shopping.naver.com/catalog/26296572370</t>
  </si>
  <si>
    <t>거실테이블 1200 리프트업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</si>
  <si>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*자가구 *드 *200 *프트업 *실 *이블 *w1*0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</si>
  <si>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https://m.search.naver.com/search.naver?sm=mtp_hty.top&amp;where=m&amp;query=%EA%B1%B0%EC%8B%A4%ED%85%8C%EC%9D%B4%EB%B8%94&amp;ackey=r4wroyos</t>
  </si>
  <si>
    <t>거실테이블 1200 리프트업 거실 테이블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</si>
  <si>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*자가구 *드 *200 *프트업 *실 *이블 *w1*0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</si>
  <si>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https://msearch.shopping.naver.com/search/all?query=%EA%B1%B0%EC%8B%A4%ED%85%8C%EC%9D%B4%EB%B8%94&amp;vertical=search</t>
  </si>
  <si>
    <t>거실테이블 1200 리프트업 cw150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</si>
  <si>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*자가구 *드 *200 *프트업 *실 *이블 *w1*0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</si>
  <si>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302개</t>
  </si>
  <si>
    <t>거실테이블 리프트업 거실 테이블 cw150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</si>
  <si>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'가격비교' 상품을 클릭 해주세요.
 *최저 및 판매처 표시가 있는 상품을 클릭 해주세요*
*자가구 *드 *200 *프트업 *실 *이블 *w1*0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</si>
  <si>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https://m.smartstore.naver.com/rajastore/products/5441443007</t>
  </si>
  <si>
    <t>책장 도어형 5단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</si>
  <si>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</t>
    </r>
    <r>
      <rPr>
        <sz val="0"/>
        <color rgb="FFFF0000"/>
        <rFont val="Arial"/>
      </rPr>
      <t xml:space="preserve"> 라자가구 스토어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</t>
    </r>
  </si>
  <si>
    <t>https://search.shopping.naver.com/catalog/33590789619</t>
  </si>
  <si>
    <t>책장 1200폭 5단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</si>
  <si>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</t>
    </r>
  </si>
  <si>
    <t>https://m.search.naver.com/search.naver?sm=mtp_hty.top&amp;where=m&amp;query=%EC%B1%85%EC%9E%A5&amp;ackey=ymjshalj</t>
  </si>
  <si>
    <t>책장 플러시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</si>
  <si>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</t>
    </r>
  </si>
  <si>
    <t>https://msearch.shopping.naver.com/search/all?query=%EC%B1%85%EC%9E%A5&amp;vertical=search</t>
  </si>
  <si>
    <t>책장 라자가구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</si>
  <si>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</t>
    </r>
  </si>
  <si>
    <t>책장 위드 플러시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</si>
  <si>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</t>
    </r>
    <r>
      <rPr>
        <sz val="0"/>
        <color rgb="FFFF0000"/>
        <rFont val="Arial"/>
      </rPr>
      <t xml:space="preserve"> 라자가구 스토어
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</si>
  <si>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https://m.smartstore.naver.com/rajastore/products/6804016979</t>
  </si>
  <si>
    <t>헤나염색약 천연 가루 2.75%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</si>
  <si>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*도농장 *나 *색약 *든포션 *연 *색약 *루 *소니아 2.*5%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</si>
  <si>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헤어스페셜</t>
  </si>
  <si>
    <t>https://smartstore.naver.com/hair_special/products/595997716</t>
  </si>
  <si>
    <t>헤나염색약 골든포션 염색약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</si>
  <si>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*도농장 *나 *색약 *든포션 *연 *색약 *루 *소니아 2.*5%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</si>
  <si>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https://m.search.naver.com/search.naver?sm=mtp_hty.top&amp;where=m&amp;query=%ED%97%A4%EB%82%98%EC%97%BC%EC%83%89%EC%95%BD&amp;ackey=6i2gnwg9</t>
  </si>
  <si>
    <t>헤나염색약 염색약 가루 로소니아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</si>
  <si>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*도농장 *나 *색약 *든포션 *연 *색약 *루 *소니아 2.*5%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</si>
  <si>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https://msearch.shopping.naver.com/search/all?query=%ED%97%A4%EB%82%98%EC%97%BC%EC%83%89%EC%95%BD&amp;vertical=search</t>
  </si>
  <si>
    <t>헤나염색약 인도 천연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</si>
  <si>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*도농장 *나 *색약 *든포션 *연 *색약 *루 *소니아 2.*5%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</si>
  <si>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317개</t>
  </si>
  <si>
    <t>헤나염색약 인도 2.75%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</si>
  <si>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*도농장 *나 *색약 *든포션 *연 *색약 *루 *소니아 2.*5%
 ( '광고' 클릭 절대 금지 )
 ▶판매처 : 헤어스페셜
 5. 찜하기 클릭
 6. 바로가기 클릭 
 7. 상품 클릭
 8. 링크(url) 복사 후 정답에 붙여넣기 후 제출</t>
    </r>
  </si>
  <si>
    <t>https://m.smartstore.naver.com/hair_special/products/595997716</t>
  </si>
  <si>
    <t>안동마 티알마켓 생마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</si>
  <si>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*마 안동* *마 *마 *마 *씨앗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</si>
  <si>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https://smartstore.naver.com/trcompanyy/products/12956976056</t>
  </si>
  <si>
    <t>안동마 티알마켓 마씨앗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</si>
  <si>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*마 안동* *마 *마 *마 *씨앗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</si>
  <si>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https://m.search.naver.com/search.naver?sm=mtp_hty.top&amp;where=m&amp;query=%EC%95%88%EB%8F%99+%EB%A7%88&amp;ackey=2hb2k5zu</t>
  </si>
  <si>
    <t>안동마 티알마켓 참마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</si>
  <si>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*마 안동* *마 *마 *마 *씨앗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</si>
  <si>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https://msearch.shopping.naver.com/search/all?query=%EC%95%88%EB%8F%99%20%EB%A7%88&amp;vertical=search</t>
  </si>
  <si>
    <t>안동마 티알마켓 장마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</si>
  <si>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*마 안동* *마 *마 *마 *씨앗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</si>
  <si>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42개</t>
  </si>
  <si>
    <t>안동마 티알마켓 산마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</si>
  <si>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*동 *마 안동* *마 *마 *마 *씨앗
 ( '광고' 클릭 절대 금지 )
 ▶판매처 : 티알마켓
 5. 찜하기 클릭
 6. 바로가기 클릭
 7. 상품 클릭
 8. 링크(url) 복사 후 정답에 붙여넣기 후 제출</t>
    </r>
  </si>
  <si>
    <t>https://m.smartstore.naver.com/trcompanyy/products/12956976056</t>
  </si>
  <si>
    <t>옷장 파로마 소이 YUR058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</si>
  <si>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</si>
  <si>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https://smartstore.naver.com/furnionehome/products/5524179511</t>
  </si>
  <si>
    <t>옷장 파로마 슬라이딩 행거형 YUR058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</si>
  <si>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</si>
  <si>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https://m.search.naver.com/search.naver?sm=mtp_hty.top&amp;where=m&amp;query=%EC%98%B7%EC%9E%A5&amp;ackey=oofc2vos</t>
  </si>
  <si>
    <t>옷장 파로마 소이 058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</si>
  <si>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</si>
  <si>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 xml:space="preserve">옷장 YUR058
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</si>
  <si>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</si>
  <si>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281개</t>
  </si>
  <si>
    <t>옷장 파로마 소이 1200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</si>
  <si>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소* 1200 슬*이딩 *장 행*형 Y*R058
 ( '광고' 클릭 절대 금지 )
 ▶판매처 : 온라인 브랜드 가구
 5. 찜하기 클릭
 6. 바로가기 클릭
 7. 상품 클릭
 8. 링크(url) 복사 후 정답에 붙여넣기 후 제출</t>
    </r>
  </si>
  <si>
    <t>https://m.smartstore.naver.com/furnionehome/products/5524179511</t>
  </si>
  <si>
    <t>탄소매트 보닉 카르보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</si>
  <si>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</si>
  <si>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corezone</t>
  </si>
  <si>
    <t>https://smartstore.naver.com/lainzone/products/12836940744</t>
  </si>
  <si>
    <t>탄소매트 보닉 카르보 워셔블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</si>
  <si>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</si>
  <si>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https://m.search.naver.com/search.naver?sm=mtp_hty.top&amp;where=m&amp;query=%ED%83%84%EC%86%8C%EB%A7%A4%ED%8A%B8&amp;ackey=b7rvkoqr</t>
  </si>
  <si>
    <t>탄소매트 보닉 전기요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</si>
  <si>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</si>
  <si>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https://msearch.shopping.naver.com/search/all?query=%ED%83%84%EC%86%8C%EB%A7%A4%ED%8A%B8&amp;vertical=search</t>
  </si>
  <si>
    <t>탄소매트 카르보 3인용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</si>
  <si>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</si>
  <si>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27개</t>
  </si>
  <si>
    <t>탄소매트 보닉 전기요 더블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</si>
  <si>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corezone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</si>
  <si>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https://m.smartstore.naver.com/lainzone/products/12836940744</t>
  </si>
  <si>
    <t>소금항아리 도자기거북이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</si>
  <si>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*관 *금단지 *금항아리 *자기거*이 *항아리 *수지리 *테리어 *들이*물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더담다플러스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</si>
  <si>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더담다플러스</t>
  </si>
  <si>
    <t>https://smartstore.naver.com/thedamdaplus/products/12899796917</t>
  </si>
  <si>
    <t>소금항아리 도자기거북이 인테리어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</si>
  <si>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*관 *금단지 *금항아리 *자기거*이 *항아리 *수지리 *테리어 *들이*물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더담다플러스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</si>
  <si>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https://m.search.naver.com/search.naver?sm=mtp_hty.top&amp;where=m&amp;query=%EC%86%8C%EA%B8%88%ED%95%AD%EC%95%84%EB%A6%AC&amp;ackey=tz9whcth</t>
  </si>
  <si>
    <t>소금항아리 도자기거북이 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</si>
  <si>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*관 *금단지 *금항아리 *자기거*이 *항아리 *수지리 *테리어 *들이*물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더담다플러스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</si>
  <si>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https://msearch.shopping.naver.com/search/all?query=%EC%86%8C%EA%B8%88%ED%95%AD%EC%95%84%EB%A6%AC&amp;vertical=search</t>
  </si>
  <si>
    <t>소금항아리 도자기거북이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</si>
  <si>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*관 *금단지 *금항아리 *자기거*이 *항아리 *수지리 *테리어 *들이*물
</t>
    </r>
    <r>
      <rPr>
        <sz val="0"/>
        <color rgb="FFFF0000"/>
        <rFont val="Arial"/>
      </rPr>
      <t xml:space="preserve">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더담다플러스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</si>
  <si>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227개</t>
  </si>
  <si>
    <t>소금항아리 도자기거북이 풍수지리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</si>
  <si>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*관 *금단지 *금항아리 *자기거*이 *항아리 *수지리 *테리어 *들이*물
 ( '광고' 클릭 절대 금지 )
 ▶판매처 : 더담다플러스
 5. 찜하기 클릭
 6. 바로가기 클릭 
 7. 상품 클릭
 8. 링크(url) 복사 후 정답에 붙여넣기 후 제출</t>
    </r>
  </si>
  <si>
    <t>https://m.smartstore.naver.com/thedamdaplus/products/12899796917</t>
  </si>
  <si>
    <t>곶감선물세트 양촌 곶감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</si>
  <si>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*촌*감 *메골*감 *절선*세트 *정용 *속형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이메골농산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</si>
  <si>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이메골농산</t>
  </si>
  <si>
    <t>https://smartstore.naver.com/imegol/products/6131869983</t>
  </si>
  <si>
    <t>곶감선물세트 양촌 가정용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</si>
  <si>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*촌*감 *메골*감 *절선*세트 *정용 *속형
 ( '광고' 클릭 절대 금지 )
 ▶판매처 : 이메골농산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</si>
  <si>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https://m.search.naver.com/search.naver?sm=mtp_hty.top&amp;where=m&amp;query=%EA%B3%B6%EA%B0%90%EC%84%A0%EB%AC%BC%EC%84%B8%ED%8A%B8&amp;ackey=xvsiw449</t>
  </si>
  <si>
    <t>곶감선물세트 양촌 실속형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</si>
  <si>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*촌*감 *메골*감 *절선*세트 *정용 *속형
 ( '광고' 클릭 절대 금지 )
 ▶판매처 : 이메골농산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</si>
  <si>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https://msearch.shopping.naver.com/search/all?query=%EA%B3%B6%EA%B0%90%EC%84%A0%EB%AC%BC%EC%84%B8%ED%8A%B8&amp;vertical=search</t>
  </si>
  <si>
    <t>곶감선물세트 양촌 명절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</si>
  <si>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*촌*감 *메골*감 *절선*세트 *정용 *속형
 ( '광고' 클릭 절대 금지 )
 ▶판매처 : 이메골농산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</si>
  <si>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28개</t>
  </si>
  <si>
    <t>곶감선물세트 양촌 이메골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</si>
  <si>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*촌*감 *메골*감 *절선*세트 *정용 *속형
 ( '광고' 클릭 절대 금지 )
 ▶판매처 : 이메골농산
 5. 찜하기 클릭
 6. 바로가기 클릭 
 7. 상품 클릭
 8. 링크(url) 복사 후 정답에 붙여넣기 후 제출</t>
    </r>
  </si>
  <si>
    <t>https://m.smartstore.naver.com/imegol/products/6131869983</t>
  </si>
  <si>
    <t>LED벽시계 플랫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</si>
  <si>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</si>
  <si>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제이앤와이컴퍼니</t>
  </si>
  <si>
    <t>https://smartstore.naver.com/jnycom/products/6965828653</t>
  </si>
  <si>
    <t>LED벽시계 플라이토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</si>
  <si>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</si>
  <si>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https://m.search.naver.com/search.naver?sm=mtp_hty.top&amp;where=m&amp;query=LED%EB%B2%BD%EC%8B%9C%EA%B3%84&amp;ackey=4ymhjo16</t>
  </si>
  <si>
    <t>LED벽시계 백라이트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</si>
  <si>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</si>
  <si>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https://msearch.shopping.naver.com/search/all?query=LED%EB%B2%BD%EC%8B%9C%EA%B3%84&amp;vertical=search</t>
  </si>
  <si>
    <t>LED벽시계 전자달력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</si>
  <si>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</si>
  <si>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386개</t>
  </si>
  <si>
    <t>LED벽시계 사무실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</si>
  <si>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플*이토 와*파이 *시계 인*리어 전자달* 집*이 사*실 LED시* 백라*트 터닝 *랫
( '광고' 클릭 절대 금지 )
 ▶판매처 : 제이앤와이컴퍼니
 5. 찜하기 클릭
 6. 바로가기 클릭
 7. 상품 클릭
 8. 링크(url) 복사 후 정답에 붙여넣기 후 제출</t>
    </r>
  </si>
  <si>
    <t>https://m.smartstore.naver.com/jnycom/products/6965828653</t>
  </si>
  <si>
    <t>루나리스 수신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</si>
  <si>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</si>
  <si>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https://smartstore.naver.com/jnycom/products/12355011391</t>
  </si>
  <si>
    <t>루나리스 노르딕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</si>
  <si>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</si>
  <si>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https://m.search.naver.com/search.naver?sm=mtp_hty.top&amp;where=m&amp;query=%EB%A3%A8%EB%82%98%EB%A6%AC%EC%8A%A4&amp;ackey=kd9u0vwj</t>
  </si>
  <si>
    <t>루나리스 개업선물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</si>
  <si>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</si>
  <si>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https://msearch.shopping.naver.com/search/all?query=%EB%A3%A8%EB%82%98%EB%A6%AC%EC%8A%A4&amp;vertical=search</t>
  </si>
  <si>
    <t>루나리스 FM 전파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</si>
  <si>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</si>
  <si>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222개</t>
  </si>
  <si>
    <t>루나리스 벽시계 54CM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</si>
  <si>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찜하기 클릭
 6. 바로가기 클릭
 7. 상품 클릭
 8. 링크(url) 복사 후 정답에 붙여넣기 후 제출</t>
    </r>
  </si>
  <si>
    <t>https://m.smartstore.naver.com/jnycom/products/12355011391</t>
  </si>
  <si>
    <t>고양이캔 먹보별난참치 맛있는 간식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</si>
  <si>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고*이캔 24*캔 맛*는 6종 *양이간* 습식*료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</si>
  <si>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사료영양학교실</t>
  </si>
  <si>
    <t>https://smartstore.naver.com/feednutrition/products/12981682855</t>
  </si>
  <si>
    <t>고양이캔 먹보별난참치 습식사료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</si>
  <si>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고*이캔 24*캔 맛*는 6종 *양이간* 습식*료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</si>
  <si>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https://m.search.naver.com/search.naver?sm=mtp_hty.top&amp;where=m&amp;query=%EA%B3%A0%EC%96%91%EC%9D%B4%EC%BA%94&amp;ackey=ohg7r15n</t>
  </si>
  <si>
    <t>고양이캔 먹보별난참치 맛있는 6종간식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</si>
  <si>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고*이캔 24*캔 맛*는 6종 *양이간* 습식*료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</si>
  <si>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https://msearch.shopping.naver.com/search/all?query=%EA%B3%A0%EC%96%91%EC%9D%B4%EC%BA%94&amp;vertical=search</t>
  </si>
  <si>
    <t>고양이캔 먹보별난참치 6종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</si>
  <si>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고*이캔 24*캔 맛*는 6종 *양이간* 습식*료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</si>
  <si>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46개</t>
  </si>
  <si>
    <t>고양이캔 먹보별난참치 맛있는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</si>
  <si>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먹*별난*치 170g 고*이캔 24*캔 맛*는 6종 *양이간* 습식*료
 ( '광고' 클릭 절대 금지 )
 ▶판매처 : 사료영양학교실
 5. 찜하기 클릭
 6. 바로가기 클릭 
 7. 상품 클릭
 8. 링크(url) 복사 후 정답에 붙여넣기 후 제출</t>
    </r>
  </si>
  <si>
    <t>https://m.smartstore.naver.com/feednutrition/products/12981682855</t>
  </si>
  <si>
    <t>러닝마스크청풍문 골프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</si>
  <si>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</si>
  <si>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청풍문-bluewind</t>
  </si>
  <si>
    <t>https://smartstore.naver.com/bluewind-korea/products/7680292646</t>
  </si>
  <si>
    <t>러닝마스크청풍문 러닝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</si>
  <si>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</si>
  <si>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https://m.search.naver.com/search.naver?sm=mtp_hty.top&amp;where=m&amp;query=%EB%9F%AC%EB%8B%9D%EB%A7%88%EC%8A%A4%ED%81%AC&amp;ackey=3v2jlqv9</t>
  </si>
  <si>
    <t>러닝마스크청풍문 얼굴가리개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</si>
  <si>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</si>
  <si>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https://msearch.shopping.naver.com/search/all?query=%EB%9F%AC%EB%8B%9D%EB%A7%88%EC%8A%A4%ED%81%AC&amp;vertical=search</t>
  </si>
  <si>
    <t>러닝마스크청풍문 자외선차단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</si>
  <si>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</si>
  <si>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456개</t>
  </si>
  <si>
    <t>러닝마스크청풍문 운동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</si>
  <si>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하*런 *포츠 러닝 마스* 자*선차*마*크 골프 *동 안면 얼*가리*
 ( '광고' 클릭 절대 금지 )
 ▶판매처 : 청풍문-bluewind
 5. 찜하기 클릭
 6. 바로가기 클릭
 7. 상품 클릭
 8. 링크(url) 복사 후 정답에 붙여넣기 후 제출</t>
    </r>
  </si>
  <si>
    <t>https://m.smartstore.naver.com/bluewind-korea/products/7680292646</t>
  </si>
  <si>
    <t>빨아쓰는마스크 새부리형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</si>
  <si>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마스* 연예인 *션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</si>
  <si>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https://smartstore.naver.com/bluewind-korea/products/6355761848</t>
  </si>
  <si>
    <t>빨아쓰는마스크 귀편한 새부리형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</si>
  <si>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마스* 연예인 *션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</si>
  <si>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https://m.search.naver.com/search.naver?sm=mtp_hty.top&amp;where=m&amp;query=%EB%B9%A8%EC%95%84%EC%93%B0%EB%8A%94%EB%A7%88%EC%8A%A4%ED%81%AC&amp;ackey=4k0vkvqp</t>
  </si>
  <si>
    <t>빨아쓰는마스크 숨쉬기편한 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</si>
  <si>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마스* 연예인 *션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</si>
  <si>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https://msearch.shopping.naver.com/search/all?query=%EB%B9%A8%EC%95%84%EC%93%B0%EB%8A%94%EB%A7%88%EC%8A%A4%ED%81%AC&amp;vertical=search</t>
  </si>
  <si>
    <t>빨아쓰는마스크 귀편한 패션마스크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</si>
  <si>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마스* 연예인 *션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</si>
  <si>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184개</t>
  </si>
  <si>
    <t>빨아쓰는마스크 귀편한 천 마스크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</si>
  <si>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빨*쓰는 면 천 *스크 숨*기편* 귀*한 *부리형 마스* 연예인 *션
 ( '광고' 클릭 절대 금지 )
 ▶판매처 : 청풍문-bluewind
 5. 찜하기 클릭
 6. 바로가기 클릭 
 7. 상품 클릭
 8. 링크(url) 복사 후 정답에 붙여넣기 후 제출</t>
    </r>
  </si>
  <si>
    <t>https://m.smartstore.naver.com/bluewind-korea/products/6355761848</t>
  </si>
  <si>
    <t>수제청 답례품 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</si>
  <si>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</si>
  <si>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650g 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</si>
  <si>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</si>
  <si>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자몽 생강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</si>
  <si>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</si>
  <si>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자몽 청귤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</si>
  <si>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</si>
  <si>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청귤 생강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</si>
  <si>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</si>
  <si>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강아지간식 사시미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</si>
  <si>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*투베이* 500g 강*지간식 사*미 2개 대용*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</si>
  <si>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https://smartstore.naver.com/feednutrition/products/12560945002</t>
  </si>
  <si>
    <t>강아지간식 백투베이직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</si>
  <si>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*투베이* 500g 강*지간식 사*미 2개 대용*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</si>
  <si>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https://m.search.naver.com/search.naver?sm=mtp_hty.top&amp;where=m&amp;query=%EA%B0%95%EC%95%84%EC%A7%80%EA%B0%84%EC%8B%9D&amp;ackey=90jgmb5i</t>
  </si>
  <si>
    <t>강아지간식 500g 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</si>
  <si>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*투베이* 500g 강*지간식 사*미 2개 대용*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</si>
  <si>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https://msearch.shopping.naver.com/search/all?query=%EA%B0%95%EC%95%84%EC%A7%80%EA%B0%84%EC%8B%9D&amp;vertical=search</t>
  </si>
  <si>
    <t>강아지간식 대용량 사시미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</si>
  <si>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*투베이* 500g 강*지간식 사*미 2개 대용*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</si>
  <si>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72개</t>
  </si>
  <si>
    <t>강아지간식 사시미 500g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</si>
  <si>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*투베이* 500g 강*지간식 사*미 2개 대용* 간*
 ( '광고' 클릭 절대 금지 )
 ▶판매처 : 사료영양학교실
 5. 찜하기 클릭
 6. 바로가기 클릭 
 7. 상품 클릭
 8. 링크(url) 복사 후 정답에 붙여넣기 후 제출</t>
    </r>
  </si>
  <si>
    <t>https://m.smartstore.naver.com/feednutrition/products/12560945002</t>
  </si>
  <si>
    <t>보드게임 고급 체스판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</si>
  <si>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보*게임 *리포터 체스 *급 접*식 체*판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</si>
  <si>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https://smartstore.naver.com/temxtem/products/10609648959</t>
  </si>
  <si>
    <t>보드게임 체스판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</si>
  <si>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보*게임 *리포터 체스 *급 접*식 체*판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</si>
  <si>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https://m.search.naver.com/search.naver?sm=mtp_hty.top&amp;where=m&amp;query=%EB%B3%B4%EB%93%9C%EA%B2%8C%EC%9E%84&amp;ackey=l7t715yb</t>
  </si>
  <si>
    <t>보드게임 접이식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</si>
  <si>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보*게임 *리포터 체스 *급 접*식 체*판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</si>
  <si>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https://msearch.shopping.naver.com/search/all?query=%EB%B3%B4%EB%93%9C%EA%B2%8C%EC%9E%84&amp;vertical=search</t>
  </si>
  <si>
    <t>보드게임 체스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</si>
  <si>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보*게임 *리포터 체스 *급 접*식 체*판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</si>
  <si>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356개</t>
  </si>
  <si>
    <t>보드게임 해리포터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</si>
  <si>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보*게임 *리포터 체스 *급 접*식 체*판
 ( '광고' 클릭 절대 금지 )
 ▶판매처 : 템x템
 5. 찜하기 클릭
 6. 바로가기 클릭 
 7. 상품 클릭
 8. 링크(url) 복사 후 정답에 붙여넣기 후 제출</t>
    </r>
  </si>
  <si>
    <t>https://m.smartstore.naver.com/temxtem/products/10609648959</t>
  </si>
  <si>
    <t>불멍 무드등 초대형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</si>
  <si>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</si>
  <si>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https://smartstore.naver.com/homecoffeeing/products/5526677700</t>
  </si>
  <si>
    <t>불멍 무드등 벽난로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</si>
  <si>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</si>
  <si>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https://m.search.naver.com/search.naver?sm=mtp_hty.top&amp;where=m&amp;query=%EC%A1%B0%EB%AA%85&amp;ackey=zioaa4ns</t>
  </si>
  <si>
    <t>불멍 무드등 무선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</si>
  <si>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</si>
  <si>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https://msearch.shopping.naver.com/search/all?query=%EC%A1%B0%EB%AA%85&amp;vertical=search</t>
  </si>
  <si>
    <t>불멍 무드등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</si>
  <si>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</si>
  <si>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241개</t>
  </si>
  <si>
    <t>불멍 무드등 초대형 크리스마스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</si>
  <si>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초*형 벽난* 불멍 *드등 무선 크*스마* L*D(심플형 브*운S)
 ( '광고' 클릭 절대 금지 )
 ▶판매처 : 빛내는 사람들
 5. 찜하기 클릭
 6. 바로가기 클릭 
 7. 상품 클릭
 8. 링크(url) 복사 후 정답에 붙여넣기 후 제출</t>
    </r>
  </si>
  <si>
    <t>https://m.smartstore.naver.com/homecoffeeing/products/5526677700</t>
  </si>
  <si>
    <t>불멍 무드등 불타는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</si>
  <si>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</si>
  <si>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https://smartstore.naver.com/homecoffeeing/products/5197679949</t>
  </si>
  <si>
    <t>불멍 무드등 무선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</si>
  <si>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</si>
  <si>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LED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</si>
  <si>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</si>
  <si>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LED 크리스마스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</si>
  <si>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</si>
  <si>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1360개</t>
  </si>
  <si>
    <t>불멍 무드등 벽난로 크리스마스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</si>
  <si>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불* 무*등 벽난로 *타는 LED 무* 수유등 집*이 크*스마*(A형)
 ( '광고' 클릭 절대 금지 )
 ▶판매처 : 빛내는 사람들
 5. 찜하기 클릭
 6. 바로가기 클릭 
 7. 상품 클릭
 8. 링크(url) 복사 후 정답에 붙여넣기 후 제출</t>
    </r>
  </si>
  <si>
    <t>https://m.smartstore.naver.com/homecoffeeing/products/5197679949</t>
  </si>
  <si>
    <t>불멍 무드등 LED 캔들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</si>
  <si>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</si>
  <si>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https://smartstore.naver.com/homecoffeeing/products/6410995899</t>
  </si>
  <si>
    <t>불멍 무드등 LED 취침등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</si>
  <si>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</si>
  <si>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취침등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</si>
  <si>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</si>
  <si>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탁상 캔들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</si>
  <si>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</si>
  <si>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218개</t>
  </si>
  <si>
    <t>불멍 무드등 촛불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</si>
  <si>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L*D 캔들 *불 불* 무*등 탁상 취*등 크*스*스 골*S 10cm
 ( '광고' 클릭 절대 금지 )
 ▶판매처 : 빛내는 사람들
 5. 찜하기 클릭
 6. 바로가기 클릭 
 7. 상품 클릭
 8. 링크(url) 복사 후 정답에 붙여넣기 후 제출</t>
    </r>
  </si>
  <si>
    <t>https://m.smartstore.naver.com/homecoffeeing/products/6410995899</t>
  </si>
  <si>
    <t>불멍 무드등 다이아몬드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</si>
  <si>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</si>
  <si>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불멍 무드등 오로라 취침등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</si>
  <si>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</si>
  <si>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https://m.search.naver.com/search.naver?sm=mtp_hty.top&amp;where=m&amp;query=%EB%AC%B4%EB%93%9C%EB%93%B1&amp;ackey=qan1a2pv</t>
  </si>
  <si>
    <t>불멍 무드등 오로라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</si>
  <si>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</si>
  <si>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불멍 무드등 LED 무선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</si>
  <si>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</si>
  <si>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불멍무드등 LED 탁상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</si>
  <si>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[*처리] *이아몬드 *드등 *멍 *ED *선 *상 *침등 *로라 *명
 ( '광고' 클릭 절대 금지 )
 ▶판매처 : 빛내는 사람들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</si>
  <si>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</si>
  <si>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</si>
  <si>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무선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</si>
  <si>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</si>
  <si>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LED 수유등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</si>
  <si>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</si>
  <si>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벽난로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</si>
  <si>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찜하기 클릭
 6. 바로가기 클릭
 7. 상품 클릭
 8. 링크(url) 복사 후 정답에 붙여넣기 후 제출</t>
    </r>
  </si>
  <si>
    <t>불멍 무드등 LED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</si>
  <si>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</si>
  <si>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( '광고' 클릭 절대 금지 )
 ▶판매처 : 템x템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</si>
  <si>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( '광고' 클릭 절대 금지 )
 ▶판매처 : 템x템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</si>
  <si>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크리스마스 무선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</si>
  <si>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( '광고' 클릭 절대 금지 )
 ▶판매처 : 템x템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</si>
  <si>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벽난로 수유등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</si>
  <si>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[*처리] *멍 *드등 *ED *명 *난로 *유등 *선 *리스마스 *들이
 ( '광고' 클릭 절대 금지 )
 ▶판매처 : 템x템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</si>
  <si>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</si>
  <si>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</si>
  <si>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LED 조명 E형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</si>
  <si>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</si>
  <si>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LED 벽난로 E형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</si>
  <si>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</si>
  <si>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찜하기 클릭
 6. 바로가기 클릭
 7. 상품 클릭
 8. 링크(url) 복사 후 정답에 붙여넣기 후 제출</t>
    </r>
  </si>
  <si>
    <t>옷걸이 홈앤영</t>
  </si>
  <si>
    <r>
      <rPr>
        <sz val="0"/>
        <color theme="1"/>
        <rFont val="Arial"/>
      </rPr>
      <t>미션 수행하며,
리워드 즉시 적립 받으세요!
1. 하단 [검색어 복사하기] 버튼을 클릭 하고, 키워드를 복사해주세요.
2. [힌트 보기] 버튼을 클릭해서</t>
    </r>
    <r>
      <rPr>
        <sz val="0"/>
        <color rgb="FFFF0000"/>
        <rFont val="Arial"/>
      </rPr>
      <t xml:space="preserve"> 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</si>
  <si>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옷걸이 논슬립 원목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</si>
  <si>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</si>
  <si>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https://m.search.naver.com/search.naver?sm=mtp_hty.top&amp;where=m&amp;query=%EC%98%B7%EA%B1%B8%EC%9D%B4&amp;ackey=axykcebd</t>
  </si>
  <si>
    <t>옷걸이 10P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</si>
  <si>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</si>
  <si>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</si>
  <si>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511개</t>
  </si>
  <si>
    <t>옷걸이 나무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</si>
  <si>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</si>
  <si>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샐러드 정기배송 1kg</t>
  </si>
  <si>
    <r>
      <rPr>
        <sz val="0"/>
        <color theme="1"/>
        <rFont val="Arial"/>
      </rPr>
      <t>미션 수행하며,
리워드 즉시 적립 받으세요!
1. 하단 [검색어 복사하기] 버튼을 클릭 하고, 키워드를 복사해주세요.
2. [힌트 보기] 버튼을 클릭해서</t>
    </r>
    <r>
      <rPr>
        <sz val="0"/>
        <color rgb="FFFF0000"/>
        <rFont val="Arial"/>
      </rPr>
      <t xml:space="preserve"> 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[*험팩][*러풀테이블] [*벽배송] *러드 *기배송 *린지 *기배송 *kg, *개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컬러풀 테이블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</si>
  <si>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3월 세팅 완~3/2</t>
  </si>
  <si>
    <t>샐러드 정기배송 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</si>
  <si>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[*험팩][*러풀테이블] [*벽배송] *러드 *기배송 *린지 *기배송 *kg, *개
</t>
    </r>
    <r>
      <rPr>
        <sz val="0"/>
        <color rgb="FFFF0000"/>
        <rFont val="Arial"/>
      </rPr>
      <t xml:space="preserve">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컬러풀 테이블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</si>
  <si>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https://m.search.naver.com/search.naver?sm=mtp_hty.top&amp;where=m&amp;query=%EC%83%90%EB%9F%AC%EB%93%9C+%EC%A0%95%EA%B8%B0%EB%B0%B0%EC%86%A1&amp;ackey=y1bnpwpy</t>
  </si>
  <si>
    <t>샐러드 정기배송 샐린지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</si>
  <si>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[*험팩][*러풀테이블] [*벽배송] *러드 *기배송 *린지 *기배송 *kg, *개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컬러풀 테이블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</si>
  <si>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https://msearch.shopping.naver.com/search/all?query=%EC%83%90%EB%9F%AC%EB%93%9C%20%EC%A0%95%EA%B8%B0%EB%B0%B0%EC%86%A1&amp;vertical=search</t>
  </si>
  <si>
    <t>샐러드 정기배송 샐린지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</si>
  <si>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[*험팩][*러풀테이블] [*벽배송] *러드 *기배송 *린지 *기배송 *kg, *개
 ( '광고' 클릭 절대 금지 )
 ▶판매처 : 컬러풀 테이블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</si>
  <si>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샐러드 정기배송 새벽배송 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</si>
  <si>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[*험팩][*러풀테이블] [*벽배송] *러드 *기배송 *린지 *기배송 *kg, *개
 ( '광고' 클릭 절대 금지 )
 ▶판매처 : 컬러풀 테이블
 5. 찜하기 클릭
 6. 바로가기 클릭
 7. 상품 클릭
 8. 링크(url) 복사 후 정답에 붙여넣기 후 제출</t>
    </r>
  </si>
  <si>
    <t>https://m.smartstore.naver.com/colorfull_table/products/8153100399</t>
  </si>
  <si>
    <t>청첩장 Bonne Yajou 하객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</si>
  <si>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</si>
  <si>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kE</t>
  </si>
  <si>
    <t>3월 세팅 완~3/7</t>
  </si>
  <si>
    <t>웨딩 청첩장 Bonne Yajou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</si>
  <si>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</si>
  <si>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u/>
        <sz val="0"/>
        <color rgb="FF1155CC"/>
        <rFont val="Arial"/>
      </rPr>
      <t>https://smartstore.naver.com/bonneyajou/products/12584036947</t>
    </r>
    <r>
      <rPr>
        <u/>
        <sz val="0"/>
        <color rgb="FF1155CC"/>
        <rFont val="Arial"/>
      </rPr>
      <t>7</t>
    </r>
  </si>
  <si>
    <t>하객청첩장 Bonne Yajou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</si>
  <si>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</si>
  <si>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리마인드 청첩장 Bonne Yajou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</si>
  <si>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</si>
  <si>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청첩장 Bonne Yajou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</si>
  <si>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Bonne Yajou
 5. 찜하기 클릭
 6. 바로가기 클릭
 7. 상품 클릭
 8. 링크(url) 복사 후 정답에 붙여넣기 후 제출</t>
    </r>
  </si>
  <si>
    <t>골프백항공커버 맥컬티 MK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</si>
  <si>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</si>
  <si>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https://search.shopping.naver.com/catalog/46483634335</t>
  </si>
  <si>
    <t>골프백항공커버 MK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</si>
  <si>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</si>
  <si>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https://m.search.naver.com/search.naver?sm=mtp_hty.top&amp;where=m&amp;query=%EA%B3%A8%ED%94%84%EB%B0%B1%ED%95%AD%EA%B3%B5%EC%BB%A4%EB%B2%84&amp;ackey=qljn5vld</t>
  </si>
  <si>
    <t>골프백항공커버 SS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</si>
  <si>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</si>
  <si>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https://msearch.shopping.naver.com/search/all?query=%EA%B3%A8%ED%94%84%EB%B0%B1%ED%95%AD%EA%B3%B5%EC%BB%A4%EB%B2%84&amp;vertical=search</t>
  </si>
  <si>
    <t>골프백항공커버 24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</si>
  <si>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</si>
  <si>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1,108개</t>
  </si>
  <si>
    <t>골프백항공커버 MK-SS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</si>
  <si>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*컬티 골*백 항*커버 *K-S*-24
 ▶판매처 : MacKulty
 5. 찜하기 클릭
 6. 바로가기 클릭
 7. 상품 클릭
 8. 링크(url) 복사 후 정답에 붙여넣기 후 제출</t>
  </si>
  <si>
    <t>https://m.smartstore.naver.com/mackulty/products/9512612920</t>
  </si>
  <si>
    <t>아이폰17 케이스 GRimm Grimm 하트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</si>
  <si>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</si>
  <si>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GRimm GRimm.</t>
  </si>
  <si>
    <t>https://smartstore.naver.com/grimm_grimm/products/13029771251</t>
  </si>
  <si>
    <t>아이폰17 케이스 Grimm Grimm 핑크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</si>
  <si>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</si>
  <si>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https://m.search.naver.com/search.naver?sm=mtp_hty.top&amp;where=m&amp;query=%EC%95%84%EC%9D%B4%ED%8F%B017&amp;ackey=12mrsj0f</t>
  </si>
  <si>
    <t>아이폰16 케이스 핑크 Grimm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</si>
  <si>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</si>
  <si>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https://msearch.shopping.naver.com/search/all?query=%EC%95%84%EC%9D%B4%ED%8F%B017&amp;vertical=search</t>
  </si>
  <si>
    <t>아이폰16 케이스 하트 Grimm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</si>
  <si>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</si>
  <si>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3개</t>
  </si>
  <si>
    <t>아이폰15 Grimm Grimm 케이스 하트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</si>
  <si>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</si>
  <si>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https://m.smartstore.naver.com/grimm_grimm/products/13029771251</t>
  </si>
  <si>
    <t>갤럭시 케이스 서울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</si>
  <si>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*울 *양이 [*러스트 *이스] G*imm G*imm.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</si>
  <si>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https://smartstore.naver.com/grimm_grimm/products/12041804659</t>
  </si>
  <si>
    <t>갤럭시 케이스 서울  일러스트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</si>
  <si>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*울 *양이 [*러스트 *이스] G*imm G*imm.
 ( '광고' 클릭 절대 금지 )
 ▶판매처 : GRimm GRimm.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</si>
  <si>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https://m.search.naver.com/search.naver?sm=mtp_hty.top&amp;where=m&amp;query=%EA%B0%A4%EB%9F%AD%EC%8B%9C%EC%BC%80%EC%9D%B4%EC%8A%A4&amp;ackey=tio96x7h</t>
  </si>
  <si>
    <t>갤럭시 케이스 서울 고양이 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</si>
  <si>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*울 *양이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</si>
  <si>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https://msearch.shopping.naver.com/search/all?query=%EA%B0%A4%EB%9F%AD%EC%8B%9C%EC%BC%80%EC%9D%B4%EC%8A%A4&amp;vertical=search</t>
  </si>
  <si>
    <t>아이폰 케이스 고양이 일러스트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</si>
  <si>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*울 *양이 [*러스트 *이스] G*imm G*imm.
 ( '광고' 클릭 절대 금지 )
 ▶판매처 : GRimm GRimm.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</si>
  <si>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225개</t>
  </si>
  <si>
    <t>아이폰17 케이스 고양이 일러스트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</si>
  <si>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*울 *양이 [*러스트 *이스] G*imm G*imm.
 ( '광고' 클릭 절대 금지 )
 ▶판매처 : GRimm GRimm.
 5. 찜하기 클릭
 6. 바로가기 클릭 
 7. 상품 클릭
 8. 링크(url) 복사 후 정답에 붙여넣기 후 제출</t>
    </r>
  </si>
  <si>
    <t>https://m.smartstore.naver.com/grimm_grimm/products/12041804659</t>
  </si>
  <si>
    <t>퀸침대 파로마 인싸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</si>
  <si>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</si>
  <si>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온라인 브랜드가구</t>
  </si>
  <si>
    <t>https://smartstore.naver.com/furnionehome/products/6474378101</t>
  </si>
  <si>
    <t>퀸침대 수납 서랍형 인싸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</si>
  <si>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</si>
  <si>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https://m.search.naver.com/search.naver?sm=mtp_hty.top&amp;where=m&amp;query=%EC%B9%A8%EB%8C%80&amp;ackey=qt8y6ngw</t>
  </si>
  <si>
    <t>퀸침대 수납 서랍형 프레임 led 인싸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</si>
  <si>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</si>
  <si>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퀸침대 파로마 인싸 수납형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</si>
  <si>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</si>
  <si>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742개</t>
  </si>
  <si>
    <t>퀸침대 파로마 인싸 서랍형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</si>
  <si>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소프 led 인싸 3서랍 퀸*대 수납 서*형 프*임
 ( '광고' 클릭 절대 금지 )
 ▶판매처 : 온라인 브랜드가구
 5. 찜하기 클릭
 6. 바로가기 클릭
 7. 상품 클릭
 8. 링크(url) 복사 후 정답에 붙여넣기 후 제출</t>
    </r>
  </si>
  <si>
    <t>https://m.smartstore.naver.com/furnionehome/products/6474378101</t>
  </si>
  <si>
    <t>침대 본넬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</si>
  <si>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보*네오*우스 프*임 LE* 슈퍼*글 침대 *레임 *넬 매트*스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</si>
  <si>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퍼니처 브랜드몰</t>
  </si>
  <si>
    <t>https://smartstore.naver.com/bifhouseprime/products/4939388419</t>
  </si>
  <si>
    <t>침대 본넬 매트리스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</si>
  <si>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보*네오*우스 프*임 LE* 슈퍼*글 침대 *레임 *넬 매트*스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</si>
  <si>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https://m.search.naver.com/search.naver?sm=mtp_hty.top&amp;where=m&amp;query=%EC%8A%88%ED%8D%BC%EC%8B%B1%EA%B8%80%EC%B9%A8%EB%8C%80&amp;ackey=vvym9jc2</t>
  </si>
  <si>
    <t>침대 본넬 슈퍼싱글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</si>
  <si>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보*네오*우스 프*임 LE* 슈퍼*글 침대 *레임 *넬 매트*스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</si>
  <si>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https://msearch.shopping.naver.com/search/all?query=%EC%8A%88%ED%8D%BC%EC%8B%B1%EA%B8%80%EC%B9%A8%EB%8C%80&amp;vertical=search</t>
  </si>
  <si>
    <t>침대 LED 본넬 매트리스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</si>
  <si>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보*네오*우스 프*임 LE* 슈퍼*글 침대 *레임 *넬 매트*스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</si>
  <si>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2,594개</t>
  </si>
  <si>
    <t>침대 슈퍼싱글 본넬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</si>
  <si>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보*네오*우스 프*임 LE* 슈퍼*글 침대 *레임 *넬 매트*스
 ( '광고' 클릭 절대 금지 )
 ▶판매처 : 퍼니처 브랜드몰
 5. 찜하기 클릭
 6. 바로가기 클릭
 7. 상품 클릭
 8. 링크(url) 복사 후 정답에 붙여넣기 후 제출</t>
    </r>
  </si>
  <si>
    <t>https://m.smartstore.naver.com/bifhouseprime/products/4939388419</t>
  </si>
  <si>
    <t>단백질 스낵 오븐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</si>
  <si>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열두시간식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</si>
  <si>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kEL</t>
  </si>
  <si>
    <t>단백질 스낵 오븐에 구운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</si>
  <si>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( '광고' 클릭 절대 금지 )
 ▶판매처 : 열두시간식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</si>
  <si>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https://m.search.naver.com/search.naver?sm=mtp_hty.top&amp;where=m&amp;query=%EB%8B%A8%EB%B0%B1%EC%A7%88+%EC%8A%A4%EB%82%B5&amp;ackey=xg0qlmua</t>
  </si>
  <si>
    <t>단백질 스낵 저칼로리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</si>
  <si>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( '광고' 클릭 절대 금지 )
 ▶판매처 : 열두시간식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</si>
  <si>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https://msearch.shopping.naver.com/search/all?query=%EB%8B%A8%EB%B0%B1%EC%A7%88%20%EC%8A%A4%EB%82%B5&amp;vertical=search</t>
  </si>
  <si>
    <t>단백질 스낵 꾸오닭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</si>
  <si>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( '광고' 클릭 절대 금지 )
 ▶판매처 : 열두시간식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</si>
  <si>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단백질 스낵 닭가슴살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</si>
  <si>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*븐에 *운 *칼로리 *가슴살 *백질 *낵 *오닭
 ( '광고' 클릭 절대 금지 )
 ▶판매처 : 열두시간식
 5. 찜하기 클릭
 6. 바로가기 클릭 
 7. 상품 클릭
 8. 링크(url) 복사 후 정답에 붙여넣기 후 제출</t>
    </r>
  </si>
  <si>
    <t>https://m.smartstore.naver.com/1200snack_/products/10452871116</t>
  </si>
  <si>
    <t>템바보드 고담재 인테리어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</si>
  <si>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*담재 *바보드 *이는 *파보드 *프 *테리어 *바 *트월 *IY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고담재 컬렉션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</si>
  <si>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고담재 컬렉션</t>
  </si>
  <si>
    <t>https://smartstore.naver.com/godamjae/products/12629973108</t>
  </si>
  <si>
    <t>템바보드 고담재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</si>
  <si>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*담재 *바보드 *이는 *파보드 *프 *테리어 *바 *트월 *IY
 ( '광고' 클릭 절대 금지 )
 ▶판매처 : 고담재 컬렉션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</si>
  <si>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https://m.search.naver.com/search.naver?sm=mtp_hty.top&amp;where=m&amp;query=%ED%85%9C%EB%B0%94%EB%B3%B4%EB%93%9C&amp;ackey=oo4x0yah</t>
  </si>
  <si>
    <t>템바보드 루바아트월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</si>
  <si>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*담재 *바보드 *이는 *파보드 *프 *테리어 *바 *트월 *IY
 ( '광고' 클릭 절대 금지 )
 ▶판매처 : 고담재 컬렉션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</si>
  <si>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https://msearch.shopping.naver.com/search/all?query=%ED%85%9C%EB%B0%94%EB%B3%B4%EB%93%9C&amp;vertical=search</t>
  </si>
  <si>
    <t>템바보드 DIY 고담재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</si>
  <si>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*담재 *바보드 *이는 *파보드 *프 *테리어 *바 *트월 *IY
 ( '광고' 클릭 절대 금지 )
 ▶판매처 : 고담재 컬렉션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</si>
  <si>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690개</t>
  </si>
  <si>
    <t>템바보드 셀프 인테리어 고담재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</si>
  <si>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*담재 *바보드 *이는 *파보드 *프 *테리어 *바 *트월 *IY
 ( '광고' 클릭 절대 금지 )
 ▶판매처 : 고담재 컬렉션
 5. 찜하기 클릭
 6. 바로가기 클릭 
 7. 상품 클릭
 8. 링크(url) 복사 후 정답에 붙여넣기 후 제출</t>
    </r>
  </si>
  <si>
    <t>https://m.smartstore.naver.com/godamjae/products/12629973108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</si>
  <si>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</si>
  <si>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</si>
  <si>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</si>
  <si>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</si>
  <si>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374개</t>
  </si>
  <si>
    <t>산삼 선물세트 6년근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</si>
  <si>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</si>
  <si>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도담산삼</t>
  </si>
  <si>
    <t>https://m.smartstore.naver.com/minkukss/products/5461805175</t>
  </si>
  <si>
    <t>https://docs.google.com/spreadsheets/d/1ntoK4At8EjlWRcmK2ro8vwTUbOVOyEhGhPFSP7R8y48/edit?gid=1304990215#gid=1304990215</t>
  </si>
  <si>
    <t>산삼 선물세트 7뿌리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</si>
  <si>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</si>
  <si>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https://m.search.naver.com/search.naver?sm=mtp_hty.top&amp;where=m&amp;query=%EC%82%B0%EC%82%BC&amp;ackey=7ht4hbg2</t>
  </si>
  <si>
    <t>산삼 선물세트 추석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</si>
  <si>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</si>
  <si>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https://msearch.shopping.naver.com/search/all?query=%EC%82%B0%EC%82%BC&amp;vertical=search</t>
  </si>
  <si>
    <t>산삼 선물세트 정삼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</si>
  <si>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</si>
  <si>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620개</t>
  </si>
  <si>
    <t>산삼 선물세트 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</si>
  <si>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산*삼 산양산* 산* 장*삼 *년근 7*리 정* 설선*세* 추**모*선물 도담
 ( '광고' 클릭 절대 금지 )
 ▶판매처 : 도담산삼
 5. 찜하기 클릭
 6. 바로가기 클릭
 7. 상품 클릭
 8. 링크(url) 복사 후 정답에 붙여넣기 후 제출</t>
    </r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</si>
  <si>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4.[크래머*]플레이스를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{ㅊㅍㅅㄷ}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</si>
  <si>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4.[크래머*]플레이스를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{ㅅㅈㅅ}
정답 : &lt;3&gt; 글자
* 정답란에 띄어쓰기 없이 입력 후 제출해주세요.</t>
  </si>
  <si>
    <t>속초대게 팔도대게찜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</si>
  <si>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4.[*도대게찜]플레이스를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{ㅊㅊㅎ}
정답 : &lt;3&gt; 글자
* 정답란에 띄어쓰기 없이 입력 후 제출해주세요.</t>
  </si>
  <si>
    <t>청초호</t>
  </si>
  <si>
    <t>*도대게찜</t>
  </si>
  <si>
    <t>https://m.place.naver.com/restaurant/1822862359/home</t>
  </si>
  <si>
    <t>속초 대게찜 팔도</t>
  </si>
  <si>
    <t>속초 팔도대게</t>
  </si>
  <si>
    <t>새말로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</si>
  <si>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4.[*커버 헬스&amp;필라테스 신도림점]플레이스를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{ㅅㄱㄱㄹㄱㅇ}
정답 : &lt;6&gt; 글자
* 정답란에 띄어쓰기 없이 입력 후 제출해주세요.</t>
  </si>
  <si>
    <t>신길근린공원</t>
  </si>
  <si>
    <t>*커버 헬스&amp;필라테스 신도림점</t>
  </si>
  <si>
    <t>https://m.place.naver.com/place/1276370563/home?entry=pll</t>
  </si>
  <si>
    <t>https://docs.google.com/spreadsheets/d/1F5AtKinqq0wlpx9XMwxZYIsEX_zNLCvBtu9t4o-1W_k/edit?gid=0#gid=0</t>
  </si>
  <si>
    <t>신도림역 필라테스 헬스장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</si>
  <si>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[*커버 헬스&amp;필라테스 신도림점]플레이스를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</si>
  <si>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행당동 피티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</si>
  <si>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4.[*커버 필라테스 &amp; PT 왕십리]플레이스를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{ㅁㅎㅂㄱㄹㄱㅇ}
정답 : &lt;7&gt; 글자
* 정답란에 띄어쓰기 없이 입력 후 제출해주세요.</t>
  </si>
  <si>
    <t>무학봉근린공원</t>
  </si>
  <si>
    <t>*커버 필라테스 &amp; PT 왕십리</t>
  </si>
  <si>
    <t>https://m.place.naver.com/place/1740587644/home</t>
  </si>
  <si>
    <t>행당동 필라테스 피티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</si>
  <si>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[*커버 필라테스 &amp; PT 왕십리]플레이스를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</si>
  <si>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01월 30일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</si>
  <si>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*보지 *식점 *동산 *단 *000매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</si>
  <si>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*보지 *식점 *동산 *단 *000매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</si>
  <si>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https://m.search.naver.com/search.naver?sm=mtp_hty.top&amp;where=m&amp;query=%EC%A0%84%EB%8B%A8%EC%A7%80&amp;ackey=i6rl7ij1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</si>
  <si>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*보지 *식점 *동산 *단 *000매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</si>
  <si>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https://msearch.shopping.naver.com/search/all?query=%EC%A0%84%EB%8B%A8%EC%A7%80&amp;vertical=search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</si>
  <si>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*보지 *식점 *동산 *단 *000매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</si>
  <si>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*보지 *식점 *동산 *단 *000매 *민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</si>
  <si>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맘카페 홍보 와이엠애드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</si>
  <si>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"www.ymad.co.kr"을 찾아주세요.
5. "종합 온라인 마케팅 에이전시 와이엠애드 YMAD" 우측 ⋮ 를 클릭해주세요.
6. "Keep에 저장" 클릭 후 "Keep에 바로가기"를 클릭해주세요.
7. "온라인 SNS 바이럴 마케팅 전문 와이엠애드 YMAD"를 클릭해주세요.
7. [ 힌트 ] 를 보고 정답을 찾아주세요.
8. 초성힌트 : [ 광고 기획사의 OOOO은 사라지고, 성과는 남습니다. ]
정답 : &lt;4&gt;  글자
* 정답란에 - 포함하여 띄어쓰기 없이 입력 후 제출해주세요.</t>
  </si>
  <si>
    <t>고정관념</t>
  </si>
  <si>
    <t>okE</t>
  </si>
  <si>
    <t>주방수납장 라자가구 ga045 화이트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</si>
  <si>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</si>
  <si>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kELo</t>
  </si>
  <si>
    <t>주방수납장 라자가구 3단 화이트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</si>
  <si>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</si>
  <si>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주방수납장 라자가구 밥솥장 화이트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</si>
  <si>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</si>
  <si>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</si>
  <si>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517개</t>
  </si>
  <si>
    <t>주방수납장 3단 전자렌지</t>
  </si>
  <si>
    <t>옷장 라자가구 위드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</si>
  <si>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</si>
  <si>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kLEo</t>
  </si>
  <si>
    <t>옷장 라자가구 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</si>
  <si>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</si>
  <si>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라자가구 1200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</si>
  <si>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</si>
  <si>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라자가구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</si>
  <si>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</si>
  <si>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라자가구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</si>
  <si>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라**구 위드 빅 1**0 슬라이딩 옷장 행거형 j*195
 ( '광고' 클릭 절대 금지 )
 ▶판매처 : 라자가구 스토어
 5. 찜하기 클릭
 6. 바로가기 클릭
 7. 상품 클릭
 8. 링크(url) 복사 후 정답에 붙여넣기 후 제출</t>
    </r>
  </si>
  <si>
    <t>옷장 라자가구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</si>
  <si>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</si>
  <si>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</si>
  <si>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양문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</si>
  <si>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</si>
  <si>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키큰 모노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</si>
  <si>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</si>
  <si>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349개</t>
  </si>
  <si>
    <t>옷장 위드 키큰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</si>
  <si>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라*가구 *드 키* 모노 *문 옷* 1000
 ( '광고' 클릭 절대 금지 )
 ▶판매처 : 라자가구 스토어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</si>
  <si>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</si>
  <si>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</si>
  <si>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화장대 소이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</si>
  <si>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</si>
  <si>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화장대 카렌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</si>
  <si>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</si>
  <si>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화장대 400</t>
  </si>
  <si>
    <t>디퓨저 1+1 향미제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</si>
  <si>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*+1 *미제 *파리 *00ml *용량 *퓨저 *퓨져 *장실 *들이 *물 *량용 *내방향제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</si>
  <si>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선유아로마틱스향미제</t>
  </si>
  <si>
    <t>https://smartstore.naver.com/sunuaromatics-hyangmije/products/12171093282</t>
  </si>
  <si>
    <t>디퓨저 사파리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</si>
  <si>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*+1 *미제 *파리 *00ml *용량 *퓨저 *퓨져 *장실 *들이 *물 *량용 *내방향제
 ( '광고' 클릭 절대 금지 )
 ▶판매처 : 선유아로마틱스향미제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</si>
  <si>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https://m.search.naver.com/search.naver?sm=mtp_hty.top&amp;where=m&amp;query=%EB%94%94%ED%93%A8%EC%A0%80&amp;ackey=xdatp459</t>
  </si>
  <si>
    <t>디퓨저 500ml 사파리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</si>
  <si>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*+1 *미제 *파리 *00ml *용량 *퓨저 *퓨져 *장실 *들이 *물 *량용 *내방향제
 ( '광고' 클릭 절대 금지 )
 ▶판매처 : 선유아로마틱스향미제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</si>
  <si>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u/>
        <sz val="0"/>
        <color rgb="FF1155CC"/>
        <rFont val="Arial"/>
      </rPr>
      <t>https://msearch.shopping.naver.com/search/all?query=%EB%94%94%ED%93%A8%EC%A0%80&amp;vertical=search</t>
    </r>
    <r>
      <rPr>
        <sz val="0"/>
        <color rgb="FF000000"/>
        <rFont val="Arial"/>
      </rPr>
      <t>h</t>
    </r>
  </si>
  <si>
    <t>디퓨저 사파리 실내방향제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</si>
  <si>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*+1 *미제 *파리 *00ml *용량 *퓨저 *퓨져 *장실 *들이 *물 *량용 *내방향제
 ( '광고' 클릭 절대 금지 )
 ▶판매처 : 선유아로마틱스향미제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</si>
  <si>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디퓨저 1+1 대용량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</si>
  <si>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*+1 *미제 *파리 *00ml *용량 *퓨저 *퓨져 *장실 *들이 *물 *량용 *내방향제
 ( '광고' 클릭 절대 금지 )
 ▶판매처 : 선유아로마틱스향미제
 5. 찜하기 클릭
 6. 바로가기 클릭
 7. 상품 클릭
 8. 링크(url) 복사 후 정답에 붙여넣기 후 제출</t>
    </r>
  </si>
  <si>
    <t>https://m.smartstore.naver.com/sunuaromatics-hyangmije/products/12171093282</t>
  </si>
  <si>
    <t>와고 커넥터 3폴 1박스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</si>
  <si>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와* 커*터 22*-112 1*스 3P 3* W*GO 조명 *선 와*어 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KS상사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</si>
  <si>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KS상사</t>
  </si>
  <si>
    <t>https://smartstore.naver.com/pvcbox/products/10756313511</t>
  </si>
  <si>
    <t>와고 224-112 1박스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</si>
  <si>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와* 커*터 22*-112 1*스 3P 3* W*GO 조명 *선 와*어 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KS상사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</si>
  <si>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https://m.search.naver.com/search.naver?sm=mtp_hty.top&amp;where=m&amp;query=%EC%99%80%EA%B3%A0&amp;ackey=zmf9jdcp</t>
  </si>
  <si>
    <t>와고 3P 3폴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</si>
  <si>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와* 커*터 22*-112 1*스 3P 3* W*GO 조명 *선 와*어 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KS상사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</si>
  <si>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https://msearch.shopping.naver.com/search/all?query=%EC%99%80%EA%B3%A0&amp;vertical=search</t>
  </si>
  <si>
    <t>와고 커넥터 224-112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</si>
  <si>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와* 커*터 22*-112 1*스 3P 3* W*GO 조명 *선 와*어 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KS상사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</si>
  <si>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81개</t>
  </si>
  <si>
    <t>와고 커넥터 1박스 3P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</si>
  <si>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와* 커*터 22*-112 1*스 3P 3* W*GO 조명 *선 와*어 연*
 ( '광고' 클릭 절대 금지 )
 ▶판매처 : KS상사
 5. 찜하기 클릭
 6. 바로가기 클릭
 7. 상품 클릭
 8. 링크(url) 복사 후 정답에 붙여넣기 후 제출</t>
    </r>
  </si>
  <si>
    <t>https://m.smartstore.naver.com/pvcbox/products/10756313511</t>
  </si>
  <si>
    <t>수제청 답례품 생강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</si>
  <si>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</si>
  <si>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</si>
  <si>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</si>
  <si>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</si>
  <si>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854개</t>
  </si>
  <si>
    <t>수제청 선물세트 청귤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</si>
  <si>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</si>
  <si>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광교미용실 에잇디헤어 광교중앙역점</t>
  </si>
  <si>
    <t xml:space="preserve">        스마일드래곤주식회사</t>
  </si>
  <si>
    <t>EL</t>
  </si>
  <si>
    <t>영통구 에잇디헤어 광교중앙역점</t>
  </si>
  <si>
    <t>수원 에잇디헤어 광교중앙역점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</si>
  <si>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부천]플레이스를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{ㅇㄷㄱㅇ}
정답 : &lt;4&gt; 글자
* 정답란에 띄어쓰기 없이 입력 후 제출해주세요.</t>
  </si>
  <si>
    <t>**스한의원 부천</t>
  </si>
  <si>
    <t>https://m.place.naver.com/hospital/31535925/home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</si>
  <si>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분당]플레이스를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{ㅅㄴㄷㄱㅇ}
정답 : &lt;5&gt; 글자
* 정답란에 띄어쓰기 없이 입력 후 제출해주세요.</t>
  </si>
  <si>
    <t>**스한의원 분당</t>
  </si>
  <si>
    <t>https://m.place.naver.com/hospital/20734857/home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</si>
  <si>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종로성동]플레이스를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{ㅈㅇㅇㄱㄹ}
정답 : &lt;5&gt; 글자
* 정답란에 띄어쓰기 없이 입력 후 제출해주세요.</t>
  </si>
  <si>
    <t>젊음의거리</t>
  </si>
  <si>
    <t>**스한의원 종로성동</t>
  </si>
  <si>
    <t>https://m.place.naver.com/hospital/13040468/home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</si>
  <si>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수원]플레이스를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{ㅁㅌㄱㅇ}
정답 : &lt;4&gt; 글자
* 정답란에 띄어쓰기 없이 입력 후 제출해주세요.</t>
  </si>
  <si>
    <t>매탄공원</t>
  </si>
  <si>
    <t>**스한의원 수원</t>
  </si>
  <si>
    <t>https://m.place.naver.com/hospital/31292986/home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</si>
  <si>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안산]플레이스를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{ㄷㅂㅁㄱㅇ}
정답 : &lt;5&gt; 글자
* 정답란에 띄어쓰기 없이 입력 후 제출해주세요.</t>
  </si>
  <si>
    <t>둔배미공원</t>
  </si>
  <si>
    <t>**스한의원 안산</t>
  </si>
  <si>
    <t>https://m.place.naver.com/hospital/36959013/home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</si>
  <si>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안양]플레이스를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{ㅍㅊㅎㅇㄱ}
정답 : &lt;5&gt; 글자
* 정답란에 띄어쓰기 없이 입력 후 제출해주세요.</t>
  </si>
  <si>
    <t>평촌학원가</t>
  </si>
  <si>
    <t>**스한의원 안양</t>
  </si>
  <si>
    <t>https://m.place.naver.com/hospital/31403349/home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</si>
  <si>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울산]플레이스를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{ㄱㅂㄱㅇ}
정답 : &lt;4&gt; 글자
* 정답란에 띄어쓰기 없이 입력 후 제출해주세요.</t>
  </si>
  <si>
    <t>강변공원</t>
  </si>
  <si>
    <t>**스한의원 울산</t>
  </si>
  <si>
    <t>https://m.place.naver.com/hospital/19718152/home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</si>
  <si>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인천]플레이스를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{ㅇㄹㄱㅈ}
정답 : &lt;4&gt; 글자
* 정답란에 띄어쓰기 없이 입력 후 제출해주세요.</t>
  </si>
  <si>
    <t>열린광장</t>
  </si>
  <si>
    <t>**스한의원 인천</t>
  </si>
  <si>
    <t>https://m.place.naver.com/hospital/13484814/home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</si>
  <si>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일산]플레이스를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{ㅇㄹㅅ}
정답 : &lt;3&gt; 글자
* 정답란에 띄어쓰기 없이 입력 후 제출해주세요.</t>
  </si>
  <si>
    <t>**스한의원 일산</t>
  </si>
  <si>
    <t>https://m.place.naver.com/hospital/31148841/home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</si>
  <si>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잠실]플레이스를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{ㅅㅇㅅㅋㅇ}
정답 : &lt;5&gt; 글자
* 정답란에 띄어쓰기 없이 입력 후 제출해주세요.</t>
  </si>
  <si>
    <t>서울스카이</t>
  </si>
  <si>
    <t>**스한의원 잠실</t>
  </si>
  <si>
    <t>https://m.place.naver.com/hospital/31148829/home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</si>
  <si>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창원]플레이스를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{ㄷㅅㄱㅇ}
정답 : &lt;4&gt; 글자
* 정답란에 띄어쓰기 없이 입력 후 제출해주세요.</t>
  </si>
  <si>
    <t>대상공원</t>
  </si>
  <si>
    <t>**스한의원 창원</t>
  </si>
  <si>
    <t>https://m.place.naver.com/hospital/19713710/home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</si>
  <si>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천안]플레이스를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{ㅊㅇㅎㄱ}
정답 : &lt;4&gt; 글자
* 정답란에 띄어쓰기 없이 입력 후 제출해주세요.</t>
  </si>
  <si>
    <t>천안향교</t>
  </si>
  <si>
    <t>**스한의원 천안</t>
  </si>
  <si>
    <t>https://m.place.naver.com/hospital/36663703/home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</si>
  <si>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홍대]플레이스를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{ㅎㄴㄱ}
정답 : &lt;3&gt; 글자
* 정답란에 띄어쓰기 없이 입력 후 제출해주세요.</t>
  </si>
  <si>
    <t>**스한의원 홍대</t>
  </si>
  <si>
    <t>https://m.place.naver.com/hospital/21530488/home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</si>
  <si>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강남]플레이스를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{ㅊㅈㄱㅇㅅㄷㄱㅎ}
정답 : &lt;8&gt; 글자
* 정답란에 띄어쓰기 없이 입력 후 제출해주세요.</t>
  </si>
  <si>
    <t>천주교역삼동교회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</si>
  <si>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광주]플레이스를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{ㄷㅅㅌㅂㅈㅇ}
정답 : &lt;6&gt; 글자
* 정답란에 띄어쓰기 없이 입력 후 제출해주세요.</t>
  </si>
  <si>
    <t>도시텃밭정원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</si>
  <si>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노원]플레이스를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{ㅈㄱㄱㄹㄱㅇ}
정답 : &lt;6&gt; 글자
* 정답란에 띄어쓰기 없이 입력 후 제출해주세요.</t>
  </si>
  <si>
    <t>중계근린공원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</si>
  <si>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목동]플레이스를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{ㅇㅁㅅㅂㄱㅇ}
정답 : &lt;6&gt; 글자
* 정답란에 띄어쓰기 없이 입력 후 제출해주세요.</t>
  </si>
  <si>
    <t>오목수변공원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</si>
  <si>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부산연산]플레이스를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{ㅇㅊㅊ}
정답 : &lt;3&gt; 글자
* 정답란에 띄어쓰기 없이 입력 후 제출해주세요.</t>
  </si>
  <si>
    <t>온천천</t>
  </si>
  <si>
    <t>https://m.place.naver.com/place/1288143323/home?entry=pll</t>
  </si>
  <si>
    <t>팔거역 대구마사지엔 헤스티아</t>
  </si>
  <si>
    <t>북구 동천동 대구마사지엔 헤스티아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</si>
  <si>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{ㅎㅊㄱㅇ}
정답 : &lt;4&gt; 글자
* 정답란에 띄어쓰기 없이 입력 후 제출해주세요.</t>
  </si>
  <si>
    <t>효창공원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</si>
  <si>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{ㅇㅎㄱㅇ}
정답 : &lt;4&gt; 글자
* 정답란에 띄어쓰기 없이 입력 후 제출해주세요.</t>
  </si>
  <si>
    <t>아현공원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</si>
  <si>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{ㄱㅇㅅㄱㅇ}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</si>
  <si>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{ㅅㄹㅅ}
정답 : &lt;3&gt; 글자
* 정답란에 띄어쓰기 없이 입력 후 제출해주세요.</t>
  </si>
  <si>
    <t>삼룡사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</si>
  <si>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{ㅂㅅㄷㄱㅇ}
정답 : &lt;5&gt; 글자
* 정답란에 띄어쓰기 없이 입력 후 제출해주세요.</t>
  </si>
  <si>
    <t>봉수대공원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</si>
  <si>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{ㄴㅊㄱㅇ}
정답 : &lt;4&gt; 글자
* 정답란에 띄어쓰기 없이 입력 후 제출해주세요.</t>
  </si>
  <si>
    <t>남촌공원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</si>
  <si>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{ㅂㅎㅅ}
정답 : &lt;3&gt; 글자
* 정답란에 띄어쓰기 없이 입력 후 제출해주세요.</t>
  </si>
  <si>
    <t>봉화산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</si>
  <si>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{ㅅㅇㄴㅅ}
정답 : &lt;4&gt; 글자
* 정답란에 띄어쓰기 없이 입력 후 제출해주세요.</t>
  </si>
  <si>
    <t>샤이니숲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</si>
  <si>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{ㅇㅇㄷㅇㅇㅅ}
정답 : &lt;6&gt; 글자
* 정답란에 띄어쓰기 없이 입력 후 제출해주세요.</t>
  </si>
  <si>
    <t>여의도이용숲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</si>
  <si>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{ㅂㅅ}
정답 : &lt;2&gt; 글자
* 정답란에 띄어쓰기 없이 입력 후 제출해주세요.</t>
  </si>
  <si>
    <t>밤섬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</si>
  <si>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{ㅂㅎㄱㅈㅂㄱㄷ}
정답 : &lt;7&gt; 글자
* 정답란에 띄어쓰기 없이 입력 후 제출해주세요.</t>
  </si>
  <si>
    <t>송리단길 케이크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</si>
  <si>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{ㅇㄹㄴㄱㅈ}
정답 : &lt;5&gt; 글자
* 정답란에 띄어쓰기 없이 입력 후 제출해주세요.</t>
  </si>
  <si>
    <t>아레나광장</t>
  </si>
  <si>
    <t>https://m.place.naver.com/restaurant/1376277246/home?entry=pll&amp;bk_query=</t>
  </si>
  <si>
    <t>송리단길 케이크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</si>
  <si>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{ㅅㅇㅅㅋㅇ}
정답 : &lt;5&gt; 글자
* 정답란에 띄어쓰기 없이 입력 후 제출해주세요.</t>
  </si>
  <si>
    <t>송리단길 케이크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</si>
  <si>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{ㅁㅊㄱㅇ}
정답 : &lt;4&gt; 글자
* 정답란에 띄어쓰기 없이 입력 후 제출해주세요.</t>
  </si>
  <si>
    <t>몽촌공원</t>
  </si>
  <si>
    <t>송리단길 홀케이크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</si>
  <si>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{ㅅㅊㅎㅅ}
정답 : &lt;4&gt; 글자
* 정답란에 띄어쓰기 없이 입력 후 제출해주세요.</t>
  </si>
  <si>
    <t>송리단길 케이크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</si>
  <si>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{ㅂㄱㅅ}
정답 : &lt;3&gt; 글자
* 정답란에 띄어쓰기 없이 입력 후 제출해주세요.</t>
  </si>
  <si>
    <t>송리단길 커피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</si>
  <si>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{ㅅㅆㄱㅇ}
정답 : &lt;4&gt; 글자
* 정답란에 띄어쓰기 없이 입력 후 제출해주세요.</t>
  </si>
  <si>
    <t>새싹공원</t>
  </si>
  <si>
    <t>송리단길 라떼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</si>
  <si>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{ㅎㅇㄱㄹㄱㅇ}
정답 : &lt;6&gt; 글자
* 정답란에 띄어쓰기 없이 입력 후 제출해주세요.</t>
  </si>
  <si>
    <t>한양근린공원</t>
  </si>
  <si>
    <t>송리단길 에이드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</si>
  <si>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{ㅁㄹㅇ}
정답 : &lt;3&gt; 글자
* 정답란에 띄어쓰기 없이 입력 후 제출해주세요.</t>
  </si>
  <si>
    <t>미륵암</t>
  </si>
  <si>
    <t>송리단길 크림라떼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</si>
  <si>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{ㅂㅇㄷㅅㄷ}
정답 : &lt;5&gt; 글자
* 정답란에 띄어쓰기 없이 입력 후 제출해주세요.</t>
  </si>
  <si>
    <t>방이동성당</t>
  </si>
  <si>
    <t>송리단길 라떼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</si>
  <si>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{ㅍㅎㅇㄱㅈ}
정답 : &lt;5&gt; 글자
* 정답란에 띄어쓰기 없이 입력 후 제출해주세요.</t>
  </si>
  <si>
    <t>송파동 커피 추천</t>
  </si>
  <si>
    <t>송파동 커피 맛집</t>
  </si>
  <si>
    <t>송파동 커피 주차가능</t>
  </si>
  <si>
    <t>송파동 커피 반려견동반</t>
  </si>
  <si>
    <t>송파동 커피 단체석</t>
  </si>
  <si>
    <t>잠실 케이크 맛집</t>
  </si>
  <si>
    <t>잠실 케이크 추천</t>
  </si>
  <si>
    <t>잠실 홀케이크</t>
  </si>
  <si>
    <t>잠실 홀케이크 예약</t>
  </si>
  <si>
    <t>잠실 딸기케이크 맛집</t>
  </si>
  <si>
    <t>잠실 초코케이크</t>
  </si>
  <si>
    <t>잠실 케이크 카페</t>
  </si>
  <si>
    <t>잠실 라떼 추천</t>
  </si>
  <si>
    <t>잠실 에이드 카페</t>
  </si>
  <si>
    <t>잠실 반려견동반 케이크 맛집</t>
  </si>
  <si>
    <t>송리단길 요거트 케이크 맛집</t>
  </si>
  <si>
    <t>잠실 주차가능 롤 케이크 추천</t>
  </si>
  <si>
    <t>양양 낙산사 횟집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</si>
  <si>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4.[*청도혜숙이네횟집]플레이스를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{ㄷㅎㅅㅁ}
정답 : &lt;4&gt; 글자
* 정답란에 띄어쓰기 없이 입력 후 제출해주세요.</t>
  </si>
  <si>
    <t>동해신묘</t>
  </si>
  <si>
    <t>*청도혜숙이네횟집</t>
  </si>
  <si>
    <t>https://m.place.naver.com/restaurant/1362511401/home?entry=plt</t>
  </si>
  <si>
    <t>https://docs.google.com/spreadsheets/d/1wMWDeg9tAYrchJEapTH2u4inm70CoVKzjKSlbriMzsk/edit?gid=927678359#gid=927678359</t>
  </si>
  <si>
    <t>양양 낙산사 횟집 추천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</si>
  <si>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[*청도혜숙이네횟집]플레이스를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</si>
  <si>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인천 중구 공항로 실내주차대행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</si>
  <si>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 실내 주차대행 인천공항로점]플레이스를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{ㄱㅍㅅㅊㅈ}
정답 : &lt;6&gt; 글자
* 정답란에 띄어쓰기 없이 입력 후 제출해주세요.</t>
  </si>
  <si>
    <t>거잠포선착장</t>
  </si>
  <si>
    <t>*일 실내 주차대행 인천공항로점</t>
  </si>
  <si>
    <t>https://m.place.naver.com/place/1168717927/home?entry=pll&amp;bk_query=</t>
  </si>
  <si>
    <t>인천공항 실내 발렛파킹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</si>
  <si>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 실내 주차대행 인천공항로점]플레이스를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{ㄱㅈㅍㅎㅂ}
정답 : &lt;5&gt; 글자
* 정답란에 띄어쓰기 없이 입력 후 제출해주세요.</t>
  </si>
  <si>
    <t>거잠포해변</t>
  </si>
  <si>
    <t>인천공항 실내주차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</si>
  <si>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 실내 주차대행 인천공항로점]플레이스를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{ㅁㅅㅇㅁㅇ}
정답 : &lt;5&gt; 글자
* 정답란에 띄어쓰기 없이 입력 후 제출해주세요.</t>
  </si>
  <si>
    <t>마시안마을</t>
  </si>
  <si>
    <t>인천공항 실내주차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</si>
  <si>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 실내 주차대행 인천공항로점]플레이스를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{ㅇㅇㄷ}
정답 : &lt;3&gt; 글자
* 정답란에 띄어쓰기 없이 입력 후 제출해주세요.</t>
  </si>
  <si>
    <t>용유도</t>
  </si>
  <si>
    <t>인천공항 실내주차대행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</si>
  <si>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 실내 주차대행 인천공항로점]플레이스를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{ㅈㅈㄷ}
정답 : &lt;3&gt; 글자
* 정답란에 띄어쓰기 없이 입력 후 제출해주세요.</t>
  </si>
  <si>
    <t>잠진도</t>
  </si>
  <si>
    <t>인천 중구 공항로 실내주차대행 추천</t>
  </si>
  <si>
    <t>인천공항 실내주차 추천</t>
  </si>
  <si>
    <t>인천공항 실내주차대행 가격</t>
  </si>
  <si>
    <t>인천공항 1터미널 실내 주차대행 추천</t>
  </si>
  <si>
    <t>인천공항 1터미널 실내 주차대행</t>
  </si>
  <si>
    <t>인천공항 실내 발렛파킹 추천</t>
  </si>
  <si>
    <t>인천공항 실내주차대행 전화번호</t>
  </si>
  <si>
    <t>인천공항 1터미널 실내 주차대행 예약</t>
  </si>
  <si>
    <t>인천공항 1터미널 실내 주차대행 가격</t>
  </si>
  <si>
    <t>인천공항 1터미널 실내 주차대행 전화번호</t>
  </si>
  <si>
    <t>인천공항 1터미널 실내 주차대행 업체</t>
  </si>
  <si>
    <t>인천공항 실내 주차대행 업체</t>
  </si>
  <si>
    <t>인천 중구 공항로 실내주차대행 예약</t>
  </si>
  <si>
    <t>인천공항 실내 주차대행</t>
  </si>
  <si>
    <t>인천 중구 공항로 실내주차대행 가격</t>
  </si>
  <si>
    <t>인천 중구 공항로 실내주차대행 업체</t>
  </si>
  <si>
    <t>인천 중구 공항로 실내주차</t>
  </si>
  <si>
    <t>안양역 공유오피스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</si>
  <si>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 공유오피스 안양역점]플레이스를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{ㅁㅎㅇ}
정답 : &lt;3&gt; 글자
* 정답란에 띄어쓰기 없이 입력 후 제출해주세요.</t>
  </si>
  <si>
    <t>망해암</t>
  </si>
  <si>
    <t>*잇 공유오피스 안양역점</t>
  </si>
  <si>
    <t>https://m.place.naver.com/place/1387359960/home?entry=pll</t>
  </si>
  <si>
    <t>안양동 공유오피스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</si>
  <si>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 공유오피스 안양역점]플레이스를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{ㅂㅇㅅ}
정답 : &lt;3&gt; 글자
* 정답란에 띄어쓰기 없이 입력 후 제출해주세요.</t>
  </si>
  <si>
    <t>불암사</t>
  </si>
  <si>
    <t>만안구 공유오피스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</si>
  <si>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 공유오피스 안양역점]플레이스를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{ㅁㅈㅅ}
정답 : &lt;3&gt; 글자
* 정답란에 띄어쓰기 없이 입력 후 제출해주세요.</t>
  </si>
  <si>
    <t>만장사</t>
  </si>
  <si>
    <t>안양역 비상주사무실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</si>
  <si>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 공유오피스 안양역점]플레이스를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{ㅂㄷㅅ}
정답 : &lt;3&gt; 글자
* 정답란에 띄어쓰기 없이 입력 후 제출해주세요.</t>
  </si>
  <si>
    <t>보덕사</t>
  </si>
  <si>
    <t>안양역 소호사무실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</si>
  <si>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 공유오피스 안양역점]플레이스를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{ㅇㄱㄱㅇ}
정답 : &lt;4&gt; 글자
* 정답란에 띄어쓰기 없이 입력 후 제출해주세요.</t>
  </si>
  <si>
    <t>임곡공원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</si>
  <si>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 실내 주차대행 인천공항로점]플레이스를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{ㅇㅇㅅ}
정답 : &lt;3&gt; 글자
* 정답란에 띄어쓰기 없이 입력 후 제출해주세요.</t>
  </si>
  <si>
    <t>용엄사</t>
  </si>
  <si>
    <t>행주산성 흑돼지 목살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</si>
  <si>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철판삼겹살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{ㄱㅇㅎㄱㄱㅇ}
정답 : &lt;6&gt; 글자
* 정답란에 띄어쓰기 없이 입력 후 제출해주세요.</t>
  </si>
  <si>
    <t>고양한강공원</t>
  </si>
  <si>
    <t>****야 철판삼겹살 행주산성본점</t>
  </si>
  <si>
    <t>https://m.place.naver.com/restaurant/1859971709/home?entry=pll</t>
  </si>
  <si>
    <t>행주산성 흑돼지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</si>
  <si>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철판삼겹살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{ㅊㅈㄱㄹㅊㅇㄱㅇ}
정답 : &lt;8&gt; 글자
* 정답란에 띄어쓰기 없이 입력 후 제출해주세요.</t>
  </si>
  <si>
    <t>충장근린체육공원</t>
  </si>
  <si>
    <t>행주산성 오리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</si>
  <si>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철판삼겹살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{ㄱㅁㄷㅅㄱ}
정답 : &lt;5&gt; 글자
* 정답란에 띄어쓰기 없이 입력 후 제출해주세요.</t>
  </si>
  <si>
    <t>강매동석교</t>
  </si>
  <si>
    <t>행주산성 흑돼지 삼겹살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</si>
  <si>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철판삼겹살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{ㅂㄷㅁㄱㅇ}
정답 : &lt;5&gt; 글자
* 정답란에 띄어쓰기 없이 입력 후 제출해주세요.</t>
  </si>
  <si>
    <t>번데미공원</t>
  </si>
  <si>
    <t>행주산성 삼겹살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</si>
  <si>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철판삼겹살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{ㅇㅎㅈㄱㅁ}
정답 : &lt;5&gt; 글자
* 정답란에 띄어쓰기 없이 입력 후 제출해주세요.</t>
  </si>
  <si>
    <t>유형장군묘</t>
  </si>
  <si>
    <t>홍대 혼술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</si>
  <si>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{ㅇㅇㄱㅇ}
정답 : &lt;4&gt; 글자
* 정답란에 띄어쓰기 없이 입력 후 제출해주세요.</t>
  </si>
  <si>
    <t>*비</t>
  </si>
  <si>
    <t>홍대 혼술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</si>
  <si>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{ㅇㅎㄱㅇ}
정답 : &lt;4&gt; 글자
* 정답란에 띄어쓰기 없이 입력 후 제출해주세요.</t>
  </si>
  <si>
    <t>양화공원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</si>
  <si>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{ㅇㅅㄱㅁ}
정답 : &lt;4&gt; 글자
* 정답란에 띄어쓰기 없이 입력 후 제출해주세요.</t>
  </si>
  <si>
    <t>인쇄골목</t>
  </si>
  <si>
    <t>https://m.place.naver.com/restaurant/1908947901/home</t>
  </si>
  <si>
    <t>반월당역 바질파스타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</si>
  <si>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{ㅅㅎㄷ}
정답 : &lt;3&gt; 글자
* 정답란에 띄어쓰기 없이 입력 후 제출해주세요.</t>
  </si>
  <si>
    <t>선화당</t>
  </si>
  <si>
    <t>대구 봉산동 바질파스타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</si>
  <si>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{ㄷㄱㄱㄷㅎㄱㄹ}
정답 : &lt;7&gt; 글자
* 정답란에 띄어쓰기 없이 입력 후 제출해주세요.</t>
  </si>
  <si>
    <t>대구근대화거리</t>
  </si>
  <si>
    <t>대구 봉산동 스테이크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</si>
  <si>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{ㄷㄱㅎㄱ}
정답 : &lt;4&gt; 글자
* 정답란에 띄어쓰기 없이 입력 후 제출해주세요.</t>
  </si>
  <si>
    <t>대구향교</t>
  </si>
  <si>
    <t>대구 봉산동 파스타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</si>
  <si>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{ㄷㄱㅂㅆㄱㅁ}
정답 : &lt;6&gt; 글자
* 정답란에 띄어쓰기 없이 입력 후 제출해주세요.</t>
  </si>
  <si>
    <t>대구보쌈골목</t>
  </si>
  <si>
    <t>양주 옥정호수부동산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</si>
  <si>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4.[*정호수공인중개사사무소]플레이스를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{ㄱㅇㄱㄹㄱㅇ}
정답 : &lt;6&gt; 글자
* 정답란에 띄어쓰기 없이 입력 후 제출해주세요.</t>
  </si>
  <si>
    <t>고암근린공원</t>
  </si>
  <si>
    <t>*정호수공인중개사사무소</t>
  </si>
  <si>
    <t>https://m.place.naver.com/place/1993244239/home</t>
  </si>
  <si>
    <t>양주 옥정호수부동산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</si>
  <si>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4.[*정호수공인중개사사무소]플레이스를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{ㄱㄷㅅㅎㅊㅇㄱㅇ}
정답 : &lt;8&gt; 글자
* 정답란에 띄어쓰기 없이 입력 후 제출해주세요.</t>
  </si>
  <si>
    <t>고덕생활체육공원</t>
  </si>
  <si>
    <t>들안길 쭈꾸미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</si>
  <si>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4.[*불리 수성못점]플레이스를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{ㄱㄹㄱㅇ}
정답 : &lt;4&gt; 글자
* 정답란에 띄어쓰기 없이 입력 후 제출해주세요.</t>
  </si>
  <si>
    <t>공룡공원</t>
  </si>
  <si>
    <t>*불리 수성못점</t>
  </si>
  <si>
    <t>https://m.place.naver.com/restaurant/1799206992/home</t>
  </si>
  <si>
    <t>대구 두산동 쭈꾸미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</si>
  <si>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4.[*불리 수성못점]플레이스를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{ㅂㅇㅅ}
정답 : &lt;3&gt; 글자
* 정답란에 띄어쓰기 없이 입력 후 제출해주세요.</t>
  </si>
  <si>
    <t>법이산</t>
  </si>
  <si>
    <t>덕양구 철거업체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</si>
  <si>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4.[*성종합개발]플레이스를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{ㅅㅇㄹ}
정답 : &lt;3&gt; 글자
* 정답란에 띄어쓰기 없이 입력 후 제출해주세요.</t>
  </si>
  <si>
    <t>서오릉</t>
  </si>
  <si>
    <t>원흥동 철거업체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</si>
  <si>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4.[*성종합개발]플레이스를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{ㅅㅇㄹㅅㅊㅇ}
정답 : &lt;6&gt; 글자
* 정답란에 띄어쓰기 없이 입력 후 제출해주세요.</t>
  </si>
  <si>
    <t>서오릉순창원</t>
  </si>
  <si>
    <t>권선동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</si>
  <si>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4.[*세현플란트치과의원]플레이스를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{ㅅㄹㄱㅇ}
정답 : &lt;4&gt; 글자
* 정답란에 띄어쓰기 없이 입력 후 제출해주세요.</t>
  </si>
  <si>
    <t>세류공원</t>
  </si>
  <si>
    <t>*세현플란트치과의원</t>
  </si>
  <si>
    <t>https://m.place.naver.com/hospital/13197900/home</t>
  </si>
  <si>
    <t>권선동 충치치료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</si>
  <si>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4.[*세현플란트치과의원]플레이스를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{ㅅㅇㅊ}
정답 : &lt;3&gt; 글자
* 정답란에 띄어쓰기 없이 입력 후 제출해주세요.</t>
  </si>
  <si>
    <t>혜화 쭈꾸미요리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</si>
  <si>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 쭈꾸미 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{ㅊㄷㅈ}
정답 : &lt;3&gt; 글자
* 정답란에 띄어쓰기 없이 입력 후 제출해주세요.</t>
  </si>
  <si>
    <t>춘당지</t>
  </si>
  <si>
    <t>*화 쭈꾸미 본점</t>
  </si>
  <si>
    <t>https://m.place.naver.com/place/37427377/home</t>
  </si>
  <si>
    <t>혜화동 쭈꾸미맛집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</si>
  <si>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 쭈꾸미 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{ㅇㅎㄷ}
정답 : &lt;3&gt; 글자
* 정답란에 띄어쓰기 없이 입력 후 제출해주세요.</t>
  </si>
  <si>
    <t>영화당</t>
  </si>
  <si>
    <t>혜화역 쭈꾸미맛집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</si>
  <si>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 쭈꾸미 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{ㅈㄱㅅ}
정답 : &lt;3&gt; 글자
* 정답란에 띄어쓰기 없이 입력 후 제출해주세요.</t>
  </si>
  <si>
    <t>정각사</t>
  </si>
  <si>
    <t>혜화역 쭈꾸미맛집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</si>
  <si>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 쭈꾸미 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{ㅅㄱㄱ}
정답 : &lt;3&gt; 글자
* 정답란에 띄어쓰기 없이 입력 후 제출해주세요.</t>
  </si>
  <si>
    <t>성균관</t>
  </si>
  <si>
    <t>혜화 쭈꾸미맛집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</si>
  <si>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 쭈꾸미 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{ㅅㅇㅁㅁ}
정답 : &lt;4&gt; 글자
* 정답란에 띄어쓰기 없이 입력 후 제출해주세요.</t>
  </si>
  <si>
    <t>서울문묘</t>
  </si>
  <si>
    <t>안산 고잔동 갑오징어숙회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</si>
  <si>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4.[*군로바다야끼 고잔점]플레이스를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{ㅍㄱㄱㅇ}
정답 : &lt;4&gt; 글자
* 정답란에 띄어쓰기 없이 입력 후 제출해주세요.</t>
  </si>
  <si>
    <t>풍경공원</t>
  </si>
  <si>
    <t>*군로바다야끼 고잔점</t>
  </si>
  <si>
    <t>https://m.place.naver.com/restaurant/1582300344/home</t>
  </si>
  <si>
    <t>안산 단원구 광덕2로 이자카야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</si>
  <si>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4.[*군로바다야끼 고잔점]플레이스를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{ㅅㅎㅁㄱ}
정답 : &lt;4&gt; 글자
* 정답란에 띄어쓰기 없이 입력 후 제출해주세요.</t>
  </si>
  <si>
    <t>송호맛길</t>
  </si>
  <si>
    <t>안산 고잔동 소고기 타다끼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</si>
  <si>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4.[*군로바다야끼 고잔점]플레이스를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</si>
  <si>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성어공원</t>
  </si>
  <si>
    <t>안산 고잔동 우니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</si>
  <si>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4.[*군로바다야끼 고잔점]플레이스를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{ㅅㅎㄱㅇ}
정답 : &lt;4&gt; 글자
* 정답란에 띄어쓰기 없이 입력 후 제출해주세요.</t>
  </si>
  <si>
    <t>석호공원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</si>
  <si>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4.[*진관 그날우리는]플레이스를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{ㅍㅎㄱㅈ}
정답 : &lt;4&gt; 글자
* 정답란에 띄어쓰기 없이 입력 후 제출해주세요.</t>
  </si>
  <si>
    <t>평화광장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</si>
  <si>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4.[*진관 그날우리는]플레이스를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{ㄴㅇㅈㅅㅈ}
정답 : &lt;5&gt; 글자
* 정답란에 띄어쓰기 없이 입력 후 제출해주세요.</t>
  </si>
  <si>
    <t>남악저수지</t>
  </si>
  <si>
    <t>송도 마사지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</si>
  <si>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4.[*바디스 송도마사지]플레이스를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{ㅅㅊㄱㅇ}
정답 : &lt;4&gt; 글자
* 정답란에 띄어쓰기 없이 입력 후 제출해주세요.</t>
  </si>
  <si>
    <t>솔찬공원</t>
  </si>
  <si>
    <t>*바디스 송도마사지</t>
  </si>
  <si>
    <t>https://m.place.naver.com/place/1704934056/home</t>
  </si>
  <si>
    <t>https://docs.google.com/spreadsheets/d/11vDOcgdC2Hq8UoC0zWP-TwXqlHDB192Y837PvB7Xft0/edit?gid=692155236#gid=692155236</t>
  </si>
  <si>
    <t>송도 마사지 예약</t>
  </si>
  <si>
    <t>송도 마사지 가격</t>
  </si>
  <si>
    <t>송도 커플마사지</t>
  </si>
  <si>
    <t>송도 커플마사지 예약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</si>
  <si>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</si>
  <si>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o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</si>
  <si>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</si>
  <si>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</si>
  <si>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</si>
  <si>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1,245개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</si>
  <si>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(제*직판) *상 온시* WS-1000 따*한 온*변기*버 생*방수
( '광고' 클릭 절대 금지 )
 ▶판매처 : 운상
 5. 찜하기 클릭
 6. 바로가기 클릭
 7. 상품 클릭
 8. 링크(url) 복사 후 정답에 붙여넣기 후 제출</t>
    </r>
  </si>
  <si>
    <t>02월 02일 마감</t>
  </si>
  <si>
    <t>가리비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</si>
  <si>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가*비 제* 세척 *단 홍가*비 1kg 캠* 조개*이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</si>
  <si>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oKEL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</si>
  <si>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가*비 제* 세척 *단 홍가*비 1kg 캠* 조개*이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</si>
  <si>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https://m.search.naver.com/search.naver?sm=mtp_hty.top&amp;where=m&amp;query=%EC%A1%B0%EA%B0%9C&amp;ackey=weah220z</t>
  </si>
  <si>
    <t>가리비 구이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</si>
  <si>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가*비 제* 세척 *단 홍가*비 1kg 캠* 조개*이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</si>
  <si>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https://msearch.shopping.naver.com/search/all?query=%EC%A1%B0%EA%B0%9C&amp;vertical=search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</si>
  <si>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가*비 제* 세척 *단 홍가*비 1kg 캠* 조개*이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</si>
  <si>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5,191개</t>
  </si>
  <si>
    <t>가리비 조개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</si>
  <si>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통* 가*비 제* 세척 *단 홍가*비 1kg 캠* 조개*이 찜
 ( '광고' 클릭 절대 금지 )
 ▶판매처 : 바다의품격
 5. 찜하기 클릭
 6. 바로가기 클릭
 7. 상품 클릭
 8. 링크(url) 복사 후 정답에 붙여넣기 후 제출</t>
    </r>
  </si>
  <si>
    <t>굴 구이 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</si>
  <si>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</si>
  <si>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굴 구이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</si>
  <si>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</si>
  <si>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https://m.search.naver.com/search.naver?sm=mtp_hty.top&amp;where=m&amp;query=%ED%95%B4%EC%82%B0%EB%AC%BC&amp;ackey=opb3pmhl</t>
  </si>
  <si>
    <t>굴 구이 통영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</si>
  <si>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</si>
  <si>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https://msearch.shopping.naver.com/search/all?query=%ED%95%B4%EC%82%B0%EB%AC%BC&amp;vertical=search</t>
  </si>
  <si>
    <t>굴 구이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</si>
  <si>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</si>
  <si>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2,335개</t>
  </si>
  <si>
    <t>굴 상급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</si>
  <si>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통* 굴 *철 최*급 석화 *굴 세척 생굴 1kg
 ( '광고' 클릭 절대 금지 )
 ▶판매처 : 바다의 품격
 5. 찜하기 클릭
 6. 바로가기 클릭
 7. 상품 클릭
 8. 링크(url) 복사 후 정답에 붙여넣기 후 제출</t>
    </r>
  </si>
  <si>
    <t>하프셀 통영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</si>
  <si>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</si>
  <si>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</si>
  <si>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https://m.search.naver.com/search.naver?sm=mtp_hty.top&amp;where=m&amp;query=%ED%95%B4%EC%82%B0%EB%AC%BC&amp;ackey=uoi3udoo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</si>
  <si>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</si>
  <si>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</si>
  <si>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1,130개</t>
  </si>
  <si>
    <t>각굴 캠핑용 구이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</si>
  <si>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석* 통영 생* 각굴 삼*체 반*굴 하*셀 캠*용 구이
 ( '광고' 클릭 절대 금지 )
 ▶판매처 : 바다의품격
 5. 찜하기 클릭
 6. 바로가기 클릭
 7. 상품 클릭
 8. 링크(url) 복사 후 정답에 붙여넣기 후 제출</t>
    </r>
  </si>
  <si>
    <t>디스코드 코스매틱 아이템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</si>
  <si>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*스코드 니*로 프*필 *름표 아*타 *스매틱 *이템 *과 *들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</si>
  <si>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척척이</t>
  </si>
  <si>
    <t>https://smartstore.naver.com/lsbcool/products/12422606096</t>
  </si>
  <si>
    <t>https://docs.google.com/spreadsheets/d/1AuqIecgPKFheRWTxxfEGHx8QH2MztX_uRnyvwa1vAZY/edit?gid=0#gid=0</t>
  </si>
  <si>
    <t>디스코드 프로필 효과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</si>
  <si>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*스코드 니*로 프*필 *름표 아*타 *스매틱 *이템 *과 *들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척척이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</si>
  <si>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https://m.search.naver.com/search.naver?sm=mtp_hty.top&amp;where=m&amp;query=%EB%94%94%EC%8A%A4%EC%BD%94%EB%93%9C+%EC%BF%A0%ED%8F%B0&amp;ackey=7xfwlex8</t>
  </si>
  <si>
    <t>디스코드 효과 번들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</si>
  <si>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*스코드 니*로 프*필 *름표 아*타 *스매틱 *이템 *과 *들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</si>
  <si>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https://msearch.shopping.naver.com/search/all?query=%EB%94%94%EC%8A%A4%EC%BD%94%EB%93%9C%20%EC%BF%A0%ED%8F%B0&amp;vertical=search</t>
  </si>
  <si>
    <t>디스코드 프로필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</si>
  <si>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*스코드 니*로 프*필 *름표 아*타 *스매틱 *이템 *과 *들
 ( '광고' 클릭 절대 금지 )
 ▶판매처 : 척척이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</si>
  <si>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234개</t>
  </si>
  <si>
    <t>디스코드 아바타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</si>
  <si>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*스코드 니*로 프*필 *름표 아*타 *스매틱 *이템 *과 *들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척척이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</si>
  <si>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https://m.smartstore.naver.com/lsbcool/products/12422606096</t>
  </si>
  <si>
    <t>디스코드 자동 발송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</si>
  <si>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[*동 *송]*스코드 *트로 *버 *스트 1*월 3*월 6*월 9*월 12*월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</si>
  <si>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https://smartstore.naver.com/lsbcool/products/12570632118</t>
  </si>
  <si>
    <t>디스코드 서버 부스트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</si>
  <si>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[*동 *송]*스코드 *트로 *버 *스트 1*월 3*월 6*월 9*월 12*월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척척이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</si>
  <si>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https://m.search.naver.com/search.naver?sm=mtp_hty.top&amp;where=m&amp;query=%EB%94%94%EC%8A%A4%EC%BD%94%EB%93%9C+%EC%95%84%EC%9D%B4%ED%85%9C&amp;ackey=dmekq1hx</t>
  </si>
  <si>
    <t>디스코드 니트로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</si>
  <si>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[*동 *송]*스코드 *트로 *버 *스트 1*월 3*월 6*월 9*월 12*월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</si>
  <si>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https://msearch.shopping.naver.com/search/all?query=%EB%94%94%EC%8A%A4%EC%BD%94%EB%93%9C%20%EC%95%84%EC%9D%B4%ED%85%9C&amp;vertical=search</t>
  </si>
  <si>
    <t>디스코드 1개월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</si>
  <si>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[*동 *송]*스코드 *트로 *버 *스트 1*월 3*월 6*월 9*월 12*월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</si>
  <si>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디스코드 12개월 부스트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</si>
  <si>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[*동 *송]*스코드 *트로 *버 *스트 1*월 3*월 6*월 9*월 12*월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</si>
  <si>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https://m.smartstore.naver.com/lsbcool/products/12570632118</t>
  </si>
  <si>
    <t>EoL</t>
  </si>
  <si>
    <t>3월 세팅 완~3/4</t>
  </si>
  <si>
    <t>위례네일 네일파베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</si>
  <si>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4.[*일파베]플레이스를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{ㄷㅇㅅ}
정답 : &lt;3&gt; 글자
* 정답란에 띄어쓰기 없이 입력 후 제출해주세요.</t>
  </si>
  <si>
    <t>*일파베</t>
  </si>
  <si>
    <t>https://m.place.naver.com/hairshop/2093583141/home?entry=plt</t>
  </si>
  <si>
    <t>성남 네일파베 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</si>
  <si>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4.[*일파베]플레이스를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{ㅇㅈㅅ}
정답 : &lt;3&gt; 글자
* 정답란에 띄어쓰기 없이 입력 후 제출해주세요.</t>
  </si>
  <si>
    <t>영장산</t>
  </si>
  <si>
    <t>남위례역 네일파베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</si>
  <si>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4.[*일파베]플레이스를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{ㅁㄱㅇ}
정답 : &lt;3&gt; 글자
* 정답란에 띄어쓰기 없이 입력 후 제출해주세요.</t>
  </si>
  <si>
    <t>망경암</t>
  </si>
  <si>
    <t>무주 한식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</si>
  <si>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4.[*주오리]플레이스를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{ㄷㅇㅅㅈㅇㅎㅇㄹ}
정답 : &lt;8&gt; 글자
* 정답란에 띄어쓰기 없이 입력 후 제출해주세요.</t>
  </si>
  <si>
    <t>*주오리</t>
  </si>
  <si>
    <t>https://m.place.naver.com/restaurant/1965561259/home?entry=pll</t>
  </si>
  <si>
    <t>무주 백숙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</si>
  <si>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4.[*주오리]플레이스를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{ㅅㅊㅂ}
정답 : &lt;3&gt; 글자
* 정답란에 띄어쓰기 없이 입력 후 제출해주세요.</t>
  </si>
  <si>
    <t>무주 오리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</si>
  <si>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4.[*주오리]플레이스를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{ㄱㅁㅈㅅㅈ}
정답 : &lt;5&gt; 글자
* 정답란에 띄어쓰기 없이 입력 후 제출해주세요.</t>
  </si>
  <si>
    <t>무주 오리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</si>
  <si>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4.[*주오리]플레이스를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{ㅇㅇㄷ}
정답 : &lt;3&gt; 글자
* 정답란에 띄어쓰기 없이 입력 후 제출해주세요.</t>
  </si>
  <si>
    <t>무주 오리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</si>
  <si>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4.[*주오리]플레이스를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{ㅍㅎㄱㄱ}
정답 : &lt;4&gt; 글자
* 정답란에 띄어쓰기 없이 입력 후 제출해주세요.</t>
  </si>
  <si>
    <t>파회계곡</t>
  </si>
  <si>
    <t>수영구 브런치 카페</t>
  </si>
  <si>
    <t>수영구 브런치 맛집</t>
  </si>
  <si>
    <t>광안리 브런치 맛집</t>
  </si>
  <si>
    <t>광안리 데이트 카페</t>
  </si>
  <si>
    <t>금련산역 브런치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</si>
  <si>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4.[*타팜 테라스 광안리점]플레이스를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{ㅈㄷㄱㅅㄱㅅㅈ}
정답 : &lt;7&gt; 글자
* 정답란에 띄어쓰기 없이 입력 후 제출해주세요.</t>
  </si>
  <si>
    <t>장대골순교성지</t>
  </si>
  <si>
    <t>광안리 나베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</si>
  <si>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4.[*타쿠 부산광안점]플레이스를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{ㅎㅁㅅ}
정답 : &lt;3&gt; 글자
* 정답란에 띄어쓰기 없이 입력 후 제출해주세요.</t>
  </si>
  <si>
    <t>*타쿠 부산광안점</t>
  </si>
  <si>
    <t>https://m.place.naver.com/restaurant/1791038592/home?entry=pll</t>
  </si>
  <si>
    <t>광안리 오코노미야키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</si>
  <si>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4.[*타쿠 부산광안점]플레이스를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{ㅎㅇㄱㄹㄱㅇ}
정답 : &lt;6&gt; 글자
* 정답란에 띄어쓰기 없이 입력 후 제출해주세요.</t>
  </si>
  <si>
    <t>금련산역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</si>
  <si>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4.[*타쿠 부산광안점]플레이스를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{ㄴㅊㄷㅂㄲㄱㄹ}
정답 : &lt;7&gt; 글자
* 정답란에 띄어쓰기 없이 입력 후 제출해주세요.</t>
  </si>
  <si>
    <t>남천동벚꽃거리</t>
  </si>
  <si>
    <t>광안리 나베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</si>
  <si>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4.[*타쿠 부산광안점]플레이스를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{ㄱㅇㅅㄷ}
정답 : &lt;4&gt; 글자
* 정답란에 띄어쓰기 없이 입력 후 제출해주세요.</t>
  </si>
  <si>
    <t>광안리 오코노미야키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</si>
  <si>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4.[*타쿠 부산광안점]플레이스를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{ㅈㄷㄱㅅㄱㅅㅈ}
정답 : &lt;7&gt; 글자
* 정답란에 띄어쓰기 없이 입력 후 제출해주세요.</t>
  </si>
  <si>
    <t>상주 개운동 한식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</si>
  <si>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{ㅅㅈㅅㅅㄱ}
정답 : &lt;5&gt; 글자
* 정답란에 띄어쓰기 없이 입력 후 제출해주세요.</t>
  </si>
  <si>
    <t>상주상산관</t>
  </si>
  <si>
    <t>*선정</t>
  </si>
  <si>
    <t>https://m.place.naver.com/restaurant/20130131/home?entry=plt</t>
  </si>
  <si>
    <t>상주 개운동 솥밥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</si>
  <si>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{ㄱㄹㄷㅅㄷ}
정답 : &lt;5&gt; 글자
* 정답란에 띄어쓰기 없이 입력 후 제출해주세요.</t>
  </si>
  <si>
    <t>계림동성당</t>
  </si>
  <si>
    <t>상주 돼지갈비찜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</si>
  <si>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{ㅂㅊㅅㅁㄱㅇ}
정답 : &lt;6&gt; 글자
* 정답란에 띄어쓰기 없이 입력 후 제출해주세요.</t>
  </si>
  <si>
    <t>북천시민공원</t>
  </si>
  <si>
    <t>과천 초밥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</si>
  <si>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4.[*라아토 회전초밥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{ㄱㅁㅊㅇㄱㅇ}
정답 : &lt;6&gt; 글자
* 정답란에 띄어쓰기 없이 입력 후 제출해주세요.</t>
  </si>
  <si>
    <t>관문체육공원</t>
  </si>
  <si>
    <t>*라아토 회전초밥 과천점</t>
  </si>
  <si>
    <t>https://m.place.naver.com/restaurant/1147058130/home?entry=plt</t>
  </si>
  <si>
    <t>과천 회천초밥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</si>
  <si>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4.[*라아토 회전초밥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{ㅈㅎㄴㅅ}
정답 : &lt;4&gt; 글자
* 정답란에 띄어쓰기 없이 입력 후 제출해주세요.</t>
  </si>
  <si>
    <t>자하능선</t>
  </si>
  <si>
    <t>정부과천청사역 초밥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</si>
  <si>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4.[*라아토 회전초밥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{ㅇㅁㄴㅅ}
정답 : &lt;4&gt; 글자
* 정답란에 띄어쓰기 없이 입력 후 제출해주세요.</t>
  </si>
  <si>
    <t>용마능선</t>
  </si>
  <si>
    <t>과천 중앙동 초밥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</si>
  <si>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4.[*라아토 회전초밥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{ㅁㅇㅎㅍㅍ}
정답 : &lt;5&gt; 글자
* 정답란에 띄어쓰기 없이 입력 후 제출해주세요.</t>
  </si>
  <si>
    <t>문원하폭포</t>
  </si>
  <si>
    <t>과천 중앙동 회전초밥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</si>
  <si>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4.[*라아토 회전초밥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{ㅁㅇㅍㅍ}
정답 : &lt;4&gt; 글자
* 정답란에 띄어쓰기 없이 입력 후 제출해주세요.</t>
  </si>
  <si>
    <t>문원폭포</t>
  </si>
  <si>
    <t>과천 미나리삼겹살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</si>
  <si>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4.[*록미나리식당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{ㄱㅁㅊㅇㄱㅇ}
정답 : &lt;6&gt; 글자
* 정답란에 띄어쓰기 없이 입력 후 제출해주세요.</t>
  </si>
  <si>
    <t>*록미나리식당 과천점</t>
  </si>
  <si>
    <t>https://m.place.naver.com/restaurant/1886544908/home?entry=plt</t>
  </si>
  <si>
    <t>과천 중앙동 미나리삼겹살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</si>
  <si>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4.[*록미나리식당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{ㅈㅎㄴㅅ}
정답 : &lt;4&gt; 글자
* 정답란에 띄어쓰기 없이 입력 후 제출해주세요.</t>
  </si>
  <si>
    <t>과천 미나리샤브샤브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</si>
  <si>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4.[*록미나리식당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{ㅇㅁㄴㅅ}
정답 : &lt;4&gt; 글자
* 정답란에 띄어쓰기 없이 입력 후 제출해주세요.</t>
  </si>
  <si>
    <t>과천 미나리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</si>
  <si>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4.[*록미나리식당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{ㅁㅇㅎㅍㅍ}
정답 : &lt;5&gt; 글자
* 정답란에 띄어쓰기 없이 입력 후 제출해주세요.</t>
  </si>
  <si>
    <t>과천 중앙동 삼겹살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</si>
  <si>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4.[*록미나리식당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{ㅁㅇㅍㅍ}
정답 : &lt;4&gt; 글자
* 정답란에 띄어쓰기 없이 입력 후 제출해주세요.</t>
  </si>
  <si>
    <t>탄방동 아이폰수리센터</t>
  </si>
  <si>
    <t>대전 서구 아이폰수리센터</t>
  </si>
  <si>
    <t>대전시청역 형사이혼전문변호사</t>
  </si>
  <si>
    <t>둔산동 형사이혼전문변호사</t>
  </si>
  <si>
    <t>수성못 텐동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</si>
  <si>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4.[*기정 수성못점]플레이스를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{ㅅㄷㅅㄷ}
정답 : &lt;4&gt; 글자
* 정답란에 띄어쓰기 없이 입력 후 제출해주세요.</t>
  </si>
  <si>
    <t>상동성당</t>
  </si>
  <si>
    <t>*기정 수성못점</t>
  </si>
  <si>
    <t>https://m.place.naver.com/restaurant/1994725401/home</t>
  </si>
  <si>
    <t>수성못 사케동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</si>
  <si>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4.[*기정 수성못점]플레이스를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{ㅂㅇㅅ}
정답 : &lt;3&gt; 글자
* 정답란에 띄어쓰기 없이 입력 후 제출해주세요.</t>
  </si>
  <si>
    <t>수성못역 일식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</si>
  <si>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4.[*기정 수성못점]플레이스를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{ㅁㅎㅅ}
정답 : &lt;3&gt; 글자
* 정답란에 띄어쓰기 없이 입력 후 제출해주세요.</t>
  </si>
  <si>
    <t>무학산</t>
  </si>
  <si>
    <t>수성못역 연어덮밥</t>
  </si>
  <si>
    <t>법왕사</t>
  </si>
  <si>
    <t>칠암 공인중개사</t>
  </si>
  <si>
    <t>칠암 공인중개사 추천</t>
  </si>
  <si>
    <t>길동역 변기막힘 1431 6638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</si>
  <si>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4.[*기막힘]플레이스를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{ㄱㅂㅅ}
정답 : &lt;3&gt; 글자
* 정답란에 띄어쓰기 없이 입력 후 제출해주세요.</t>
  </si>
  <si>
    <t>구봉산</t>
  </si>
  <si>
    <t>*기막힘</t>
  </si>
  <si>
    <t>https://m.place.naver.com/place/1304496037/home</t>
  </si>
  <si>
    <t>둔촌동 변기막힘 1431 6638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</si>
  <si>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4.[*기막힘]플레이스를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{ㅅㅅㅅ}
정답 : &lt;3&gt; 글자
* 정답란에 띄어쓰기 없이 입력 후 제출해주세요.</t>
  </si>
  <si>
    <t>승상산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</si>
  <si>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4.[*손육회생고기전문점]플레이스를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{ㄱㅇㄹㅎㅅㅇㅈ}
정답 : &lt;7&gt; 글자
* 정답란에 띄어쓰기 없이 입력 후 제출해주세요.</t>
  </si>
  <si>
    <t>광안리해수욕장</t>
  </si>
  <si>
    <t>금련산역 뭉티기</t>
  </si>
  <si>
    <t>광안동 뭉티기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</si>
  <si>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4.[*손육회생고기전문점]플레이스를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{ㅈㄷㄱㅅㄱㅅㅈ}
정답 : &lt;7&gt; 글자
* 정답란에 띄어쓰기 없이 입력 후 제출해주세요.</t>
  </si>
  <si>
    <t>부산 명지동 짜글이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</si>
  <si>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4.[*북이동네 부산명지점]플레이스를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{ㅊㄹㅅ}
정답 : &lt;3&gt; 글자
* 정답란에 띄어쓰기 없이 입력 후 제출해주세요.</t>
  </si>
  <si>
    <t>청량사</t>
  </si>
  <si>
    <t>*북이동네 부산명지점</t>
  </si>
  <si>
    <t>https://m.place.naver.com/restaurant/1219544369/home</t>
  </si>
  <si>
    <t>부산 명지동 짜글이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</si>
  <si>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4.[*북이동네 부산명지점]플레이스를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{ㅇㅅㄷ}
정답 : &lt;3&gt; 글자
* 정답란에 띄어쓰기 없이 입력 후 제출해주세요.</t>
  </si>
  <si>
    <t>을숙도</t>
  </si>
  <si>
    <t>부산 강서구 짜글이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</si>
  <si>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4.[*북이동네 부산명지점]플레이스를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{ㅇㅅㄷㅊㅇㄱㅇ}
정답 : &lt;7&gt; 글자
* 정답란에 띄어쓰기 없이 입력 후 제출해주세요.</t>
  </si>
  <si>
    <t>을숙도체육공원</t>
  </si>
  <si>
    <t>부산 강서구 짜글이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</si>
  <si>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4.[*북이동네 부산명지점]플레이스를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{ㅇㅅㄷㄱㅇ}
정답 : &lt;5&gt; 글자
* 정답란에 띄어쓰기 없이 입력 후 제출해주세요.</t>
  </si>
  <si>
    <t>을숙도공원</t>
  </si>
  <si>
    <t>강서 명지동 짜글이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</si>
  <si>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4.[*북이동네 부산명지점]플레이스를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{ㄱㅂㅎㄱㄱㅇ}
정답 : &lt;6&gt; 글자
* 정답란에 띄어쓰기 없이 입력 후 제출해주세요.</t>
  </si>
  <si>
    <t>강변환경공원</t>
  </si>
  <si>
    <t>사상구 언어치료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</si>
  <si>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4.[*른언어청각심리센터]플레이스를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{ㅁㄷㅅㅌㄱㅇ}
정답 : &lt;6&gt; 글자
* 정답란에 띄어쓰기 없이 입력 후 제출해주세요.</t>
  </si>
  <si>
    <t>맥도생태공원</t>
  </si>
  <si>
    <t>*른언어청각심리센터</t>
  </si>
  <si>
    <t>https://m.place.naver.com/place/1331097156/home</t>
  </si>
  <si>
    <t>사상구 청각심리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</si>
  <si>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4.[*른언어청각심리센터]플레이스를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{ㅇㅅㄷㅊㅇㄱㅇ}
정답 : &lt;7&gt; 글자
* 정답란에 띄어쓰기 없이 입력 후 제출해주세요.</t>
  </si>
  <si>
    <t>사상구 심리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</si>
  <si>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4.[*른언어청각심리센터]플레이스를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{ㄱㄷㅅ}
정답 : &lt;3&gt; 글자
* 정답란에 띄어쓰기 없이 입력 후 제출해주세요.</t>
  </si>
  <si>
    <t>구덕산</t>
  </si>
  <si>
    <t>엄궁동 언어 재활치료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</si>
  <si>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4.[*른언어청각심리센터]플레이스를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{ㅎㄴㄱㅇ}
정답 : &lt;4&gt; 글자
* 정답란에 띄어쓰기 없이 입력 후 제출해주세요.</t>
  </si>
  <si>
    <t>햇님공원</t>
  </si>
  <si>
    <t>엄궁동 청능 재활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</si>
  <si>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4.[*른언어청각심리센터]플레이스를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{ㅅㅇㅅ}
정답 : &lt;3&gt; 글자
* 정답란에 띄어쓰기 없이 입력 후 제출해주세요.</t>
  </si>
  <si>
    <t>시약산</t>
  </si>
  <si>
    <t>02월 03일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</si>
  <si>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*라겐 비오*맥스 신*아 라*필 어린 저*자 3.5g x 150포 3박스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</si>
  <si>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*라겐 비오*맥스 신*아 라*필 어린 저*자 3.5g x 150포 3박스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</si>
  <si>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https://m.search.naver.com/search.naver?sm=mtp_hty.top&amp;where=m&amp;query=%EC%A0%80%EB%B6%84%EC%9E%90+%EC%BD%9C%EB%9D%BC%EA%B2%90&amp;ackey=rtkw20ic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</si>
  <si>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*라겐 비오*맥스 신*아 라*필 어린 저*자 3.5g x 150포 3박스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</si>
  <si>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*라겐 비오*맥스 신*아 라*필 어린 저*자 3.5g x 150포 3박스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</si>
  <si>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593개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</si>
  <si>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라이* 더마 *라겐 비오*맥스 신*아 라*필 어린 저*자 3.5g x 150포 3박스
 ( '광고' 클릭 절대 금지 )
 ▶판매처 : 마넬리 코스메틱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</si>
  <si>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</si>
  <si>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</si>
  <si>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</si>
  <si>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</si>
  <si>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591개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</si>
  <si>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라이* 더마 *분자 콜*겐 시*니처 173*톤 초저*자 비오* 신*아 *린 6병 24주
 ( '광고' 클릭 절대 금지 )
 ▶판매처 : 마넬리 코스메틱
 5. 찜하기 클릭
 6. 바로가기 클릭 
 7. 상품 클릭
 8. 링크(url) 복사 후 정답에 붙여넣기 후 제출</t>
    </r>
  </si>
  <si>
    <t>경산 불고기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</si>
  <si>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4.[*설의숯불고기 하양진량본점]플레이스를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{ㄷㅇㅈ}
정답 : &lt;3&gt; 글자
* 정답란에 띄어쓰기 없이 입력 후 제출해주세요.</t>
  </si>
  <si>
    <t>담양지</t>
  </si>
  <si>
    <t>*설의숯불고기 하양진량본점</t>
  </si>
  <si>
    <t>https://m.place.naver.com/restaurant/1178330574/home</t>
  </si>
  <si>
    <t>진량읍 백반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</si>
  <si>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4.[*설의숯불고기 하양진량본점]플레이스를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{ㅊㅂㅈ}
정답 : &lt;3&gt; 글자
* 정답란에 띄어쓰기 없이 입력 후 제출해주세요.</t>
  </si>
  <si>
    <t>침법지</t>
  </si>
  <si>
    <t>울산 입주 청소 4285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</si>
  <si>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4.[*주청소]플레이스를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{ㅇㅅㅇㄷㄱㄹ}
정답 : &lt;6&gt; 글자
* 정답란에 띄어쓰기 없이 입력 후 제출해주세요.</t>
  </si>
  <si>
    <t>*주청소</t>
  </si>
  <si>
    <t>https://m.place.naver.com/place/1221315817/home</t>
  </si>
  <si>
    <t>울산 청소 업체 4285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</si>
  <si>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4.[*주청소]플레이스를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{ㅌㅎㄹ}
정답 : &lt;3&gt; 글자
* 정답란에 띄어쓰기 없이 입력 후 제출해주세요.</t>
  </si>
  <si>
    <t>태화루</t>
  </si>
  <si>
    <t>울산 남구 입주청소 4285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</si>
  <si>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4.[*주청소]플레이스를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{ㄴㅅㄱㄹㄱㅇ}
정답 : &lt;6&gt; 글자
* 정답란에 띄어쓰기 없이 입력 후 제출해주세요.</t>
  </si>
  <si>
    <t>남산근린공원</t>
  </si>
  <si>
    <t>울산 상가 청소 업체 4285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</si>
  <si>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4.[*주청소]플레이스를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{ㄴㅅㅈㅁㄷ}
정답 : &lt;5&gt; 글자
* 정답란에 띄어쓰기 없이 입력 후 제출해주세요.</t>
  </si>
  <si>
    <t>남산전망대</t>
  </si>
  <si>
    <t>3월 세팅 완~3/5</t>
  </si>
  <si>
    <t>울산 작명소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</si>
  <si>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4.[*행중심 이음작명소]플레이스를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{ㅂㄲㄱㅇ}
정답 : &lt;4&gt; 글자
* 정답란에 띄어쓰기 없이 입력 후 제출해주세요.</t>
  </si>
  <si>
    <t>벚꽃공원</t>
  </si>
  <si>
    <t>*행중심 이음작명소</t>
  </si>
  <si>
    <t>https://m.place.naver.com/place/2014402674/home?entry=pll</t>
  </si>
  <si>
    <t>울산 사주 작명소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</si>
  <si>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4.[*행중심 이음작명소]플레이스를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{ㄱㄱㅅㅇ}
정답 : &lt;4&gt; 글자
* 정답란에 띄어쓰기 없이 입력 후 제출해주세요.</t>
  </si>
  <si>
    <t>구강서원</t>
  </si>
  <si>
    <t>경주 황성동 축산물 정육점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</si>
  <si>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4.[*주축산물백화점]플레이스를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{ㅎㅅㄱ}
정답 : &lt;3&gt; 글자
* 정답란에 띄어쓰기 없이 입력 후 제출해주세요.</t>
  </si>
  <si>
    <t>형산강</t>
  </si>
  <si>
    <t>*주축산물백화점</t>
  </si>
  <si>
    <t>https://m.place.naver.com/place/1593014528/home</t>
  </si>
  <si>
    <t>신촌역 술집 추천</t>
  </si>
  <si>
    <t>신촌역 포장마차 술집</t>
  </si>
  <si>
    <t>군자역 테라피 피부 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</si>
  <si>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4.[*안테라피]플레이스를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{ㅅㅈㄷㅎㄱ}
정답 : &lt;5&gt; 글자
* 정답란에 띄어쓰기 없이 입력 후 제출해주세요.</t>
  </si>
  <si>
    <t>세종대학교</t>
  </si>
  <si>
    <t>*안테라피</t>
  </si>
  <si>
    <t>https://m.place.naver.com/place/1701573019/home?entry=pll&amp;bk_query=%EB%A6%AC%EC%95%88%ED%85%8C%EB%9D%BC%ED%94%BC</t>
  </si>
  <si>
    <t>군자역 웨딩 피부 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</si>
  <si>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4.[*안테라피]플레이스를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{ㅎㅇㄹㄱㅇ}
정답 : &lt;5&gt; 글자
* 정답란에 띄어쓰기 없이 입력 후 제출해주세요.</t>
  </si>
  <si>
    <t>해오름공원</t>
  </si>
  <si>
    <t>부산 맥북 수리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</si>
  <si>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4.[**아이폰수리 서면아이패드수리 맥북수리 아이뉴턴]플레이스를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{ㅈㅍㄱㄱㄱ}
정답 : &lt;5&gt; 글자
* 정답란에 띄어쓰기 없이 입력 후 제출해주세요.</t>
  </si>
  <si>
    <t>전포공구길</t>
  </si>
  <si>
    <t>**아이폰수리 서면아이패드수리 맥북수리 아이뉴턴</t>
  </si>
  <si>
    <t>https://m.place.naver.com/place/1927560773/home?entry=pll</t>
  </si>
  <si>
    <t>https://docs.google.com/spreadsheets/d/1Z_HiBXmWaRPlKf12ng3nIKtNTEj5jmR0w0Gdot-ZHDI/edit?gid=0#gid=0</t>
  </si>
  <si>
    <t>서면역 아이패드 수리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</si>
  <si>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4.[**아이폰수리 서면아이패드수리 맥북수리 아이뉴턴]플레이스를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{ㅈㅍㅅㅇㄱ}
정답 : &lt;5&gt; 글자
* 정답란에 띄어쓰기 없이 입력 후 제출해주세요.</t>
  </si>
  <si>
    <t>부산 서면 아이패드 수리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</si>
  <si>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4.[**아이폰수리 서면아이패드수리 맥북수리 아이뉴턴]플레이스를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{ㄷㅊ}
정답 : &lt;2&gt; 글자
* 정답란에 띄어쓰기 없이 입력 후 제출해주세요.</t>
  </si>
  <si>
    <t>동천</t>
  </si>
  <si>
    <t>서면역 아이폰 수리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</si>
  <si>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4.[**아이폰수리 서면아이패드수리 맥북수리 아이뉴턴]플레이스를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{ㄱㄹㅅ}
정답 : &lt;3&gt; 글자
* 정답란에 띄어쓰기 없이 입력 후 제출해주세요.</t>
  </si>
  <si>
    <t>감로사</t>
  </si>
  <si>
    <t>서면역  아이패드 수리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</si>
  <si>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4.[**아이폰수리 서면아이패드수리 맥북수리 아이뉴턴]플레이스를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{ㅈㅍㄷㅅㄱㅇ}
정답 : &lt;6&gt; 글자
* 정답란에 띄어쓰기 없이 입력 후 제출해주세요.</t>
  </si>
  <si>
    <t>전포돌산공원</t>
  </si>
  <si>
    <t>망포역 가구단지</t>
  </si>
  <si>
    <t>대전눈썹문신 엘리뷰티 눈썹&amp;속눈썹</t>
  </si>
  <si>
    <t>대전 엘리뷰티 눈썹&amp;속눈썹 연장</t>
  </si>
  <si>
    <t>유성구 엘리뷰티 눈썹&amp;속눈썹 관리</t>
  </si>
  <si>
    <t>02월 04일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</si>
  <si>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</si>
  <si>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로고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</si>
  <si>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</si>
  <si>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https://m.search.naver.com/search.naver?sm=mtp_hty.top&amp;where=m&amp;query=%EC%87%BC%ED%95%91%EB%B0%B1&amp;ackey=pg43j2bs</t>
  </si>
  <si>
    <t>쇼핑백 제작 병원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</si>
  <si>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</si>
  <si>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https://msearch.shopping.naver.com/search/all?query=%EC%87%BC%ED%95%91%EB%B0%B1&amp;vertical=search</t>
  </si>
  <si>
    <t>쇼핑백 제작 관공서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</si>
  <si>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</si>
  <si>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659개</t>
  </si>
  <si>
    <t>쇼핑백 제작 행사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</si>
  <si>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소량 쇼*백 로* 인쇄 *문 제작 *원 관공* 행사 *이 가* 200매 *매-A
 ( '광고' 클릭 절대 금지 )
 ▶판매처 : 다잇다인쇄
 5. 찜하기 클릭
 6. 바로가기 클릭
 7. 상품 클릭
 8. 링크(url) 복사 후 정답에 붙여넣기 후 제출</t>
    </r>
  </si>
  <si>
    <t>서귀포혼술바 서귀포혼술바수심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</si>
  <si>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4.[*귀포혼술바수심]플레이스를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{ㅈㄱㄹㄱㅇ}
정답 : &lt;5&gt; 글자
* 정답란에 띄어쓰기 없이 입력 후 제출해주세요.</t>
  </si>
  <si>
    <t>자구리공원</t>
  </si>
  <si>
    <t>*귀포혼술바수심</t>
  </si>
  <si>
    <t>https://m.place.naver.com/restaurant/2030929959/home?entry=pll</t>
  </si>
  <si>
    <t>서귀동 서귀포혼술바수심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</si>
  <si>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4.[*귀포혼술바수심]플레이스를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{ㄱㅁㅅㅌㄱㅇ}
정답 : &lt;6&gt; 글자
* 정답란에 띄어쓰기 없이 입력 후 제출해주세요.</t>
  </si>
  <si>
    <t>걸매생태공원</t>
  </si>
  <si>
    <t>서귀포 서귀포혼술바수심 칵테일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</si>
  <si>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4.[*귀포혼술바수심]플레이스를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{ㅅㄴㅁㄹ}
정답 : &lt;4&gt; 글자
* 정답란에 띄어쓰기 없이 입력 후 제출해주세요.</t>
  </si>
  <si>
    <t>소남머리</t>
  </si>
  <si>
    <t>상모속눈썹 꽉채움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</si>
  <si>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4.[*채움]플레이스를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{ㅇㅇㅊㅇㄱㅇ}
정답 : &lt;6&gt; 글자
* 정답란에 띄어쓰기 없이 입력 후 제출해주세요.</t>
  </si>
  <si>
    <t>임오체육공원</t>
  </si>
  <si>
    <t>*채움</t>
  </si>
  <si>
    <t>https://m.place.naver.com/place/1565162247/home?entry=pll&amp;bk_query=</t>
  </si>
  <si>
    <t>구미 꽉채움 속눈썹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</si>
  <si>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4.[*채움]플레이스를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{ㅅㄱㅇㄱㅇ}
정답 : &lt;5&gt; 글자
* 정답란에 띄어쓰기 없이 입력 후 제출해주세요.</t>
  </si>
  <si>
    <t>사곡역공원</t>
  </si>
  <si>
    <t>상모동 꽉채움 속눈썹 연장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</si>
  <si>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4.[*채움]플레이스를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{ㅇㅇㅅㅂㄱㅇ}
정답 : &lt;6&gt; 글자
* 정답란에 띄어쓰기 없이 입력 후 제출해주세요.</t>
  </si>
  <si>
    <t>임은수변공원</t>
  </si>
  <si>
    <t>명동 초밥 뷔페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</si>
  <si>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4.[*이닝원 명동점]플레이스를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{ㅎㅎㅂㄲㄱ}
정답 : &lt;5&gt; 글자
* 정답란에 띄어쓰기 없이 입력 후 제출해주세요.</t>
  </si>
  <si>
    <t>한화불꽃길</t>
  </si>
  <si>
    <t>*이닝원 명동점</t>
  </si>
  <si>
    <t>https://m.place.naver.com/restaurant/1648946262/home?entry=plt</t>
  </si>
  <si>
    <t>명동 초밥 뷔페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</si>
  <si>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4.[*이닝원 명동점]플레이스를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{ㄴㅅㅇㅈㄱㅇ}
정답 : &lt;6&gt; 글자
* 정답란에 띄어쓰기 없이 입력 후 제출해주세요.</t>
  </si>
  <si>
    <t>남산예장공원</t>
  </si>
  <si>
    <t>명동 초밥 뷔페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</si>
  <si>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4.[*이닝원 명동점]플레이스를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{ㅎㄱㅇ}
정답 : &lt;3&gt; 글자
* 정답란에 띄어쓰기 없이 입력 후 제출해주세요.</t>
  </si>
  <si>
    <t>명동역 초밥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</si>
  <si>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4.[*이닝원 명동점]플레이스를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{ㅎㅈㄹ}
정답 : &lt;3&gt; 글자
* 정답란에 띄어쓰기 없이 입력 후 제출해주세요.</t>
  </si>
  <si>
    <t>힙지로</t>
  </si>
  <si>
    <t>명동역 초밥 뷔페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</si>
  <si>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4.[*이닝원 명동점]플레이스를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{ㅇㅈㅇㅇㅎㅂㅈ}
정답 : &lt;7&gt; 글자
* 정답란에 띄어쓰기 없이 입력 후 제출해주세요.</t>
  </si>
  <si>
    <t>옛제일은행본점</t>
  </si>
  <si>
    <t>송도 라운지펍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</si>
  <si>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4.[*크보틀 더 라운지펍 송도점]플레이스를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{ㅊㄹㄱㅇ}
정답 : &lt;4&gt; 글자
* 정답란에 띄어쓰기 없이 입력 후 제출해주세요.</t>
  </si>
  <si>
    <t>청룡공원</t>
  </si>
  <si>
    <t>*크보틀 더 라운지펍 송도점</t>
  </si>
  <si>
    <t>https://m.place.naver.com/restaurant/2012897988/home?entry=plt</t>
  </si>
  <si>
    <t>송도 양식 술집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</si>
  <si>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4.[*크보틀 더 라운지펍 송도점]플레이스를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{ㄴㅎㄷㅈ}
정답 : &lt;4&gt; 글자
* 정답란에 띄어쓰기 없이 입력 후 제출해주세요.</t>
  </si>
  <si>
    <t>능허대지</t>
  </si>
  <si>
    <t>달성 칼국수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</si>
  <si>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4.[*랑이장칼국수 가창본점]플레이스를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{ㄱㅊㅊㅇㄱㅇ}
정답 : &lt;6&gt; 글자
* 정답란에 띄어쓰기 없이 입력 후 제출해주세요.</t>
  </si>
  <si>
    <t>가창체육공원</t>
  </si>
  <si>
    <t>*랑이장칼국수 가창본점</t>
  </si>
  <si>
    <t>https://m.place.naver.com/restaurant/1215929924/home?entry=pll&amp;bk_query=%ED%98%B8%EB%9E%91%EC%9D%B4%EC%9E%A5%EC%B9%BC%EA%B5%AD%EC%88%98</t>
  </si>
  <si>
    <t>달성 칼국수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</si>
  <si>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4.[*랑이장칼국수 가창본점]플레이스를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{ㅅㅇㅈ}
정답 : &lt;3&gt; 글자
* 정답란에 띄어쓰기 없이 입력 후 제출해주세요.</t>
  </si>
  <si>
    <t>수야지</t>
  </si>
  <si>
    <t>대구 장칼국수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</si>
  <si>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4.[*랑이장칼국수 가창본점]플레이스를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{ㅁㄷㅈ}
정답 : &lt;3&gt; 글자
* 정답란에 띄어쓰기 없이 입력 후 제출해주세요.</t>
  </si>
  <si>
    <t>명덕지</t>
  </si>
  <si>
    <t>대구 장칼국수 해물파전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</si>
  <si>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4.[*랑이장칼국수 가창본점]플레이스를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{ㅅㅅㅅ}
정답 : &lt;3&gt; 글자
* 정답란에 띄어쓰기 없이 입력 후 제출해주세요.</t>
  </si>
  <si>
    <t>삼성산</t>
  </si>
  <si>
    <t>대구 칼국수 육전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</si>
  <si>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4.[*랑이장칼국수 가창본점]플레이스를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{ㅅㅅㅈ}
정답 : &lt;3&gt; 글자
* 정답란에 띄어쓰기 없이 입력 후 제출해주세요.</t>
  </si>
  <si>
    <t>삼산지</t>
  </si>
  <si>
    <t>포항 애견 펜션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</si>
  <si>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4.[*레애견펜션]플레이스를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{ㅎㅈㅎㅅㅇㅈ}
정답 : &lt;6&gt; 글자
* 정답란에 띄어쓰기 없이 입력 후 제출해주세요.</t>
  </si>
  <si>
    <t>화진해수욕장</t>
  </si>
  <si>
    <t>*레애견펜션</t>
  </si>
  <si>
    <t>https://m.place.naver.com/accommodation/1712774211/home?entry=plt&amp;businessCategory=pension</t>
  </si>
  <si>
    <t>포항 애견 펜션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</si>
  <si>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4.[*레애견펜션]플레이스를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{ㅇㅅ}
정답 : &lt;2&gt; 글자
* 정답란에 띄어쓰기 없이 입력 후 제출해주세요.</t>
  </si>
  <si>
    <t>용산</t>
  </si>
  <si>
    <t>울산 삼산동 헬스장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</si>
  <si>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{ㅇㅅㅇㄱㅇ}
정답 : &lt;5&gt; 글자
* 정답란에 띄어쓰기 없이 입력 후 제출해주세요.</t>
  </si>
  <si>
    <t>왕생이공원</t>
  </si>
  <si>
    <t>*이트짐 헬스&amp;PT 울산삼산본점</t>
  </si>
  <si>
    <t>https://m.place.naver.com/place/1071156655/home</t>
  </si>
  <si>
    <t>울산 삼산동 헬스장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</si>
  <si>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{ㅎㅅㄱㅇ}
정답 : &lt;4&gt; 글자
* 정답란에 띄어쓰기 없이 입력 후 제출해주세요.</t>
  </si>
  <si>
    <t>햇살공원</t>
  </si>
  <si>
    <t>울산 남구 헬스장 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</si>
  <si>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{ㅁㅂㅇㅊㅊㄱ}
정답 : &lt;6&gt; 글자
* 정답란에 띄어쓰기 없이 입력 후 제출해주세요.</t>
  </si>
  <si>
    <t>맨발의청춘길</t>
  </si>
  <si>
    <t>울산 삼산동 헬스장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</si>
  <si>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{ㅈㄷㅇㄱㅇ}
정답 : &lt;5&gt; 글자
* 정답란에 띄어쓰기 없이 입력 후 제출해주세요.</t>
  </si>
  <si>
    <t>정다운공원</t>
  </si>
  <si>
    <t>울산 삼산동 헬스장 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</si>
  <si>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{ㅅㄴㄷㅂㅅㄱㄹ}
정답 : &lt;7&gt; 글자
* 정답란에 띄어쓰기 없이 입력 후 제출해주세요.</t>
  </si>
  <si>
    <t>성남동보세거리</t>
  </si>
  <si>
    <t>망원동 브런치 맛집</t>
  </si>
  <si>
    <t>망원동 브런치 추천</t>
  </si>
  <si>
    <t>망원동 브런치 양식</t>
  </si>
  <si>
    <t>망원동 브런치 파스타 맛집</t>
  </si>
  <si>
    <t>공덕 이탈리아 음식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</si>
  <si>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공덕점]플레이스를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{ㅅㅂㅅ}
정답 : &lt;3&gt; 글자
* 정답란에 띄어쓰기 없이 입력 후 제출해주세요.</t>
  </si>
  <si>
    <t>*터로빈 공덕점</t>
  </si>
  <si>
    <t>https://m.place.naver.com/restaurant/20131928/home</t>
  </si>
  <si>
    <t>공덕 이탈리아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</si>
  <si>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공덕점]플레이스를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{ㅇㅅㅅㅎㄱ}
정답 : &lt;5&gt; 글자
* 정답란에 띄어쓰기 없이 입력 후 제출해주세요.</t>
  </si>
  <si>
    <t>용산신학교</t>
  </si>
  <si>
    <t>공덕 이탈리아 와인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</si>
  <si>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공덕점]플레이스를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{ㅆㄹㅅㄱㄹㄱㅇ}
정답 : &lt;7&gt; 글자
* 정답란에 띄어쓰기 없이 입력 후 제출해주세요.</t>
  </si>
  <si>
    <t>쌍룡산근린공원</t>
  </si>
  <si>
    <t>공덕역 파스타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</si>
  <si>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공덕점]플레이스를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{ㅇㅎㄱㅇ}
정답 : &lt;4&gt; 글자
* 정답란에 띄어쓰기 없이 입력 후 제출해주세요.</t>
  </si>
  <si>
    <t>공덕역 피자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</si>
  <si>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공덕점]플레이스를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{ㅅㄱㄷㅎㄱ}
정답 : &lt;5&gt; 글자
* 정답란에 띄어쓰기 없이 입력 후 제출해주세요.</t>
  </si>
  <si>
    <t>목동 양식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</si>
  <si>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목동점]플레이스를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{ㅇㅇㅊ}
정답 : &lt;3&gt; 글자
* 정답란에 띄어쓰기 없이 입력 후 제출해주세요.</t>
  </si>
  <si>
    <t>안양천</t>
  </si>
  <si>
    <t>*터로빈 목동점</t>
  </si>
  <si>
    <t>https://m.place.naver.com/restaurant/37576866/home</t>
  </si>
  <si>
    <t>목동 양식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</si>
  <si>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목동점]플레이스를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{ㅅㅅㅅ}
정답 : &lt;3&gt; 글자
* 정답란에 띄어쓰기 없이 입력 후 제출해주세요.</t>
  </si>
  <si>
    <t>양천구 이탈리아 음식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</si>
  <si>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목동점]플레이스를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{ㅈㅅㄱㅇ}
정답 : &lt;4&gt; 글자
* 정답란에 띄어쓰기 없이 입력 후 제출해주세요.</t>
  </si>
  <si>
    <t>양천구 이탈리아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</si>
  <si>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목동점]플레이스를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{ㅁㅎㅁㅇㅁㄷ}
정답 : &lt;6&gt; 글자
* 정답란에 띄어쓰기 없이 입력 후 제출해주세요.</t>
  </si>
  <si>
    <t>목화마을마당</t>
  </si>
  <si>
    <t>양천구 이탈리아 와인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</si>
  <si>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목동점]플레이스를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{ㄷㄹㅊ}
정답 : &lt;3&gt; 글자
* 정답란에 띄어쓰기 없이 입력 후 제출해주세요.</t>
  </si>
  <si>
    <t>강남역 이탈리아 와인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</si>
  <si>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{ㄴㅎㄲㅊㄱㅇ}
정답 : &lt;6&gt; 글자
* 정답란에 띄어쓰기 없이 입력 후 제출해주세요.</t>
  </si>
  <si>
    <t>논현까치공원</t>
  </si>
  <si>
    <t>*터로빈 서초점</t>
  </si>
  <si>
    <t>https://m.place.naver.com/restaurant/1705439631/home</t>
  </si>
  <si>
    <t>서초 이탈리아 음식 와인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</si>
  <si>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{ㅊㅈㄱㅇㅅㄷㄱㅎ}
정답 : &lt;8&gt; 글자
* 정답란에 띄어쓰기 없이 입력 후 제출해주세요.</t>
  </si>
  <si>
    <t>서초 이탈리아 맛집 모임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</si>
  <si>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{ㄱㄷㄱㅊㄱㄹ}
정답 : &lt;6&gt; 글자
* 정답란에 띄어쓰기 없이 입력 후 제출해주세요.</t>
  </si>
  <si>
    <t>교대곱창거리</t>
  </si>
  <si>
    <t>서초동 이탈리아 음식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</si>
  <si>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{ㄴㅎㄷㅁㅈㄱㅁ}
정답 : &lt;7&gt; 글자
* 정답란에 띄어쓰기 없이 입력 후 제출해주세요.</t>
  </si>
  <si>
    <t>논현동먹자골목</t>
  </si>
  <si>
    <t>서초동 크림스프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</si>
  <si>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{ㅇㄱㅂㄱㅇ}
정답 : &lt;5&gt; 글자
* 정답란에 띄어쓰기 없이 입력 후 제출해주세요.</t>
  </si>
  <si>
    <t>언구비공원</t>
  </si>
  <si>
    <t>고척 이탈리아 음식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</si>
  <si>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고척점]플레이스를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{ㄱㅇㅅㄱㅇ}
정답 : &lt;5&gt; 글자
* 정답란에 띄어쓰기 없이 입력 후 제출해주세요.</t>
  </si>
  <si>
    <t>개웅산공원</t>
  </si>
  <si>
    <t>*터로빈 고척점</t>
  </si>
  <si>
    <t>https://m.place.naver.com/restaurant/1788491476/home</t>
  </si>
  <si>
    <t>구일역 이탈리아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</si>
  <si>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고척점]플레이스를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{ㅇㄹㅇㅁㅎㄱㅇ}
정답 : &lt;7&gt; 글자
* 정답란에 띄어쓰기 없이 입력 후 제출해주세요.</t>
  </si>
  <si>
    <t>오류역문화공원</t>
  </si>
  <si>
    <t>고척  양식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</si>
  <si>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고척점]플레이스를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{ㅊㅈㄱㅇㄹㄷㄱㅎ}
정답 : &lt;8&gt; 글자
* 정답란에 띄어쓰기 없이 입력 후 제출해주세요.</t>
  </si>
  <si>
    <t>천주교오류동교회</t>
  </si>
  <si>
    <t>고척 파스타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</si>
  <si>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고척점]플레이스를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{ㄱㄴㄱㄹㄱㅇ}
정답 : &lt;6&gt; 글자
* 정답란에 띄어쓰기 없이 입력 후 제출해주세요.</t>
  </si>
  <si>
    <t>계남근린공원</t>
  </si>
  <si>
    <t>고척 피자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</si>
  <si>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고척점]플레이스를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{ㅇㄹㄷㅇㄱㅈ}
정답 : &lt;6&gt; 글자
* 정답란에 띄어쓰기 없이 입력 후 제출해주세요.</t>
  </si>
  <si>
    <t>오류동역광장</t>
  </si>
  <si>
    <t>화곡동 파스타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</si>
  <si>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강서점]플레이스를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{ㅂㅈㅅ}
정답 : &lt;3&gt; 글자
* 정답란에 띄어쓰기 없이 입력 후 제출해주세요.</t>
  </si>
  <si>
    <t>*터로빈 강서점</t>
  </si>
  <si>
    <t>https://m.place.naver.com/restaurant/13091320/home</t>
  </si>
  <si>
    <t>화곡 이탈리아 음식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</si>
  <si>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강서점]플레이스를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{ㅂㅈㅅㄱㄹㄱㅇ}
정답 : &lt;7&gt; 글자
* 정답란에 띄어쓰기 없이 입력 후 제출해주세요.</t>
  </si>
  <si>
    <t>화곡동 이태리음식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</si>
  <si>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강서점]플레이스를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{ㅂㅅㅅ}
정답 : &lt;3&gt; 글자
* 정답란에 띄어쓰기 없이 입력 후 제출해주세요.</t>
  </si>
  <si>
    <t>법성사</t>
  </si>
  <si>
    <t>화곡 양식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</si>
  <si>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강서점]플레이스를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{ㅇㅊㅅ}
정답 : &lt;3&gt; 글자
* 정답란에 띄어쓰기 없이 입력 후 제출해주세요.</t>
  </si>
  <si>
    <t>염창산</t>
  </si>
  <si>
    <t>가양역 이탈리아 파스타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</si>
  <si>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강서점]플레이스를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{ㅇㅊㄱㅇ}
정답 : &lt;4&gt; 글자
* 정답란에 띄어쓰기 없이 입력 후 제출해주세요.</t>
  </si>
  <si>
    <t>염창공원</t>
  </si>
  <si>
    <t>칠암동 공인중개사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</si>
  <si>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4.[**동산공인중개사사무소]플레이스를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{ㅅㅎㅅ}
정답 : &lt;3&gt; 글자
* 정답란에 띄어쓰기 없이 입력 후 제출해주세요.</t>
  </si>
  <si>
    <t>**동산공인중개사사무소</t>
  </si>
  <si>
    <t>칠암동 공인중개사무소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</si>
  <si>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4.[**동산공인중개사사무소]플레이스를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{ㅅㅎㅅㅈㅁㄷ}
정답 : &lt;6&gt; 글자
* 정답란에 띄어쓰기 없이 입력 후 제출해주세요.</t>
  </si>
  <si>
    <t>3월 세팅 완~3/6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</si>
  <si>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4.[*잇디헤어 광교중앙역점]플레이스를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{ㅎㄹㄱㅇㅈㅇㅁ}
정답 : &lt;7&gt; 글자
* 정답란에 띄어쓰기 없이 입력 후 제출해주세요.</t>
  </si>
  <si>
    <t>혜령군이지의묘</t>
  </si>
  <si>
    <t>서초 서초베스트속기사무소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</si>
  <si>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4.[*초베스트속기사무소]플레이스를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{ㅅㄹㅍㄱㅇ}
정답 : &lt;5&gt; 글자
* 정답란에 띄어쓰기 없이 입력 후 제출해주세요.</t>
  </si>
  <si>
    <t>*초베스트속기사무소</t>
  </si>
  <si>
    <t>https://m.place.naver.com/place/1077253269/home?entry=pll</t>
  </si>
  <si>
    <t>남부터미널역 서초베스트속기사무소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</si>
  <si>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4.[*초베스트속기사무소]플레이스를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{ㅊㄱㅅ}
정답 : &lt;3&gt; 글자
* 정답란에 띄어쓰기 없이 입력 후 제출해주세요.</t>
  </si>
  <si>
    <t>청권사</t>
  </si>
  <si>
    <t>서초동속기 서초베스트속기사무소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</si>
  <si>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4.[*초베스트속기사무소]플레이스를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{ㅁㅁㄹㄸㄱㅇ}
정답 : &lt;6&gt; 글자
* 정답란에 띄어쓰기 없이 입력 후 제출해주세요.</t>
  </si>
  <si>
    <t>불당동 한우 맛집</t>
  </si>
  <si>
    <t>https://docs.google.com/spreadsheets/d/1zhAFpops78k7PnvrV1pqOCrWh5wtwAUgA1T-XkpzvP4/edit?gid=650421731#gid=650421731</t>
  </si>
  <si>
    <t>불당동 소고기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</si>
  <si>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4.[*984 한우클래식 프라이빗]플레이스를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{ㅆㅇㄱㅇ}
정답 : &lt;4&gt; 글자
* 정답란에 띄어쓰기 없이 입력 후 제출해주세요.</t>
  </si>
  <si>
    <t>쌍용공원</t>
  </si>
  <si>
    <t>서북구 소고기 오마카세</t>
  </si>
  <si>
    <t>성성동 소고기 전문점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</si>
  <si>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4.[*984 한우클래식 하이엔드]플레이스를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{ㅋㅁㅅ}
정답 : &lt;3&gt; 글자
* 정답란에 띄어쓰기 없이 입력 후 제출해주세요.</t>
  </si>
  <si>
    <t>천안 성성동 한우 식당</t>
  </si>
  <si>
    <t>성성동 한우전문점</t>
  </si>
  <si>
    <t>성성동 한우 맛집 추천</t>
  </si>
  <si>
    <t>루원시티 뭉티기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</si>
  <si>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4.[*늘뭉티기 루원시티점]플레이스를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{ㅅㄴㅊㅇㄱㅇ}
정답 : &lt;6&gt; 글자
* 정답란에 띄어쓰기 없이 입력 후 제출해주세요.</t>
  </si>
  <si>
    <t>석남체육공원</t>
  </si>
  <si>
    <t>인천 가정동 뭉티기</t>
  </si>
  <si>
    <t>미추홀구 뭉티기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</si>
  <si>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4.[*늘뭉티기]플레이스를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{ㅈㅇㄱㄹㄱㅇ}
정답 : &lt;6&gt; 글자
* 정답란에 띄어쓰기 없이 입력 후 제출해주세요.</t>
  </si>
  <si>
    <t>주인근린공원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</si>
  <si>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4.[*늘뭉티기]플레이스를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{ㅅㅂㅇㄹㅅㅌ}
정답 : &lt;6&gt; 글자
* 정답란에 띄어쓰기 없이 입력 후 제출해주세요.</t>
  </si>
  <si>
    <t>수봉오름쉼터</t>
  </si>
  <si>
    <t>고잔동 물회 맛집</t>
  </si>
  <si>
    <t>안산 도다리 맛집</t>
  </si>
  <si>
    <t>안산 물회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</si>
  <si>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4.[*선장어시장 안산중앙점]플레이스를 방문 하고 [ 소식 ] 탭을 클릭 해주세요.
 5. [ 소식 ] 탭을 클릭 후 아래 게시글 확인 해주세요. 
 6. 게시글을 보고 빈칸을 확인 후 정답에 입력 해주세요.  
 7.  정답 : &lt;5&gt; 글자
초성힌트 : {알림요즘 제일 잘 나가는 대방어 · 활고등어 · OOOOO🔥🔥}
* 정답란에 띄어쓰기 없이 입력 후 제출해주세요.</t>
  </si>
  <si>
    <t>산오징어회</t>
  </si>
  <si>
    <t>고잔동 새우회</t>
  </si>
  <si>
    <t>안산 산오징어</t>
  </si>
  <si>
    <t>02월 05일 마감</t>
  </si>
  <si>
    <t>잇몸치약 백태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</si>
  <si>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*냄새제거 구취*거 잇몸 *리미엄 *태 몰약*약 *르치약 *20g,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</si>
  <si>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kEo</t>
  </si>
  <si>
    <t>잇몸치약 프리미엄 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</si>
  <si>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*냄새제거 구취*거 잇몸 *리미엄 *태 몰약*약 *르치약 *20g, *개
 ( '광고' 클릭 절대 금지 )
 ▶판매처 : 오라코드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</si>
  <si>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https://m.search.naver.com/search.naver?sm=mtp_hty.top&amp;where=m&amp;query=%EC%B9%98%EC%95%BD&amp;ackey=g3rvsbbk</t>
  </si>
  <si>
    <t>입냄새치약 몰약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</si>
  <si>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*냄새제거 구취*거 잇몸 *리미엄 *태 몰약*약 *르치약 *20g, *개
 ( '광고' 클릭 절대 금지 )
 ▶판매처 : 오라코드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</si>
  <si>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https://msearch.shopping.naver.com/search/all?query=%EC%B9%98%EC%95%BD&amp;vertical=search</t>
  </si>
  <si>
    <t>구취제거치약 미르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</si>
  <si>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*냄새제거 구취*거 잇몸 *리미엄 *태 몰약*약 *르치약 *20g, *개
 ( '광고' 클릭 절대 금지 )
 ▶판매처 : 오라코드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</si>
  <si>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631개</t>
  </si>
  <si>
    <t>구취제거치약 프리미엄 120g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</si>
  <si>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*몸건강 *냄새제거 구취*거 잇몸 *리미엄 *태 몰약*약 *르치약 *20g, *개
 ( '광고' 클릭 절대 금지 )
 ▶판매처 : 오라코드
 5. 찜하기 클릭
 6. 바로가기 클릭
 7. 상품 클릭
 8. 링크(url) 복사 후 정답에 붙여넣기 후 제출</t>
    </r>
  </si>
  <si>
    <t>https://m.smartstore.naver.com/oracode/products/12743478390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</si>
  <si>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구글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</si>
  <si>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</si>
  <si>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https://m.search.naver.com/search.naver?sm=mtp_hty.top&amp;where=m&amp;query=%EC%98%A4%ED%94%84%EB%84%88&amp;ackey=l9ensg93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</si>
  <si>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</si>
  <si>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https://msearch.shopping.naver.com/search/all?query=%EC%98%A4%ED%94%84%EB%84%88&amp;vertical=search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</si>
  <si>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</si>
  <si>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556개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</si>
  <si>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전동 와*오프너 *동 오*너 와*따개 코르* 병*기 각*
 ( '광고' 클릭 절대 금지 )
 ▶판매처 : 더카인드
 5. 찜하기 클릭
 6. 바로가기 클릭
 7. 상품 클릭
 8. 링크(url) 복사 후 정답에 붙여넣기 후 제출</t>
    </r>
  </si>
  <si>
    <t>일본골프여행 니세코힐튼 3박4일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</si>
  <si>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구글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[ 일*골프*행 ] *해도 니*코힐*CC 3박4* 63홀, *본*프투어*키지 중 여*골프 성지 프*미엄 온천*프 힐* 호*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에이온투어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</si>
  <si>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에이온투어</t>
  </si>
  <si>
    <t>https://smartstore.naver.com/aiontour/products/13075533722</t>
  </si>
  <si>
    <t>일본골프여행 니세코힐튼 호텔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</si>
  <si>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[ 일*골프*행 ] *해도 니*코힐*CC 3박4* 63홀, *본*프투어*키지 중 여*골프 성지 프*미엄 온천*프 힐* 호*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에이온투어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</si>
  <si>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https://m.search.naver.com/search.naver?sm=mtp_hty.top&amp;where=m&amp;query=%EC%9D%BC%EB%B3%B8%EA%B3%A8%ED%94%84%EC%97%AC%ED%96%89&amp;ackey=welkmg3p</t>
  </si>
  <si>
    <t>일본골프여행 니세코힐튼 온천 패키지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</si>
  <si>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[ 일*골프*행 ] *해도 니*코힐*CC 3박4* 63홀, *본*프투어*키지 중 여*골프 성지 프*미엄 온천*프 힐* 호*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에이온투어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</si>
  <si>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https://msearch.shopping.naver.com/search/all?query=%EC%9D%BC%EB%B3%B8%EA%B3%A8%ED%94%84%EC%97%AC%ED%96%89&amp;vertical=search</t>
  </si>
  <si>
    <t>일본골프여행 니세코힐튼 프리미엄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</si>
  <si>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[ 일*골프*행 ] *해도 니*코힐*CC 3박4* 63홀, *본*프투어*키지 중 여*골프 성지 프*미엄 온천*프 힐* 호*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에이온투어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</si>
  <si>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0개</t>
  </si>
  <si>
    <t>일본골프여행 성지 니세코힐튼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</si>
  <si>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 일*골프*행 ] *해도 니*코힐*CC 3박4* 63홀, *본*프투어*키지 중 여*골프 성지 프*미엄 온천*프 힐* 호*
 ( '광고' 클릭 절대 금지 )
 ▶판매처 : 에이온투어
 5. 찜하기 클릭
 6. 바로가기 클릭
 7. 상품 클릭
 8. 링크(url) 복사 후 정답에 붙여넣기 후 제출</t>
    </r>
  </si>
  <si>
    <t>https://m.smartstore.naver.com/aiontour/products/13075533722</t>
  </si>
  <si>
    <t>강서구 사케동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</si>
  <si>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4.[*츠네테이 마곡 케이스퀘어점]플레이스를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{ㄱㅎㄷㅅㄷ}
정답 : &lt;5&gt; 글자
* 정답란에 띄어쓰기 없이 입력 후 제출해주세요.</t>
  </si>
  <si>
    <t>공항동성당</t>
  </si>
  <si>
    <t>*츠네테이 마곡 케이스퀘어점</t>
  </si>
  <si>
    <t>https://m.place.naver.com/restaurant/2068804758/home?entry=plt</t>
  </si>
  <si>
    <t>https://docs.google.com/spreadsheets/d/1qdiRQxKAx-yRHSNZL8dfJonOSBIOazeiWpsXwCa2SDU/edit?gid=1093477611#gid=1093477611</t>
  </si>
  <si>
    <t>마곡역 연어덮밥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</si>
  <si>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4.[*츠네테이 마곡 케이스퀘어점]플레이스를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{ㅇㅇㄹㄱㅇ}
정답 : &lt;5&gt; 글자
* 정답란에 띄어쓰기 없이 입력 후 제출해주세요.</t>
  </si>
  <si>
    <t>어울림공원</t>
  </si>
  <si>
    <t>마곡역 히레카츠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</si>
  <si>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4.[*츠네테이 마곡 케이스퀘어점]플레이스를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{ㅇㄷㄱㄹㄱㅇ}
정답 : &lt;6&gt; 글자
* 정답란에 띄어쓰기 없이 입력 후 제출해주세요.</t>
  </si>
  <si>
    <t>마곡역 돈카츠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</si>
  <si>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4.[*츠네테이 마곡 케이스퀘어점]플레이스를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{ㅅㅈㅅㅌㄱㅇ}
정답 : &lt;6&gt; 글자
* 정답란에 띄어쓰기 없이 입력 후 제출해주세요.</t>
  </si>
  <si>
    <t>습지생태공원</t>
  </si>
  <si>
    <t>마곡동 사케동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</si>
  <si>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4.[*츠네테이 마곡 케이스퀘어점]플레이스를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{ㅅㅁㅅ}
정답 : &lt;3&gt; 글자
* 정답란에 띄어쓰기 없이 입력 후 제출해주세요.</t>
  </si>
  <si>
    <t>수명산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</si>
  <si>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 실내 주차대행 인천공항로점]플레이스를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{ㄱㅈㅍㅅㅊㅈ}
정답 : &lt;6&gt; 글자
* 정답란에 띄어쓰기 없이 입력 후 제출해주세요.</t>
  </si>
  <si>
    <t>봉담 퀵서비스 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</si>
  <si>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4.[*래전국물류 화성점]플레이스를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{ㅅㅇㅅ}
정답 : &lt;3&gt; 글자
* 정답란에 띄어쓰기 없이 입력 후 제출해주세요.</t>
  </si>
  <si>
    <t>수월사</t>
  </si>
  <si>
    <t>*래전국물류 화성점</t>
  </si>
  <si>
    <t>https://m.place.naver.com/place/37322842/home</t>
  </si>
  <si>
    <t>봉담읍 퀵서비스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</si>
  <si>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4.[*래전국물류 화성점]플레이스를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{ㅅㅇㄷㅎㄱ}
정답 : &lt;5&gt; 글자
* 정답란에 띄어쓰기 없이 입력 후 제출해주세요.</t>
  </si>
  <si>
    <t>수원대학교</t>
  </si>
  <si>
    <t>화성 전국 퀵서비스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</si>
  <si>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4.[*래전국물류 화성점]플레이스를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{ㄱㅂㅇㅅㄱㅇ}
정답 : &lt;6&gt; 글자
* 정답란에 띄어쓰기 없이 입력 후 제출해주세요.</t>
  </si>
  <si>
    <t>기배역사공원</t>
  </si>
  <si>
    <t>화성 봉담 퀵서비스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</si>
  <si>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4.[*래전국물류 화성점]플레이스를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{ㅎㅂㅅ}
정답 : &lt;3&gt; 글자
* 정답란에 띄어쓰기 없이 입력 후 제출해주세요.</t>
  </si>
  <si>
    <t>홍법사</t>
  </si>
  <si>
    <t>화성 퀵서비스 미래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</si>
  <si>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4.[*래전국물류 화성점]플레이스를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{ㅇㅁㅊㄱㅇ}
정답 : &lt;5&gt; 글자
* 정답란에 띄어쓰기 없이 입력 후 제출해주세요.</t>
  </si>
  <si>
    <t>오목천공원</t>
  </si>
  <si>
    <t>팔거역 대구마사지엔 헤스티아 피부</t>
  </si>
  <si>
    <t>팔거역 대구마사지엔 헤스티아 체형 관리</t>
  </si>
  <si>
    <t>3월 세팅 완~3/8</t>
  </si>
  <si>
    <t>구영리 안경 안경본데이 구영점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</si>
  <si>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4.[*경본데이 구영점]플레이스를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{ㄱㅎㄱㅂㄱㅇ}
정답 : &lt;6&gt; 글자
* 정답란에 띄어쓰기 없이 입력 후 제출해주세요.</t>
  </si>
  <si>
    <t>굴화강변공원</t>
  </si>
  <si>
    <t>*경본데이 구영점</t>
  </si>
  <si>
    <t>https://m.place.naver.com/place/38738071/home?entry=pll</t>
  </si>
  <si>
    <t>울주군 콘텍트 렌즈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</si>
  <si>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4.[*경본데이 구영점]플레이스를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{ㅁㄱㅎㄱㅇ}
정답 : &lt;5&gt; 글자
* 정답란에 띄어쓰기 없이 입력 후 제출해주세요.</t>
  </si>
  <si>
    <t>범서읍 안경 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</si>
  <si>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4.[*경본데이 구영점]플레이스를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{ㅇㅅㅁㄴㅇㄱㅇ}
정답 : &lt;7&gt; 글자
* 정답란에 띄어쓰기 없이 입력 후 제출해주세요.</t>
  </si>
  <si>
    <t>울산물내음공원</t>
  </si>
  <si>
    <t>을왕동 조개구이 무한리필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</si>
  <si>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4.[*니네 조개구이]플레이스를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{ㅈㄹㅅ}
정답 : &lt;3&gt; 글자
* 정답란에 띄어쓰기 없이 입력 후 제출해주세요.</t>
  </si>
  <si>
    <t>조름섬</t>
  </si>
  <si>
    <t>*니네 조개구이</t>
  </si>
  <si>
    <t>https://m.place.naver.com/restaurant/1269899440/home</t>
  </si>
  <si>
    <t>을왕동 조개구이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</si>
  <si>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4.[*니네 조개구이]플레이스를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{ㅇㅇㅅ}
정답 : &lt;3&gt; 글자
* 정답란에 띄어쓰기 없이 입력 후 제출해주세요.</t>
  </si>
  <si>
    <t>왕산해수욕장 조개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</si>
  <si>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4.[*니네 조개구이]플레이스를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{ㅇㅇㄷ}
정답 : &lt;3&gt; 글자
* 정답란에 띄어쓰기 없이 입력 후 제출해주세요.</t>
  </si>
  <si>
    <t>왕산해수욕장 조개구이 무한리필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</si>
  <si>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4.[*니네 조개구이]플레이스를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{ㅇㅅㅅ}
정답 : &lt;3&gt; 글자
* 정답란에 띄어쓰기 없이 입력 후 제출해주세요.</t>
  </si>
  <si>
    <t>오성산</t>
  </si>
  <si>
    <t>정릉역 청소대행</t>
  </si>
  <si>
    <t>금련산역 브런치 추천</t>
  </si>
  <si>
    <t>금련산역 브런치 맛집</t>
  </si>
  <si>
    <t>광안동 카페 추천</t>
  </si>
  <si>
    <t>광안동 데이트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</si>
  <si>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4.[*타팜 테라스 광안리점]플레이스를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{ㄱㅇㅅㄷ}
정답 : &lt;4&gt; 글자
* 정답란에 띄어쓰기 없이 입력 후 제출해주세요.</t>
  </si>
  <si>
    <t>괴산 광고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</si>
  <si>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4.[*바른마케팅]플레이스를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{ㄱㅅㄱㅁㄱㅁㅅ}
정답 : &lt;7&gt; 글자
* 정답란에 띄어쓰기 없이 입력 후 제출해주세요.</t>
  </si>
  <si>
    <t>괴산군민가마솥</t>
  </si>
  <si>
    <t>*바른마케팅</t>
  </si>
  <si>
    <t>https://m.place.naver.com/place/1458880978/home</t>
  </si>
  <si>
    <t>괴산 광고 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</si>
  <si>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4.[*바른마케팅]플레이스를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{ㄷㅈㅊ}
정답 : &lt;3&gt; 글자
* 정답란에 띄어쓰기 없이 입력 후 제출해주세요.</t>
  </si>
  <si>
    <t>동진천</t>
  </si>
  <si>
    <t>괴산 마케팅 광고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</si>
  <si>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4.[*바른마케팅]플레이스를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{ㅈㅇㄷㅎㄱ}
정답 : &lt;5&gt; 글자
* 정답란에 띄어쓰기 없이 입력 후 제출해주세요.</t>
  </si>
  <si>
    <t>중원대학교</t>
  </si>
  <si>
    <t>괴산 마케팅 광고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</si>
  <si>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4.[*바른마케팅]플레이스를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{ㅍㅅㅈ}
정답 : &lt;3&gt; 글자
* 정답란에 띄어쓰기 없이 입력 후 제출해주세요.</t>
  </si>
  <si>
    <t>피세정</t>
  </si>
  <si>
    <t>괴산 마케팅 광고 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</si>
  <si>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4.[*바른마케팅]플레이스를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{ㄱㄱ}
정답 : &lt;2&gt; 글자
* 정답란에 띄어쓰기 없이 입력 후 제출해주세요.</t>
  </si>
  <si>
    <t>괴강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</si>
  <si>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4.[*손육회생고기전문점]플레이스를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{ㅁㄹㅎㅂㄱㅇ}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</si>
  <si>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4.[*손육회생고기전문점]플레이스를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{ㅎㅁㅅ}
정답 : &lt;3&gt; 글자
* 정답란에 띄어쓰기 없이 입력 후 제출해주세요.</t>
  </si>
  <si>
    <t>압구정로데오역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</si>
  <si>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{ㅊㄷㄱㄹㄱㅇ}
정답 : &lt;6&gt; 글자
* 정답란에 띄어쓰기 없이 입력 후 제출해주세요.</t>
  </si>
  <si>
    <t>청담근린공원</t>
  </si>
  <si>
    <t>*미포차</t>
  </si>
  <si>
    <t>https://m.place.naver.com/restaurant/1111503809/home</t>
  </si>
  <si>
    <t>신사동 술집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</si>
  <si>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{ㅅㅌㄱㄹㄱㅇ}
정답 : &lt;6&gt; 글자
* 정답란에 띄어쓰기 없이 입력 후 제출해주세요.</t>
  </si>
  <si>
    <t>압구정로데오역 전골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</si>
  <si>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{ㅅㅅㄷㅎㄹㄱㄹ}
정답 : &lt;7&gt; 글자
* 정답란에 띄어쓰기 없이 입력 후 제출해주세요.</t>
  </si>
  <si>
    <t>신사동화랑거리</t>
  </si>
  <si>
    <t>압구정로데오역 부대찌개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</si>
  <si>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{ㄱㄹㅅㄱ}
정답 : &lt;4&gt; 글자
* 정답란에 띄어쓰기 없이 입력 후 제출해주세요.</t>
  </si>
  <si>
    <t>신사동 전골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</si>
  <si>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{ㅅㅅㅁㄹㄱㅇ}
정답 : &lt;6&gt; 글자
* 정답란에 띄어쓰기 없이 입력 후 제출해주세요.</t>
  </si>
  <si>
    <t>서초동 요리주점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</si>
  <si>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4.[*랫나인]플레이스를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{ㄱㄴㄹㄱㅇ}
정답 : &lt;5&gt; 글자
* 정답란에 띄어쓰기 없이 입력 후 제출해주세요.</t>
  </si>
  <si>
    <t>개나리공원</t>
  </si>
  <si>
    <t>*랫나인</t>
  </si>
  <si>
    <r>
      <rPr>
        <sz val="0"/>
        <color rgb="FF000000"/>
        <rFont val="Arial"/>
      </rPr>
      <t xml:space="preserve"> </t>
    </r>
    <r>
      <rPr>
        <u/>
        <sz val="0"/>
        <color rgb="FF1155CC"/>
        <rFont val="Arial"/>
      </rPr>
      <t>https://m.place.naver.com/restaurant/1793702349/home</t>
    </r>
  </si>
  <si>
    <t>서초동 스테이크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</si>
  <si>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4.[*랫나인]플레이스를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{ㅇㅅㅅㄴㅁㄱㅇ}
정답 : &lt;7&gt; 글자
* 정답란에 띄어쓰기 없이 입력 후 제출해주세요.</t>
  </si>
  <si>
    <t>역삼소나무공원</t>
  </si>
  <si>
    <r>
      <rPr>
        <sz val="0"/>
        <color rgb="FF000000"/>
        <rFont val="Arial"/>
      </rPr>
      <t xml:space="preserve"> </t>
    </r>
    <r>
      <rPr>
        <u/>
        <sz val="0"/>
        <color rgb="FF1155CC"/>
        <rFont val="Arial"/>
      </rPr>
      <t>https://m.place.naver.com/restaurant/1793702349/home</t>
    </r>
  </si>
  <si>
    <t>서초동 연어 스테이크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</si>
  <si>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4.[*랫나인]플레이스를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{ㅅㅇㄱㅇㄷㅎㄱ}
정답 : &lt;7&gt; 글자
* 정답란에 띄어쓰기 없이 입력 후 제출해주세요.</t>
  </si>
  <si>
    <t>서울교육대학교</t>
  </si>
  <si>
    <r>
      <rPr>
        <sz val="0"/>
        <color rgb="FF000000"/>
        <rFont val="Arial"/>
      </rPr>
      <t xml:space="preserve"> </t>
    </r>
    <r>
      <rPr>
        <u/>
        <sz val="0"/>
        <color rgb="FF1155CC"/>
        <rFont val="Arial"/>
      </rPr>
      <t>https://m.place.naver.com/restaurant/1793702349/home</t>
    </r>
  </si>
  <si>
    <t>서초동 스테이크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</si>
  <si>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4.[*랫나인]플레이스를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{ㄴㅎㄷㄱㄱㄱㄹ}
정답 : &lt;7&gt; 글자
* 정답란에 띄어쓰기 없이 입력 후 제출해주세요.</t>
  </si>
  <si>
    <t>논현동가구거리</t>
  </si>
  <si>
    <r>
      <rPr>
        <sz val="0"/>
        <color rgb="FF000000"/>
        <rFont val="Arial"/>
      </rPr>
      <t xml:space="preserve"> </t>
    </r>
    <r>
      <rPr>
        <u/>
        <sz val="0"/>
        <color rgb="FF1155CC"/>
        <rFont val="Arial"/>
      </rPr>
      <t>https://m.place.naver.com/restaurant/1793702349/home</t>
    </r>
  </si>
  <si>
    <t>서초동 요리주점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</si>
  <si>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4.[*랫나인]플레이스를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{ㅅㄹㅍㄱㅇ}
정답 : &lt;5&gt; 글자
* 정답란에 띄어쓰기 없이 입력 후 제출해주세요.</t>
  </si>
  <si>
    <r>
      <rPr>
        <sz val="0"/>
        <color rgb="FF000000"/>
        <rFont val="Arial"/>
      </rPr>
      <t xml:space="preserve"> </t>
    </r>
    <r>
      <rPr>
        <u/>
        <sz val="0"/>
        <color rgb="FF1155CC"/>
        <rFont val="Arial"/>
      </rPr>
      <t>https://m.place.naver.com/restaurant/1793702349/home</t>
    </r>
  </si>
  <si>
    <t>02월 06일 마감</t>
  </si>
  <si>
    <t>대성기획 탐정사무소</t>
  </si>
  <si>
    <r>
      <rPr>
        <sz val="0"/>
        <color rgb="FF000000"/>
        <rFont val="Arial"/>
      </rPr>
  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</t>
    </r>
    <r>
      <rPr>
        <u/>
        <sz val="0"/>
        <color rgb="FF1155CC"/>
        <rFont val="Arial"/>
      </rPr>
      <t>fstamjung.imweb.me</t>
    </r>
    <r>
      <rPr>
        <sz val="0"/>
        <color rgb="FF000000"/>
        <rFont val="Arial"/>
      </rPr>
      <t>"을 찾아주세요.
5. "대성기획 탐정사무소-검증된 탐정사무소"을 클릭해주세요.
6. 사이트 방문 후 제일 하단으로 이동해주세요.
7. [ 힌트 ] 를 보고 정답을 찾아주세요.
8. 초성힌트 : [ 대표전화 : 1533-OOOO ]
정답 : &lt;4&gt;  글자
* 정답란에 - 포함하여 띄어쓰기 없이 입력 후 제출해주세요.</t>
    </r>
  </si>
  <si>
    <t>https://fstamjung.imweb.me/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</si>
  <si>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</si>
  <si>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</si>
  <si>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</si>
  <si>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</si>
  <si>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255개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</si>
  <si>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</si>
  <si>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</si>
  <si>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</si>
  <si>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</si>
  <si>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</si>
  <si>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1,339개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</si>
  <si>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</si>
  <si>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</si>
  <si>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</si>
  <si>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</si>
  <si>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</si>
  <si>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228개</t>
  </si>
  <si>
    <t>불멍 무드등 골드S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</si>
  <si>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</si>
  <si>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주차번호판 차량용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</si>
  <si>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*차번호판 *여운 *동차 *화 차*용 스티커*더 *파트 *근금지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나만의 각인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</si>
  <si>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나만의 각인</t>
  </si>
  <si>
    <t>https://smartstore.naver.com/winterstory24/products/12143713677</t>
  </si>
  <si>
    <t>주차번호판 스티커 홀더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</si>
  <si>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*차번호판 *여운 *동차 *화 차*용 스티커*더 *파트 *근금지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나만의 각인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</si>
  <si>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https://m.search.naver.com/search.naver?sm=mtp_hty.top&amp;where=m&amp;query=%EC%A3%BC%EC%B0%A8%ED%8C%90&amp;ackey=dqkksg30</t>
  </si>
  <si>
    <t>주차번호판 귀여운 스티커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</si>
  <si>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*차번호판 *여운 *동차 *화 차*용 스티커*더 *파트 *근금지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나만의 각인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</si>
  <si>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https://msearch.shopping.naver.com/search/all?query=%EC%A3%BC%EC%B0%A8%ED%8C%90&amp;vertical=search</t>
  </si>
  <si>
    <t>주차번호판 접근금지</t>
  </si>
  <si>
    <r>
      <rPr>
        <sz val="0"/>
        <color theme="1"/>
        <rFont val="Arial"/>
      </rPr>
      <t>미션 수행하며,
리워드 즉시 적립 받으세요!
1. 하단 [검색어 복사하기] 버튼을 클릭 하고, 키워드를 복사해주세요.
2. [힌트 보기] 버튼을 클릭해서</t>
    </r>
    <r>
      <rPr>
        <sz val="0"/>
        <color rgb="FFFF0000"/>
        <rFont val="Arial"/>
      </rPr>
      <t xml:space="preserve"> 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*차번호판 *여운 *동차 *화 차*용 스티커*더 *파트 *근금지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나만의 각인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</si>
  <si>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955개</t>
  </si>
  <si>
    <t>주차번호판 아파트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</si>
  <si>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*차번호판 *여운 *동차 *화 차*용 스티커*더 *파트 *근금지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나만의 각인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</si>
  <si>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https://m.smartstore.naver.com/winterstory24/products/12143713677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</si>
  <si>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</si>
  <si>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</si>
  <si>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https://m.search.naver.com/search.naver?sm=mtp_hty.top&amp;where=m&amp;query=%EC%87%BC%ED%95%91%EB%B0%B1&amp;ackey=t4th0plu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</si>
  <si>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</si>
  <si>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</si>
  <si>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506개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</si>
  <si>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200매 소* 쇼*백제* 맞춤*작 빠른 *이가* 초*속 7일 관*서 *원 치*
 ( '광고' 클릭 절대 금지 )
 ▶판매처 : 인쇄공장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</si>
  <si>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</si>
  <si>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</si>
  <si>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https://m.search.naver.com/search.naver?sm=mtp_hty.top&amp;where=m&amp;query=%EC%A0%84%EB%8B%A8%EC%A7%80&amp;ackey=40x29a0m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</si>
  <si>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</si>
  <si>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</si>
  <si>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</si>
  <si>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남자 리얼 무스탕 클래식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</si>
  <si>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*은 *래식 *티지 B-3 *얼 시*링 *자 *스탕 브*운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</si>
  <si>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로은</t>
  </si>
  <si>
    <t>https://smartstore.naver.com/25/products/7712466798</t>
  </si>
  <si>
    <t>남자 리얼 무스탕 빈티지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</si>
  <si>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*은 *래식 *티지 B-3 *얼 시*링 *자 *스탕 브*운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</si>
  <si>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https://m.search.naver.com/search.naver?sm=mtp_hty.top&amp;where=m&amp;query=%EB%AC%B4%EC%8A%A4%ED%83%95&amp;ackey=oah59zuc</t>
  </si>
  <si>
    <t>남자 리얼 무스탕 리얼 시어링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</si>
  <si>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*은 *래식 *티지 B-3 *얼 시*링 *자 *스탕 브*운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</si>
  <si>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https://msearch.shopping.naver.com/search/all?query=%EB%AC%B4%EC%8A%A4%ED%83%95&amp;prevQuery=%EB%AC%B4%EC%8A%A4%ED%83%95&amp;vertical=search</t>
  </si>
  <si>
    <t>남자 리얼 무스탕 B-3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</si>
  <si>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*은 *래식 *티지 B-3 *얼 시*링 *자 *스탕 브*운
</t>
    </r>
    <r>
      <rPr>
        <sz val="0"/>
        <color rgb="FFFF0000"/>
        <rFont val="Arial"/>
      </rPr>
      <t xml:space="preserve">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</si>
  <si>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264개</t>
  </si>
  <si>
    <t>남자 리얼 무스탕 브라운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</si>
  <si>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*은 *래식 *티지 B-3 *얼 시*링 *자 *스탕 브*운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다로은
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</si>
  <si>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https://m.smartstore.naver.com/25/products/7712466798</t>
  </si>
  <si>
    <t>임산부 비타민D 유기농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</si>
  <si>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</si>
  <si>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임산부 비타민D 1000IU D3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</si>
  <si>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( '광고' 클릭 절대 금지 )
 ▶판매처 : 셀가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</si>
  <si>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https://m.search.naver.com/search.naver?sm=mtp_hty.top&amp;where=m&amp;query=%EC%9E%84%EC%82%B0%EB%B6%80+%EB%B9%84%ED%83%80%EB%AF%BCD&amp;ackey=kcsofge5</t>
  </si>
  <si>
    <t>임산부 비타민D 유기농 D3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</si>
  <si>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( '광고' 클릭 절대 금지 )
 ▶판매처 : 셀가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</si>
  <si>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https://msearch.shopping.naver.com/search/all?query=%EC%9E%84%EC%82%B0%EB%B6%80%20%EB%B9%84%ED%83%80%EB%AF%BCD&amp;vertical=search</t>
  </si>
  <si>
    <t>임산부 비타민D 유기농 1000IU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</si>
  <si>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( '광고' 클릭 절대 금지 )
 ▶판매처 : 셀가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</si>
  <si>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399개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</si>
  <si>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*가 *기농 *타민D *000IU *산부 *3
 ( '광고' 클릭 절대 금지 )
 ▶판매처 : 셀가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</si>
  <si>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https://m.smartstore.naver.com/cellga/products/6058614536</t>
  </si>
  <si>
    <t>유기농 밀크씨슬 1000mg 1개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</si>
  <si>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*가 *기농 *크씨슬 *000mg x *0정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</si>
  <si>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*가 *기농 *크씨슬 *000mg x *0정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</si>
  <si>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유기농 밀크씨슬 셀가 30정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</si>
  <si>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*가 *기농 *크씨슬 *000mg x *0정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</si>
  <si>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유기농 밀크씨슬 셀가 1000mg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</si>
  <si>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*가 *기농 *크씨슬 *000mg x *0정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</si>
  <si>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472개</t>
  </si>
  <si>
    <t>유기농밀크씨슬 간 건강식품 셀가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</si>
  <si>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*가 *기농 *크씨슬 *000mg x *0정 *개
 ▶판매처 : 셀가
 5. 찜하기 클릭
 6. 바로가기 클릭
 7. 상품 클릭
 8. 링크(url) 복사 후 정답에 붙여넣기 후 제출</t>
  </si>
  <si>
    <t>쇼핑백 로고 200매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</si>
  <si>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</si>
  <si>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</si>
  <si>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https://m.search.naver.com/search.naver?sm=mtp_hty.top&amp;where=m&amp;query=%EC%87%BC%ED%95%91%EB%B0%B1&amp;ackey=c5vj9jpr</t>
  </si>
  <si>
    <t>쇼핑백 제작 소량 인쇄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</si>
  <si>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</si>
  <si>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</si>
  <si>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661개</t>
  </si>
  <si>
    <t>쇼핑백 로고 제작 관공서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</si>
  <si>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소량 쇼*백 로* 인쇄 *문 제작 *원 관공* 행사 *이 가* 200매 *매-A
 ( '광고' 클릭 절대 금지 )
 ▶판매처 : 다잇다인쇄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</si>
  <si>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</t>
    </r>
    <r>
      <rPr>
        <sz val="0"/>
        <color rgb="FF4A86E8"/>
        <rFont val="Arial"/>
      </rPr>
      <t xml:space="preserve"> 
</t>
    </r>
    <r>
      <rPr>
        <sz val="0"/>
        <color theme="1"/>
        <rFont val="Arial"/>
      </rPr>
      <t xml:space="preserve"> *최저 및 판매처 표시가 있는 상품을 클릭 해주세요*
*생가 *삼정 순 *리미엄 *틱 *0g x *0포 *개
 ▶판매처 : 진생가 몰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</si>
  <si>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</si>
  <si>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</si>
  <si>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https://m.search.naver.com/search.naver?sm=mtp_hty.top&amp;where=m&amp;query=%EA%B1%B4%EA%B0%95%EC%8B%9D%ED%92%88&amp;ackey=8sp4vsht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</si>
  <si>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</si>
  <si>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https://msearch.shopping.naver.com/search/all?query=%EA%B1%B4%EA%B0%95%EC%8B%9D%ED%92%88&amp;vertical=search</t>
  </si>
  <si>
    <t>어린이 홍삼 30포 1개 추천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</si>
  <si>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</si>
  <si>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240개</t>
  </si>
  <si>
    <t>어린이 홍삼 1개 추천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</si>
  <si>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'가격비교' 상품을 클릭 해주세요.
 *최저 및 판매처 표시가 있는 상품을 클릭 해주세요*
*생가 *즈로운 *린이홍삼 *5ml x *0포 *개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진생가 몰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</si>
  <si>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강남가라오케 노래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</si>
  <si>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4.[*깨비]플레이스를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{ㅇㅅㅅㄴㅁㄱㅇ}
정답 : &lt;7&gt; 글자
* 정답란에 띄어쓰기 없이 입력 후 제출해주세요.</t>
  </si>
  <si>
    <t>*깨비</t>
  </si>
  <si>
    <t>https://m.place.naver.com/restaurant/1248821454/home</t>
  </si>
  <si>
    <t>강남가라오케 도깨비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</si>
  <si>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4.[*깨비]플레이스를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{ㅁㄷㄱㅇ}
정답 : &lt;4&gt; 글자
* 정답란에 띄어쓰기 없이 입력 후 제출해주세요.</t>
  </si>
  <si>
    <t>역삼동 가라오케 도깨비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</si>
  <si>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4.[*깨비]플레이스를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{ㅇㅎㄴㅁㄱㅇ}
정답 : &lt;6&gt; 글자
* 정답란에 띄어쓰기 없이 입력 후 제출해주세요.</t>
  </si>
  <si>
    <t>강남역 가라오케 도깨비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</si>
  <si>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4.[*깨비]플레이스를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{ㅆㄹㄱㄱㄱㅇ}
정답 : &lt;6&gt; 글자
* 정답란에 띄어쓰기 없이 입력 후 제출해주세요.</t>
  </si>
  <si>
    <t>싸리고개공원</t>
  </si>
  <si>
    <t>강남역 가라오케 도깨비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</si>
  <si>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4.[*깨비]플레이스를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{ㅁㄱㅎㄱㅇ}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</si>
  <si>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4.[*산아이폰수리 서면아이패드수리 맥북수리 아이뉴턴]플레이스를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{ㅂㅅㅅㅁㄱㅇ}
정답 : &lt;6&gt; 글자
* 정답란에 띄어쓰기 없이 입력 후 제출해주세요.</t>
  </si>
  <si>
    <t>부산시민공원</t>
  </si>
  <si>
    <t>*산아이폰수리 서면아이패드수리 맥북수리 아이뉴턴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</si>
  <si>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{ㅊㅈㄱㅇㅇㄷㅅㄷ}
정답 : &lt;8&gt; 글자
* 정답란에 띄어쓰기 없이 입력 후 제출해주세요.</t>
  </si>
  <si>
    <t>천주교여의도성당</t>
  </si>
  <si>
    <t>3월 세팅 완 ~3/10</t>
  </si>
  <si>
    <t xml:space="preserve">        강남동물병원 반려담동물병원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</si>
  <si>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4.[*려담동물병원]플레이스를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{ㅇㅅㄱㄴㄹㄱㅇ}
정답 : &lt;7&gt; 글자
* 정답란에 띄어쓰기 없이 입력 후 제출해주세요.</t>
  </si>
  <si>
    <t>역삼개나리공원</t>
  </si>
  <si>
    <t>*려담동물병원</t>
  </si>
  <si>
    <t>https://m.place.naver.com/pet/2044960058/home?entry=pll&amp;bk_query=</t>
  </si>
  <si>
    <t>선릉역 반려담동물병원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</si>
  <si>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4.[*려담동물병원]플레이스를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{ㅊㅈㄱㄴㅎㄷㄱㅎ}
정답 : &lt;8&gt; 글자
* 정답란에 띄어쓰기 없이 입력 후 제출해주세요.</t>
  </si>
  <si>
    <t>천주교논현동교회</t>
  </si>
  <si>
    <t>역삼동 반려담동물병원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</si>
  <si>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4.[*려담동물병원]플레이스를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{ㅎㅂㄱㅇ}
정답 : &lt;4&gt; 글자
* 정답란에 띄어쓰기 없이 입력 후 제출해주세요.</t>
  </si>
  <si>
    <t>학봉공원</t>
  </si>
  <si>
    <t>고한 누리한우촌</t>
  </si>
  <si>
    <t>고한 하이원 누리한우촌</t>
  </si>
  <si>
    <t xml:space="preserve">        대구마사지 대구마사지엔 헤스티아</t>
  </si>
  <si>
    <t>팔거역 대구마사지엔 헤스티아 예약</t>
  </si>
  <si>
    <t>북구 대구마사지엔 헤스티아 피부관리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</si>
  <si>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4.[*구마사지엔 헤스티아]플레이스를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{ㅇㅇㅈ}
정답 : &lt;3&gt; 글자
* 정답란에 띄어쓰기 없이 입력 후 제출해주세요.</t>
  </si>
  <si>
    <t>운암지</t>
  </si>
  <si>
    <t xml:space="preserve">        부산상속포기 법무사허성엽사무소</t>
  </si>
  <si>
    <t>연제구 법무사허성엽사무소</t>
  </si>
  <si>
    <t>거제동 법무사허성엽사무소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</si>
  <si>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{ㅊㅈㄱㅇㅅㅅㄷ}
정답 : &lt;7&gt; 글자
* 정답란에 띄어쓰기 없이 입력 후 제출해주세요.</t>
  </si>
  <si>
    <t>천주교연산성당</t>
  </si>
  <si>
    <t xml:space="preserve">        부산한정승인 법무사허성엽사무소</t>
  </si>
  <si>
    <t>부산 법무사허성엽사무소 예약</t>
  </si>
  <si>
    <t>부산 법무사허성엽사무소 민사소송</t>
  </si>
  <si>
    <t>울산 중구 헬스장 빵터짐 반구점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</si>
  <si>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4.[*터짐 반구점]플레이스를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{ㅎㅇㄹㄱㅇ}
정답 : &lt;5&gt; 글자
* 정답란에 띄어쓰기 없이 입력 후 제출해주세요.</t>
  </si>
  <si>
    <t>*터짐 반구점</t>
  </si>
  <si>
    <t>https://m.place.naver.com/place/1984362977/home?entry=pll&amp;bk_query=</t>
  </si>
  <si>
    <t>울산 빵터짐 반구점 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</si>
  <si>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4.[*터짐 반구점]플레이스를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{ㅂㅅㅅㄷ}
정답 : &lt;4&gt; 글자
* 정답란에 띄어쓰기 없이 입력 후 제출해주세요.</t>
  </si>
  <si>
    <t>복산성당</t>
  </si>
  <si>
    <t>울산 빵터짐 반구점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</si>
  <si>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4.[*터짐 반구점]플레이스를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{ㅂㅇㅁㅊㄱㄹ}
정답 : &lt;6&gt; 글자
* 정답란에 띄어쓰기 없이 입력 후 제출해주세요.</t>
  </si>
  <si>
    <t>병영막창거리</t>
  </si>
  <si>
    <t>창원 서상동 보청기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</si>
  <si>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4.[*준열보청기 청각언어센터 창원]플레이스를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{ㄱㅅㅂㄱㅇ}
정답 : &lt;5&gt; 글자
* 정답란에 띄어쓰기 없이 입력 후 제출해주세요.</t>
  </si>
  <si>
    <t>구슬비공원</t>
  </si>
  <si>
    <t>*준열보청기 청각언어센터 창원</t>
  </si>
  <si>
    <t>https://m.place.naver.com/place/1996950757/home</t>
  </si>
  <si>
    <t>창원 보청기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</si>
  <si>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4.[*준열보청기 청각언어센터 창원]플레이스를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{ㄱㄹㅅ}
정답 : &lt;3&gt; 글자
* 정답란에 띄어쓰기 없이 입력 후 제출해주세요.</t>
  </si>
  <si>
    <t>구룡사</t>
  </si>
  <si>
    <t>홍천 팔봉리 비발디파크 렌탈샵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</si>
  <si>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 스키야놀자]플레이스를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{ㄴㅇㄱ}
정답 : &lt;3&gt; 글자
* 정답란에 띄어쓰기 없이 입력 후 제출해주세요.</t>
  </si>
  <si>
    <t>노일강</t>
  </si>
  <si>
    <t>*발디파크 렌탈샵 스키야놀자</t>
  </si>
  <si>
    <t>https://m.place.naver.com/place/1866926425</t>
  </si>
  <si>
    <t>홍천 팔봉리 렌탈샵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</si>
  <si>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 스키야놀자]플레이스를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{ㄱㅎㅅ}
정답 : &lt;3&gt; 글자
* 정답란에 띄어쓰기 없이 입력 후 제출해주세요.</t>
  </si>
  <si>
    <t>홍천 팔봉리 스키 렌탈샵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</si>
  <si>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 스키야놀자]플레이스를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{ㅎㅊㄱ}
정답 : &lt;3&gt; 글자
* 정답란에 띄어쓰기 없이 입력 후 제출해주세요.</t>
  </si>
  <si>
    <t>홍천 팔봉리 렌탈샵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</si>
  <si>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 스키야놀자]플레이스를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{ㄴㄷㅅㅇ}
정답 : &lt;4&gt; 글자
* 정답란에 띄어쓰기 없이 입력 후 제출해주세요.</t>
  </si>
  <si>
    <t>홍천 팔봉리 렌탈샵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</si>
  <si>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 스키야놀자]플레이스를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{ㅍㅂㅅㄱㄱㅈ}
정답 : &lt;6&gt; 글자
* 정답란에 띄어쓰기 없이 입력 후 제출해주세요.</t>
  </si>
  <si>
    <t>3월 세팅 완~ 3/1</t>
  </si>
  <si>
    <t>불당동 닭구이 이자카야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</si>
  <si>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4.[*사카데스 천안신불당점]플레이스를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{ㅇㅂㅅ}
정답 : &lt;3&gt; 글자
* 정답란에 띄어쓰기 없이 입력 후 제출해주세요.</t>
  </si>
  <si>
    <t>*사카데스 천안신불당점</t>
  </si>
  <si>
    <t>https://m.place.naver.com/restaurant/2057265033</t>
  </si>
  <si>
    <t>불당동 닭구이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</si>
  <si>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4.[*사카데스 천안신불당점]플레이스를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{ㅂㅅㅅ}
정답 : &lt;3&gt; 글자
* 정답란에 띄어쓰기 없이 입력 후 제출해주세요.</t>
  </si>
  <si>
    <t>불당동 일식 닭구이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</si>
  <si>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4.[*사카데스 천안신불당점]플레이스를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{ㅇㄱㄱㅇ}
정답 : &lt;4&gt; 글자
* 정답란에 띄어쓰기 없이 입력 후 제출해주세요.</t>
  </si>
  <si>
    <t>용곡공원</t>
  </si>
  <si>
    <t>부산 부전동 보컬학원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</si>
  <si>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4.[*옥타브장인 보컬학원 부산점]플레이스를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{ㄷㅊㅁㅎㅎ}
정답 : &lt;5&gt; 글자
* 정답란에 띄어쓰기 없이 입력 후 제출해주세요.</t>
  </si>
  <si>
    <t>동천문화홀</t>
  </si>
  <si>
    <t>*옥타브장인 보컬학원 부산점</t>
  </si>
  <si>
    <t>https://m.place.naver.com/place/1180400950</t>
  </si>
  <si>
    <t>부산 부전동 보컬학원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</si>
  <si>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4.[*옥타브장인 보컬학원 부산점]플레이스를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{ㄱㄹㅅ}
정답 : &lt;3&gt; 글자
* 정답란에 띄어쓰기 없이 입력 후 제출해주세요.</t>
  </si>
  <si>
    <t>서면역 보컬학원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</si>
  <si>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4.[*옥타브장인 보컬학원 부산점]플레이스를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{ㅅㅅㅎㄱㅈ}
정답 : &lt;5&gt; 글자
* 정답란에 띄어쓰기 없이 입력 후 제출해주세요.</t>
  </si>
  <si>
    <t>송상현광장</t>
  </si>
  <si>
    <t>https://m.place.naver.com/restaurant/1908947901/home?entry=pll&amp;bk_query=%EC%88%A8%EC%9D%80%EC%A7%91</t>
  </si>
  <si>
    <t>반월당역 바질파스타 맛집</t>
  </si>
  <si>
    <t>대구 봉산동 스테이크</t>
  </si>
  <si>
    <t>대구 봉산동 파스타</t>
  </si>
  <si>
    <t>대구 봉산동 피자</t>
  </si>
  <si>
    <t>광안리 브런치 카페</t>
  </si>
  <si>
    <t>수영구 데이트 카페</t>
  </si>
  <si>
    <t>청주 상당구 꽃집</t>
  </si>
  <si>
    <t>청주 상당구 꽃배달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</si>
  <si>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4.[*경숙플라워]플레이스를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{ㅅㄷㄱㅇ}
정답 : &lt;4&gt; 글자
* 정답란에 띄어쓰기 없이 입력 후 제출해주세요.</t>
  </si>
  <si>
    <t>상당공원</t>
  </si>
  <si>
    <t>청주 상당구 꽃집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</si>
  <si>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4.[*경숙플라워]플레이스를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{ㅁㅅㅊㄲㅈㅇ}
정답 : &lt;6&gt; 글자
* 정답란에 띄어쓰기 없이 입력 후 제출해주세요.</t>
  </si>
  <si>
    <t>무심천꽃정원</t>
  </si>
  <si>
    <t>수영구 고등어봉초밥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</si>
  <si>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4.[*치가]플레이스를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{ㅎㅇㄱㄹㄱㅇ}
정답 : &lt;6&gt; 글자
* 정답란에 띄어쓰기 없이 입력 후 제출해주세요.</t>
  </si>
  <si>
    <t>수영구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</si>
  <si>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4.[*치가]플레이스를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{ㄱㅇㅅㄷ}
정답 : &lt;4&gt; 글자
* 정답란에 띄어쓰기 없이 입력 후 제출해주세요.</t>
  </si>
  <si>
    <t>혜화동 쭈꾸미요리</t>
  </si>
  <si>
    <t>혜화동 쭈꾸미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</si>
  <si>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 쭈꾸미 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{ㄱㄱㅇㅈㅅㅅㅂㄱ}
정답 : &lt;8&gt; 글자
* 정답란에 띄어쓰기 없이 입력 후 제출해주세요.</t>
  </si>
  <si>
    <t>구공업전습소본관</t>
  </si>
  <si>
    <t>혜화역 쭈꾸미 맛집</t>
  </si>
  <si>
    <t>종로구 쭈꾸미 맛집</t>
  </si>
  <si>
    <t>혜화 쭈꾸미 맛집 추천</t>
  </si>
  <si>
    <t>02월 09일 마감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</si>
  <si>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"www.bantg.co.kr"을 찾아주세요.
5. "No.1 반티지│반티제작│축구반티│야구반티│농구반티"를 클릭해주세요.
6. 사이트 방문 후 제일 하단 '사업자정보확인'을 클릭해주세요.
7. [ 힌트 ] 를 보고 정답을 찾아주세요.
8. 초성힌트 : [ 법인명(상호): OOOO ]
정답 : &lt;4&gt;  글자
* 정답란에 - 포함하여 띄어쓰기 없이 입력 후 제출해주세요.</t>
  </si>
  <si>
    <t>koE</t>
  </si>
  <si>
    <t>가평 펜션 북스테이 서담숲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</si>
  <si>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4.[**테이 서담숲]플레이스를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{ㅅㅇㅅㅎㅊㅇㄱㅇ}
정답 : &lt;8&gt; 글자
* 정답란에 띄어쓰기 없이 입력 후 제출해주세요.</t>
  </si>
  <si>
    <t>설악생활체육공원</t>
  </si>
  <si>
    <t>**테이 서담숲</t>
  </si>
  <si>
    <t>https://m.place.naver.com/accommodation/1448776961/home?businessCategory=pension</t>
  </si>
  <si>
    <t>가평 북스테이 서담숲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</si>
  <si>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4.[**테이 서담숲]플레이스를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{ㅁㅇㅅㄷ}
정답 : &lt;4&gt; 글자
* 정답란에 띄어쓰기 없이 입력 후 제출해주세요.</t>
  </si>
  <si>
    <t>미원성당</t>
  </si>
  <si>
    <t>가평 북스테이 서담숲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</si>
  <si>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4.[**테이 서담숲]플레이스를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{ㅂㄹㅅ}
정답 : &lt;3&gt; 글자
* 정답란에 띄어쓰기 없이 입력 후 제출해주세요.</t>
  </si>
  <si>
    <t>보리산</t>
  </si>
  <si>
    <t>동명항맛집 팔도대게찜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</si>
  <si>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4.[*도대게찜]플레이스를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{ㄷㄷㅎㅅㅇㅈ}
정답 : &lt;6&gt; 글자
* 정답란에 띄어쓰기 없이 입력 후 제출해주세요.</t>
  </si>
  <si>
    <t>등대해수욕장</t>
  </si>
  <si>
    <t>동명항 팔도대게찜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</si>
  <si>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4.[*도대게찜]플레이스를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{ㅇㄹㅎㅅㄱㅇ}
정답 : &lt;6&gt; 글자
* 정답란에 띄어쓰기 없이 입력 후 제출해주세요.</t>
  </si>
  <si>
    <t>영랑호수공원</t>
  </si>
  <si>
    <t>동명항 팔도대게찜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</si>
  <si>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4.[*도대게찜]플레이스를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{ㄱㅇㅎㅅㅇㅈ}
정답 : &lt;6&gt; 글자
* 정답란에 띄어쓰기 없이 입력 후 제출해주세요.</t>
  </si>
  <si>
    <t>간이해수욕장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</si>
  <si>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4.[*도대게찜]플레이스를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{ㅇㅂㅇㅁㅇ}
정답 : &lt;5&gt; 글자
* 정답란에 띄어쓰기 없이 입력 후 제출해주세요.</t>
  </si>
  <si>
    <t>아바이마을</t>
  </si>
  <si>
    <t>속초 팔도대게찜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</si>
  <si>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4.[*도대게찜]플레이스를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{ㅂㄱㅅ}
정답 : &lt;3&gt; 글자
* 정답란에 띄어쓰기 없이 입력 후 제출해주세요.</t>
  </si>
  <si>
    <t>보광사</t>
  </si>
  <si>
    <t>속초 팔도대게찜 세트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</si>
  <si>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4.[*도대게찜]플레이스를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{ㄷㄱㅈㄱㅁ}
정답 : &lt;5&gt; 글자
* 정답란에 띄어쓰기 없이 입력 후 제출해주세요.</t>
  </si>
  <si>
    <t>닭강정골목</t>
  </si>
  <si>
    <t>진량읍 숯불고기 맛집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</si>
  <si>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[*설의숯불고기 하양진량본점]플레이스를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</si>
  <si>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영통구 네일왁싱샵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</si>
  <si>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4.[*더블유 네일왁싱]플레이스를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{ㅊㅁㅅ}
정답 : &lt;3&gt; 글자
* 정답란에 띄어쓰기 없이 입력 후 제출해주세요.</t>
  </si>
  <si>
    <t>청명산</t>
  </si>
  <si>
    <t>*더블유 네일왁싱</t>
  </si>
  <si>
    <t>https://m.place.naver.com/nailshop/1454353978/home?entry=plt</t>
  </si>
  <si>
    <t>https://docs.google.com/spreadsheets/d/1l5wwiDo8DOa1tIICVeLYTUQiVxV0HgSPP8_GaeSVbFA/edit?gid=176858898#gid=176858898</t>
  </si>
  <si>
    <t>영통역 네일왁싱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</si>
  <si>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4.[*더블유 네일왁싱]플레이스를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{ㅇㄹㅅ}
정답 : &lt;3&gt; 글자
* 정답란에 띄어쓰기 없이 입력 후 제출해주세요.</t>
  </si>
  <si>
    <t>아람산</t>
  </si>
  <si>
    <t>창곡동 실내골프연습장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</si>
  <si>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4.[*례 골프온]플레이스를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{ㅇㄹㅎㅅㄱㅇ}
정답 : &lt;6&gt; 글자
* 정답란에 띄어쓰기 없이 입력 후 제출해주세요.</t>
  </si>
  <si>
    <t>위례호수공원</t>
  </si>
  <si>
    <t>*례 골프온</t>
  </si>
  <si>
    <t>https://m.place.naver.com/place/1299793618/home</t>
  </si>
  <si>
    <t>창곡동 실내골프연습장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</si>
  <si>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4.[*례 골프온]플레이스를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{ㅈㅈㅊ}
정답 : &lt;3&gt; 글자
* 정답란에 띄어쓰기 없이 입력 후 제출해주세요.</t>
  </si>
  <si>
    <t>장지천</t>
  </si>
  <si>
    <t>수정구 실내골프연습장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</si>
  <si>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4.[*례 골프온]플레이스를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{ㄷㅇㅅ}
정답 : &lt;3&gt; 글자
* 정답란에 띄어쓰기 없이 입력 후 제출해주세요.</t>
  </si>
  <si>
    <t>대구 인테리어필름 발라드림 인테리어필름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</si>
  <si>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4.[*라드림 인테리어필름]플레이스를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{ㅁㅎㅊ}
정답 : &lt;3&gt; 글자
* 정답란에 띄어쓰기 없이 입력 후 제출해주세요.</t>
  </si>
  <si>
    <t>매호천</t>
  </si>
  <si>
    <t>*라드림 인테리어필름</t>
  </si>
  <si>
    <t>https://m.place.naver.com/place/1291160196/home?entry=pll&amp;bk_query=</t>
  </si>
  <si>
    <t>대구 발라드림 인테리어필름 띠벽지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</si>
  <si>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4.[*라드림 인테리어필름]플레이스를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{ㅁㅎㄱㅇ}
정답 : &lt;4&gt; 글자
* 정답란에 띄어쓰기 없이 입력 후 제출해주세요.</t>
  </si>
  <si>
    <t>매호공원</t>
  </si>
  <si>
    <t>대구 발라드림 인테리어필름 시트지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</si>
  <si>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4.[*라드림 인테리어필름]플레이스를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{ㄱㅅㅅㄷ}
정답 : &lt;4&gt; 글자
* 정답란에 띄어쓰기 없이 입력 후 제출해주세요.</t>
  </si>
  <si>
    <t>고산서당</t>
  </si>
  <si>
    <t>신내역 가정의학과</t>
  </si>
  <si>
    <t>신내동 가정의학과 예약</t>
  </si>
  <si>
    <t>광안동 브런치카페</t>
  </si>
  <si>
    <t>수영구 브런치카페 맛집</t>
  </si>
  <si>
    <t>광안동 데이트 카페 추천</t>
  </si>
  <si>
    <t>광안동 애견동반 브런치 카페</t>
  </si>
  <si>
    <t>수영구 오션뷰 카페</t>
  </si>
  <si>
    <t>고잔동 오뎅탕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</si>
  <si>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4.[*군로바다야끼 고잔점]플레이스를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{ㅇㅅㅍㅅㅌㅇ}
정답 : &lt;6&gt; 글자
* 정답란에 띄어쓰기 없이 입력 후 제출해주세요.</t>
  </si>
  <si>
    <t>안산패션타운</t>
  </si>
  <si>
    <t>고잔동 소고기 타다끼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</si>
  <si>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4.[*군로바다야끼 고잔점]플레이스를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{ㄷㅂㅁㄱㅇ}
정답 : &lt;5&gt; 글자
* 정답란에 띄어쓰기 없이 입력 후 제출해주세요.</t>
  </si>
  <si>
    <t>고잔동 이자카야 우니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</si>
  <si>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4.[*군로바다야끼 고잔점]플레이스를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{ㅇㅅㅎㅅㄱㅇ}
정답 : &lt;6&gt; 글자
* 정답란에 띄어쓰기 없이 입력 후 제출해주세요.</t>
  </si>
  <si>
    <t>안산호수공원</t>
  </si>
  <si>
    <t>광교중앙역 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</si>
  <si>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4.[*교경옥당한의원]플레이스를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{ㅇㅇㄱㅇ}
정답 : &lt;4&gt; 글자
* 정답란에 띄어쓰기 없이 입력 후 제출해주세요.</t>
  </si>
  <si>
    <t>연암공원</t>
  </si>
  <si>
    <t>*교경옥당한의원</t>
  </si>
  <si>
    <t>https://m.place.naver.com/hospital/1473366992/home?entry=pll</t>
  </si>
  <si>
    <t>https://docs.google.com/spreadsheets/d/1fLqcepSsSDhdTY41wTZIzkGVgVOaHiwNK2gD9WF2h3s/edit?gid=1206520830#gid=1206520830</t>
  </si>
  <si>
    <t>광교중앙역 한의원 추천</t>
  </si>
  <si>
    <t>광교중앙역 한의원 예약</t>
  </si>
  <si>
    <t>이의동 한의원 공진단</t>
  </si>
  <si>
    <t>이의동 한의원 추천</t>
  </si>
  <si>
    <t>신장동 한의원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</si>
  <si>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4.[*담한의원 하남]플레이스를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{ㅅㅂㅅ}
정답 : &lt;3&gt; 글자
* 정답란에 띄어쓰기 없이 입력 후 제출해주세요.</t>
  </si>
  <si>
    <t>선법사</t>
  </si>
  <si>
    <t>*담한의원 하남</t>
  </si>
  <si>
    <t>https://m.place.naver.com/hospital/19531226/home?entry=pll</t>
  </si>
  <si>
    <t>신장동 한의원 진료</t>
  </si>
  <si>
    <t>하남시청역 한의원 공휴일</t>
  </si>
  <si>
    <t>하남시청역 한의원 재활의학과</t>
  </si>
  <si>
    <t>하남시청역 소아 한의원</t>
  </si>
  <si>
    <t>신림동 한의원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</si>
  <si>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4.[*아한의원 관악]플레이스를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{ㅂㄹㅁㄱㅇ}
정답 : &lt;5&gt; 글자
* 정답란에 띄어쓰기 없이 입력 후 제출해주세요.</t>
  </si>
  <si>
    <t>*아한의원 관악</t>
  </si>
  <si>
    <t>https://m.place.naver.com/hospital/1175081372/home?entry=pll</t>
  </si>
  <si>
    <t>신림동 한의원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</si>
  <si>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4.[*아한의원 관악]플레이스를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{ㅂㄹㅁㄱㅇㅎㅅ}
정답 : &lt;7&gt; 글자
* 정답란에 띄어쓰기 없이 입력 후 제출해주세요.</t>
  </si>
  <si>
    <t>보라매공원호수</t>
  </si>
  <si>
    <t>신림동 교통사고 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</si>
  <si>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4.[*아한의원 관악]플레이스를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{ㅁㄹㅅ}
정답 : &lt;3&gt; 글자
* 정답란에 띄어쓰기 없이 입력 후 제출해주세요.</t>
  </si>
  <si>
    <t>명락사</t>
  </si>
  <si>
    <t>신림역 한방재활의학과 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</si>
  <si>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4.[*아한의원 관악]플레이스를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{ㅇㅊㅅ}
정답 : &lt;3&gt; 글자
* 정답란에 띄어쓰기 없이 입력 후 제출해주세요.</t>
  </si>
  <si>
    <t>용천사</t>
  </si>
  <si>
    <t>신림역 소아 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</si>
  <si>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4.[*아한의원 관악]플레이스를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{ㄷㅎㄱㅇ}
정답 : &lt;4&gt; 글자
* 정답란에 띄어쓰기 없이 입력 후 제출해주세요.</t>
  </si>
  <si>
    <t>도화공원</t>
  </si>
  <si>
    <t>https://docs.google.com/spreadsheets/d/1UtzXaGdqkyvu6_seI5isjJ-7daxRNfXbIF0GhXernGA/edit?usp=sharing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</si>
  <si>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{ㅊㅈㄱㅅㅊㄷㅅㄷ}
정답 : &lt;8&gt; 글자
* 정답란에 띄어쓰기 없이 입력 후 제출해주세요.</t>
  </si>
  <si>
    <t>천주교신천동성당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</si>
  <si>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{ㅅㅇㅂㅇㄷㄱㅂㄱ}
정답 : &lt;8&gt; 글자
* 정답란에 띄어쓰기 없이 입력 후 제출해주세요.</t>
  </si>
  <si>
    <t>서울방이동고분군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</si>
  <si>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{ㅁㅇㅁㄷㄱㅇ}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</si>
  <si>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{ㅅㅇㅅㅊㄷㄱㅂㄱ}
정답 : &lt;8&gt; 글자
* 정답란에 띄어쓰기 없이 입력 후 제출해주세요.</t>
  </si>
  <si>
    <t>서울석촌동고분군</t>
  </si>
  <si>
    <t>송리단길 디카페인 추천</t>
  </si>
  <si>
    <t>잠실 주차가능 케이크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</si>
  <si>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부천]플레이스를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{ㅅㄱㅊㄱㅇ}
정답 : &lt;5&gt; 글자
* 정답란에 띄어쓰기 없이 입력 후 제출해주세요.</t>
  </si>
  <si>
    <t>심곡천공원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</si>
  <si>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강남]플레이스를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{ㅁㄱㅎㄱㅇ}
정답 : &lt;5&gt; 글자
* 정답란에 띄어쓰기 없이 입력 후 제출해주세요.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</si>
  <si>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</si>
  <si>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https://m.search.naver.com/search.naver?sm=mtp_sug.top&amp;where=m&amp;query=파삼+못난이+6년근&amp;ackey=GUz9YSrA&amp;acq=전기+그릴&amp;acr=9&amp;qdt=0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</si>
  <si>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</si>
  <si>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https://m.search.naver.com/search.naver?sm=mtp_sug.top&amp;where=m&amp;query=산양삼+파삼&amp;ackey=GUz9YSrA&amp;acq=마스크팩+패치&amp;acr=1&amp;qdt=0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</si>
  <si>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</si>
  <si>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https://m.search.naver.com/search.naver?sm=mtp_sug.top&amp;where=m&amp;query=산양삼+못난이&amp;ackey=GUz9YSrA&amp;acq=영양제+비타민&amp;acr=3&amp;qdt=0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</si>
  <si>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</si>
  <si>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https://m.search.naver.com/search.naver?sm=mtp_sug.top&amp;where=m&amp;query=못난이+장뇌삼&amp;ackey=GUz9YSrA&amp;acq=푸른+주수&amp;acr=2&amp;qdt=0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</si>
  <si>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</si>
  <si>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https://m.search.naver.com/search.naver?sm=mtp_sug.top&amp;where=m&amp;query=못난이+30뿌리&amp;ackey=GUz9YSrA&amp;acq=용과+과일&amp;acr=7&amp;qdt=0</t>
  </si>
  <si>
    <t>02월 10일 마감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</si>
  <si>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</si>
  <si>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</si>
  <si>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</si>
  <si>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</si>
  <si>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418개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</si>
  <si>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*톡 *화 *자 *로 *애 *회 *마음 *야 *세 *딩 *전 *업 *밀 *명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</si>
  <si>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https://m.search.naver.com/search.naver?sm=mtp_sug.top&amp;where=m&amp;query=카톡타로+전화타로+연애운+재회+속마음+심야+비밀&amp;ackey=GUz9YSrA&amp;acq=행운부적&amp;acr=5&amp;qdt=0</t>
  </si>
  <si>
    <t>아윈</t>
  </si>
  <si>
    <t>https://smartstore.naver.com/arwin/products/12942461513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</si>
  <si>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*톡 *화 *자 *로 *애 *회 *마음 *야 *세 *딩 *전 *업 *밀 *명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</si>
  <si>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*톡 *화 *자 *로 *애 *회 *마음 *야 *세 *딩 *전 *업 *밀 *명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</si>
  <si>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*톡 *화 *자 *로 *애 *회 *마음 *야 *세 *딩 *전 *업 *밀 *명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</si>
  <si>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37개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</si>
  <si>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*톡 *화 *자 *로 *애 *회 *마음 *야 *세 *딩 *전 *업 *밀 *명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아윈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</si>
  <si>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구미 파인드미 헤어 미용실</t>
  </si>
  <si>
    <t>3월 세팅 완~3/16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</si>
  <si>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4.[*스테틱 인천청라점]플레이스를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{ㄱㅇㅅㄱㅇ}
정답 : &lt;5&gt; 글자
* 정답란에 띄어쓰기 없이 입력 후 제출해주세요.</t>
  </si>
  <si>
    <t>가원숲공원</t>
  </si>
  <si>
    <t>3월 세팅 완~3/13</t>
  </si>
  <si>
    <t>수영구 뭉티기 맛집</t>
  </si>
  <si>
    <t>금련산역 육회 맛집</t>
  </si>
  <si>
    <t>금련산역 뭉티기 맛집</t>
  </si>
  <si>
    <t>광안동 뭉티기 예약</t>
  </si>
  <si>
    <t>중랑구 허리통증 병원</t>
  </si>
  <si>
    <t>경주 황성동 소고기 정육점</t>
  </si>
  <si>
    <t>경주 황성동 정육점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</si>
  <si>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4.[*주축산물백화점]플레이스를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{ㅂㄹㅅ}
정답 : &lt;3&gt; 글자
* 정답란에 띄어쓰기 없이 입력 후 제출해주세요.</t>
  </si>
  <si>
    <t>백률사</t>
  </si>
  <si>
    <t>제주 연동 회 맛집</t>
  </si>
  <si>
    <t>제주 연동 횟집 추천</t>
  </si>
  <si>
    <t>고양 원흥동 구축물해체공사</t>
  </si>
  <si>
    <t>고양 원흥동 철거 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</si>
  <si>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4.[*성종합개발]플레이스를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{ㅅㅅㄱㅇ}
정답 : &lt;4&gt; 글자
* 정답란에 띄어쓰기 없이 입력 후 제출해주세요.</t>
  </si>
  <si>
    <t>세솔공원</t>
  </si>
  <si>
    <t>수원 권성동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</si>
  <si>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4.[*세현플란트치과의원]플레이스를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{ㅇㄱㄷㅅㄷ}
정답 : &lt;5&gt; 글자
* 정답란에 띄어쓰기 없이 입력 후 제출해주세요.</t>
  </si>
  <si>
    <t>인계동성당</t>
  </si>
  <si>
    <t>수원 권선구 충치치료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</si>
  <si>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4.[*세현플란트치과의원]플레이스를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{ㄱㅅㅈㅇㄱㅇ}
정답 : &lt;6&gt; 글자
* 정답란에 띄어쓰기 없이 입력 후 제출해주세요.</t>
  </si>
  <si>
    <t>권선중앙공원</t>
  </si>
  <si>
    <t>홍대 혼술 칵테일바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</si>
  <si>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{ㄱㅎㄷ}
정답 : &lt;3&gt; 글자
* 정답란에 띄어쓰기 없이 입력 후 제출해주세요.</t>
  </si>
  <si>
    <t>홍대 위스키바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</si>
  <si>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{ㅇㅇㅅ}
정답 : &lt;3&gt; 글자
* 정답란에 띄어쓰기 없이 입력 후 제출해주세요.</t>
  </si>
  <si>
    <t>와우산</t>
  </si>
  <si>
    <t>인천 엑스컴 광고대행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</si>
  <si>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{ㅅㄴㅁㄱㅇ}
정답 : &lt;5&gt; 글자
* 정답란에 띄어쓰기 없이 입력 후 제출해주세요.</t>
  </si>
  <si>
    <t>시냇물공원</t>
  </si>
  <si>
    <t>*스컴</t>
  </si>
  <si>
    <t>https://m.place.naver.com/place/2035702822/home</t>
  </si>
  <si>
    <t>인천 엑스컴 마케팅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</si>
  <si>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{ㅅㅌㄴㅇㄱㅇ}
정답 : &lt;6&gt; 글자
* 정답란에 띄어쓰기 없이 입력 후 제출해주세요.</t>
  </si>
  <si>
    <t>가락동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</si>
  <si>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4.[*디쌩쌩 신경외과의원]플레이스를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{ㅁㅈㄱㄹㄱㅇ}
정답 : &lt;6&gt; 글자
* 정답란에 띄어쓰기 없이 입력 후 제출해주세요.</t>
  </si>
  <si>
    <t>문정근린공원</t>
  </si>
  <si>
    <t>*디쌩쌩 신경외과의원</t>
  </si>
  <si>
    <t>https://m.place.naver.com/hospital/1562306405/home?entry=pll</t>
  </si>
  <si>
    <t>가락동 정형외과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</si>
  <si>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4.[*디쌩쌩 신경외과의원]플레이스를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{ㄷㄷㅁㄱㄹㄱㅇ}
정답 : &lt;7&gt; 글자
* 정답란에 띄어쓰기 없이 입력 후 제출해주세요.</t>
  </si>
  <si>
    <t>두데미근린공원</t>
  </si>
  <si>
    <t>송파가락동정형외과</t>
  </si>
  <si>
    <t>02월 11일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</si>
  <si>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*라겐 비*틴맥스 신*아 라*필 *린 *분자 3.*g x 15*포 *박스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</si>
  <si>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https://m.search.naver.com/search.naver?sm=mtp_sug.top&amp;where=m&amp;query=저분자+콜라겐+라이필&amp;ackey=mbauljxv&amp;acq=건강검진&amp;acr=2&amp;qdt=0</t>
  </si>
  <si>
    <t>LKoE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</si>
  <si>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*라겐 비*틴맥스 신*아 라*필 *린 *분자 3.*g x 15*포 *박스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</si>
  <si>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https://m.search.naver.com/search.naver?sm=mtp_sug.top&amp;where=m&amp;query=저분자+콜라겐+비오틴맥스&amp;ackey=mbauljxv&amp;acq=피부+가려움증&amp;acr=3&amp;qdt=0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</si>
  <si>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*라겐 비*틴맥스 신*아 라*필 *린 *분자 3.*g x 15*포 *박스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</si>
  <si>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https://m.search.naver.com/search.naver?sm=mtp_sug.top&amp;where=m&amp;query=저분자+콜라겐+신민아&amp;ackey=mbauljxv&amp;acq=운동+추천&amp;acr=5&amp;qdt=0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</si>
  <si>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*라겐 비*틴맥스 신*아 라*필 *린 *분자 3.*g x 15*포 *박스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</si>
  <si>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https://m.search.naver.com/search.naver?sm=mtp_sug.top&amp;where=m&amp;query=저분자+콜라겐+3박스&amp;ackey=mbauljxv&amp;acq=헬스+운동화&amp;acr=4&amp;qdt=0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</si>
  <si>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*라겐 비*틴맥스 신*아 라*필 *린 *분자 3.*g x 15*포 *박스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</si>
  <si>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https://m.search.naver.com/search.naver?sm=mtp_sug.top&amp;where=m&amp;query=저분자+콜라겐+150포&amp;ackey=mbauljxv&amp;acq=건강식품회사&amp;acr=3&amp;qdt=0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</si>
  <si>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*분자 *라겐 *그니처 1*3달톤 *저분자 *오틴 *민아 *린 *병 2*주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</si>
  <si>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https://m.search.naver.com/search.naver?sm=mtp_sug.top&amp;where=m&amp;query=저분자+콜라겐+더마&amp;ackey=mbauljxv&amp;acq=식품위생교육&amp;acr=3&amp;qdt=0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</si>
  <si>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*분자 *라겐 *그니처 1*3달톤 *저분자 *오틴 *민아 *린 *병 2*주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</si>
  <si>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https://m.search.naver.com/search.naver?sm=mtp_sug.top&amp;where=m&amp;query=저분자+콜라겐+초저분자&amp;ackey=mbauljxv&amp;acq=음식물+분쇄기&amp;acr=5&amp;qdt=0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</si>
  <si>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*분자 *라겐 *그니처 1*3달톤 *저분자 *오틴 *민아 *린 *병 2*주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</si>
  <si>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https://m.search.naver.com/search.naver?sm=mtp_sug.top&amp;where=m&amp;query=저분자+콜라겐+신민아&amp;ackey=mbauljxv&amp;acq=피부+곰팡이균&amp;acr=6&amp;qdt=0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</si>
  <si>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*분자 *라겐 *그니처 1*3달톤 *저분자 *오틴 *민아 *린 *병 2*주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</si>
  <si>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https://m.search.naver.com/search.naver?sm=mtp_sug.top&amp;where=m&amp;query=저분자+콜라겐+어린+6병&amp;ackey=mbauljxv&amp;acq=체형교정&amp;acr=2&amp;qdt=0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</si>
  <si>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*분자 *라겐 *그니처 1*3달톤 *저분자 *오틴 *민아 *린 *병 2*주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</si>
  <si>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https://m.search.naver.com/search.naver?sm=mtp_sug.top&amp;where=m&amp;query=저분자+콜라겐+24주&amp;ackey=mbauljxv&amp;acq=건강관리협회&amp;acr=4&amp;qdt=0</t>
  </si>
  <si>
    <t>oEL</t>
  </si>
  <si>
    <t>3월 세팅 완~ 3/3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</si>
  <si>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</si>
  <si>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3월 세팅 완~ 3/17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</si>
  <si>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</si>
  <si>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</si>
  <si>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</si>
  <si>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</si>
  <si>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부산 서면 맥북 수리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</si>
  <si>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4.[*산아이폰수리 아이유턴]플레이스를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{ㅅㅅㅎㄱㅈ}
정답 : &lt;5&gt; 글자
* 정답란에 띄어쓰기 없이 입력 후 제출해주세요.</t>
  </si>
  <si>
    <t>*산아이폰수리 아이유턴</t>
  </si>
  <si>
    <t>https://m.place.naver.com/place/37585977/home?entry=pll</t>
  </si>
  <si>
    <t>부산 서면 아이폰 수리</t>
  </si>
  <si>
    <t>부산 부전동 맥북 수리</t>
  </si>
  <si>
    <t>서면역 아이패드 수리</t>
  </si>
  <si>
    <t>서면역 아이폰 수리</t>
  </si>
  <si>
    <t>강남 전시 행사 대행 한강메쎄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</si>
  <si>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4.[*강메쎄]플레이스를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{ㄱㄴㅇㄱㄹ}
정답 : &lt;5&gt; 글자
* 정답란에 띄어쓰기 없이 입력 후 제출해주세요.</t>
  </si>
  <si>
    <t>강남역거리</t>
  </si>
  <si>
    <t>*강메쎄</t>
  </si>
  <si>
    <t>https://m.place.naver.com/place/1326474050/home?entry=pll&amp;bk_query=</t>
  </si>
  <si>
    <t>논현동 한강메쎄 전시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</si>
  <si>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4.[*강메쎄]플레이스를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{ㅇㄱㅂㄱㅇ}
정답 : &lt;5&gt; 글자
* 정답란에 띄어쓰기 없이 입력 후 제출해주세요.</t>
  </si>
  <si>
    <t>서울 한강메쎄 전시기획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</si>
  <si>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4.[*강메쎄]플레이스를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{ㄴㅎㄷㄱㄱㄱㄹ}
정답 : &lt;7&gt; 글자
* 정답란에 띄어쓰기 없이 입력 후 제출해주세요.</t>
  </si>
  <si>
    <t>신곡동 유영스파&amp;테라피 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</si>
  <si>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4.[*영스파&amp;테라피]플레이스를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{ㅊㅈㄱㅎㅇㄷㅅㄷ}
정답 : &lt;8&gt; 글자
* 정답란에 띄어쓰기 없이 입력 후 제출해주세요.</t>
  </si>
  <si>
    <t>천주교호원동성당</t>
  </si>
  <si>
    <t>의정부 유영스파&amp;테라피 체형관리</t>
  </si>
  <si>
    <t>봉담 pc방 크라우드PC 화성봉담점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</si>
  <si>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4.[*라우드PC 화성봉담점]플레이스를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{ㅅㅇㄷㅎㄱ}
정답 : &lt;5&gt; 글자
* 정답란에 띄어쓰기 없이 입력 후 제출해주세요.</t>
  </si>
  <si>
    <t>*라우드PC 화성봉담점</t>
  </si>
  <si>
    <t>https://m.place.naver.com/place/1286875294/home?entry=pll</t>
  </si>
  <si>
    <t>봉담읍 크라우드PC 화성봉담점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</si>
  <si>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4.[*라우드PC 화성봉담점]플레이스를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{ㄱㅂㅇㅅㄱㅇ}
정답 : &lt;6&gt; 글자
* 정답란에 띄어쓰기 없이 입력 후 제출해주세요.</t>
  </si>
  <si>
    <t>효행구 크라우드PC 화성봉담점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</si>
  <si>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4.[*라우드PC 화성봉담점]플레이스를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{ㅎㅂㅅ}
정답 : &lt;3&gt; 글자
* 정답란에 띄어쓰기 없이 입력 후 제출해주세요.</t>
  </si>
  <si>
    <t>3월 세팅 완~3/14</t>
  </si>
  <si>
    <t>홍천 비발디파크렌탈샵 스키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</si>
  <si>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 스키야놀자]플레이스를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{ㄴㅇㄱ }
정답 : &lt;3&gt; 글자
* 정답란에 띄어쓰기 없이 입력 후 제출해주세요.</t>
  </si>
  <si>
    <t>https://m.place.naver.com/place/1866926425/home</t>
  </si>
  <si>
    <t>홍천 서면 비발디파크렌탈샵 스키</t>
  </si>
  <si>
    <t>홍천 서면 비발디파크렌탈샵 스키 강습</t>
  </si>
  <si>
    <t>홍천 서면 비발디파크렌탈샵 리프트권</t>
  </si>
  <si>
    <t>홍천 팔봉리 비발디파크렌탈샵</t>
  </si>
  <si>
    <t>방이동술집 이자카야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</si>
  <si>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{ㅅㅍㄴㄹㄱㅇ}
정답 : &lt;6&gt; 글자
* 정답란에 띄어쓰기 없이 입력 후 제출해주세요.</t>
  </si>
  <si>
    <t>*뽀 방이점</t>
  </si>
  <si>
    <t>https://m.place.naver.com/restaurant/1228268834/home?entry=pll&amp;bk_query=%EB%B0%A9%EC%9D%B4%EB%8F%99%20%EC%88%A0%EC%A7%91</t>
  </si>
  <si>
    <t>방이동술집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</si>
  <si>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{ㅅㅊㅎㅅ}
정답 : &lt;4&gt; 글자
* 정답란에 띄어쓰기 없이 입력 후 제출해주세요.</t>
  </si>
  <si>
    <t>방이동술집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</si>
  <si>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{ㅂㄱㅅ}
정답 : &lt;3&gt; 글자
* 정답란에 띄어쓰기 없이 입력 후 제출해주세요.</t>
  </si>
  <si>
    <t>방이동술집 단체석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</si>
  <si>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{ㅍㅎㅇㄱㅈ}
정답 : &lt;5&gt; 글자
* 정답란에 띄어쓰기 없이 입력 후 제출해주세요.</t>
  </si>
  <si>
    <t>방이동 일식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</si>
  <si>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{ㅅㅍㄱㄹㄱㅇ}
정답 : &lt;6&gt; 글자
* 정답란에 띄어쓰기 없이 입력 후 제출해주세요.</t>
  </si>
  <si>
    <t>잠실새내술집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</si>
  <si>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잠실새내점]플레이스를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{ㅌㅊ}
정답 : &lt;2&gt; 글자
* 정답란에 띄어쓰기 없이 입력 후 제출해주세요.</t>
  </si>
  <si>
    <t>탄천</t>
  </si>
  <si>
    <t>*뽀 잠실새내점</t>
  </si>
  <si>
    <t>https://m.place.naver.com/restaurant/1506795911/home?entry=pll&amp;bk_query=%EC%9E%A0%EC%8B%A4%EC%83%88%EB%82%B4%EC%88%A0%EC%A7%91</t>
  </si>
  <si>
    <t>잠실새내술집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</si>
  <si>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잠실새내점]플레이스를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{ㅅㅈㄱㄹㄱㅇ}
정답 : &lt;6&gt; 글자
* 정답란에 띄어쓰기 없이 입력 후 제출해주세요.</t>
  </si>
  <si>
    <t>삼전근린공원</t>
  </si>
  <si>
    <t>잠실새내술집 모츠나베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</si>
  <si>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잠실새내점]플레이스를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{ㅁㄹㄱㅇ}
정답 : &lt;4&gt; 글자
* 정답란에 띄어쓰기 없이 입력 후 제출해주세요.</t>
  </si>
  <si>
    <t>마루공원</t>
  </si>
  <si>
    <t>잠실새내술집 사시미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</si>
  <si>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잠실새내점]플레이스를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{ㄷㅈㄱㅇ}
정답 : &lt;4&gt; 글자
* 정답란에 띄어쓰기 없이 입력 후 제출해주세요.</t>
  </si>
  <si>
    <t>대진공원</t>
  </si>
  <si>
    <t>광안리술집 오코노미야키</t>
  </si>
  <si>
    <t>광안리술집 오코노미야키 맛집</t>
  </si>
  <si>
    <t>광안리술집 나베</t>
  </si>
  <si>
    <t>광안리술집 나베 맛집</t>
  </si>
  <si>
    <t>광안리술집 이자카야 타다끼</t>
  </si>
  <si>
    <t>성북구 청소대행 상가</t>
  </si>
  <si>
    <t>성북구 청소대행 병원</t>
  </si>
  <si>
    <t>인천 보컬학원 옥타브 레슨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</si>
  <si>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4.[**타브장인보컬학원 인천점]플레이스를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{ㅂㅇㄱㅇ}
정답 : &lt;4&gt; 글자
* 정답란에 띄어쓰기 없이 입력 후 제출해주세요.</t>
  </si>
  <si>
    <t>**타브장인보컬학원 인천점</t>
  </si>
  <si>
    <t>https://m.place.naver.com/place/1836659015/home</t>
  </si>
  <si>
    <t>인천 보컬학원 트레이닝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</si>
  <si>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4.[**타브장인보컬학원 인천점]플레이스를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{ㅈㅂㄷㄱㅇ}
정답 : &lt;5&gt; 글자
* 정답란에 띄어쓰기 없이 입력 후 제출해주세요.</t>
  </si>
  <si>
    <t>중부동공원</t>
  </si>
  <si>
    <t>인천 보컬학원 트레이닝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</si>
  <si>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4.[**타브장인보컬학원 인천점]플레이스를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{ㅎㅁㅊㅇㄱㅇ}
정답 : &lt;6&gt; 글자
* 정답란에 띄어쓰기 없이 입력 후 제출해주세요.</t>
  </si>
  <si>
    <t>희망체육공원</t>
  </si>
  <si>
    <t>신부동 딸기생크림케이크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</si>
  <si>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4.[*츠커피하우스]플레이스를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{ㅆㅇㄱㅇ}
정답 : &lt;4&gt; 글자
* 정답란에 띄어쓰기 없이 입력 후 제출해주세요.</t>
  </si>
  <si>
    <t>*츠커피하우스</t>
  </si>
  <si>
    <t>https://m.place.naver.com/restaurant/1774204126/home?entry=plt</t>
  </si>
  <si>
    <t>신부동 초코케이크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</si>
  <si>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4.[*츠커피하우스]플레이스를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{ㅊㅎㅈ}
정답 : &lt;3&gt; 글자
* 정답란에 띄어쓰기 없이 입력 후 제출해주세요.</t>
  </si>
  <si>
    <t>천호지</t>
  </si>
  <si>
    <t>수원 영통 네일 왁싱샵</t>
  </si>
  <si>
    <t>영통역 네일 왁싱 추천</t>
  </si>
  <si>
    <t>영통구 네일 왁싱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</si>
  <si>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4.[*더블유 네일왁싱]플레이스를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{ㅇㅎㅅㄱㅇ}
정답 : &lt;5&gt; 글자
* 정답란에 띄어쓰기 없이 입력 후 제출해주세요.</t>
  </si>
  <si>
    <t>영흥숲공원</t>
  </si>
  <si>
    <t>수정구 실내 골프 연습장 레슨</t>
  </si>
  <si>
    <t>창곡동 실내 골프 연습장</t>
  </si>
  <si>
    <t>창곡동 실내 골프 연습장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</si>
  <si>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4.[*례 골프온]플레이스를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{ㅇㅈㄱㅇ}
정답 : &lt;4&gt; 글자
* 정답란에 띄어쓰기 없이 입력 후 제출해주세요.</t>
  </si>
  <si>
    <t>영장공원</t>
  </si>
  <si>
    <t>대전 서구 에어컨 청소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</si>
  <si>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4.[*전에어컨청소 세탁기청소 Y홈케어]플레이스를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{ㅇㅅㅅ}
정답 : &lt;3&gt; 글자
* 정답란에 띄어쓰기 없이 입력 후 제출해주세요.</t>
  </si>
  <si>
    <t>용수사</t>
  </si>
  <si>
    <t>*전에어컨청소 세탁기청소 Y홈케어</t>
  </si>
  <si>
    <t>https://m.place.naver.com/place/1288205142/home</t>
  </si>
  <si>
    <t>대전 에어컨 청소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</si>
  <si>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4.[*전에어컨청소 세탁기청소 Y홈케어]플레이스를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{ㅇㄷㅊ}
정답 : &lt;3&gt; 글자
* 정답란에 띄어쓰기 없이 입력 후 제출해주세요.</t>
  </si>
  <si>
    <t>유등천</t>
  </si>
  <si>
    <t>대전 천장형 에어컨 청소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</si>
  <si>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4.[*전에어컨청소 세탁기청소 Y홈케어]플레이스를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{ㅎㅇㅅ}
정답 : &lt;3&gt; 글자
* 정답란에 띄어쓰기 없이 입력 후 제출해주세요.</t>
  </si>
  <si>
    <t>화암사</t>
  </si>
  <si>
    <t>02월 12일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</si>
  <si>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[*시기념특가] *이홈 *오 모션 슬*이딩 패*릭 리클라*너 *파 아*보리, *인용</t>
    </r>
    <r>
      <rPr>
        <sz val="0"/>
        <color rgb="FFFF0000"/>
        <rFont val="Arial"/>
      </rPr>
      <t xml:space="preserve">
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</si>
  <si>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https://m.search.naver.com/search.naver?sm=mtp_sug.top&amp;where=m&amp;query=리클라이너+디오+4인용&amp;ackey=mbauljxv&amp;acq=가구&amp;acr=3&amp;qdhht=0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</si>
  <si>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[*시기념특가] *이홈 *오 모션 슬*이딩 패*릭 리클라*너 *파 아*보리, *인용</t>
    </r>
    <r>
      <rPr>
        <sz val="0"/>
        <color rgb="FFFF0000"/>
        <rFont val="Arial"/>
      </rPr>
      <t xml:space="preserve">
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</si>
  <si>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https://m.search.naver.com/search.naver?sm=mtp_sug.top&amp;where=m&amp;query=리클라이너+세이홈+패브릭&amp;ackey=mbauljxv&amp;acq=의자&amp;acr=4&amp;qdhht=0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</si>
  <si>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[*시기념특가] *이홈 *오 모션 슬*이딩 패*릭 리클라*너 *파 아*보리, *인용</t>
    </r>
    <r>
      <rPr>
        <sz val="0"/>
        <color rgb="FFFF0000"/>
        <rFont val="Arial"/>
      </rPr>
      <t xml:space="preserve">
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</si>
  <si>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https://m.search.naver.com/search.naver?sm=mtp_sug.top&amp;where=m&amp;query=리클라이너+디오+모션+슬라이딩&amp;ackey=mbauljxv&amp;acq=의자&amp;acr=6&amp;qdhht=0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</si>
  <si>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[*시기념특가] *이홈 *오 모션 슬*이딩 패*릭 리클라*너 *파 아*보리, *인용</t>
    </r>
    <r>
      <rPr>
        <sz val="0"/>
        <color rgb="FFFF0000"/>
        <rFont val="Arial"/>
      </rPr>
      <t xml:space="preserve">
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</si>
  <si>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https://m.search.naver.com/search.naver?sm=mtp_sug.top&amp;where=m&amp;query=리클라이너+아이보리+모션+슬라이딩&amp;ackey=mbauljxv&amp;acq=책상&amp;acr=7&amp;qdhht=0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</si>
  <si>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[*시기념특가] *이홈 *오 모션 슬*이딩 패*릭 리클라*너 *파 아*보리, *인용</t>
    </r>
    <r>
      <rPr>
        <sz val="0"/>
        <color rgb="FFFF0000"/>
        <rFont val="Arial"/>
      </rPr>
      <t xml:space="preserve">
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</si>
  <si>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https://m.search.naver.com/search.naver?sm=mtp_sug.top&amp;where=m&amp;query=리클라이너+디오+패브릭&amp;ackey=mbauljxv&amp;acq=인테리어&amp;acr=7&amp;qdhht=0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</si>
  <si>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"반티지 반티사이트-www.bantg.co.kr"을 찾아주세요.
5. "반티지 반티사이트 - 축구반티 야구반티 농구반티 체육대회 반티 제작 전문"를 클릭해주세요.
6. 사이트 방문 후 아래로 스크롤하여 "인기상품 - 핫한 상품 모음 "을 찾아주세요.
7. "축구반티 바르셀로나 홈 유니폼 4451"를 클릭해주세요.
8. 상단 주문 탭에서 "구매 안내"를 찾아주세요
9. [ 힌트 ] 를 보고 정답을 찾아주세요.
10. 초성힌트 : [ 10벌이상 OOOO 전용상품입니다.]
정답 : &lt;4&gt;  글자</t>
  </si>
  <si>
    <t>단체주문</t>
  </si>
  <si>
    <t>엘리시안 렌탈샵 엘리시안강촌 렌탈샵 스키강습 보드렌탈 스타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</si>
  <si>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4.[*리시안강촌 렌탈샵 스키강습 보드렌탈 스타]플레이스를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{ㅅㅇㅅ}
정답 : &lt;3&gt; 글자
* 정답란에 띄어쓰기 없이 입력 후 제출해주세요.</t>
  </si>
  <si>
    <t>상원사</t>
  </si>
  <si>
    <t>*리시안강촌 렌탈샵 스키강습 보드렌탈 스타</t>
  </si>
  <si>
    <t>https://m.place.naver.com/place/1040212899/home</t>
  </si>
  <si>
    <t>춘천 엘리시안강촌 렌탈샵 스키강습 보드렌탈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</si>
  <si>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4.[*리시안강촌 렌탈샵 스키강습 보드렌탈 스타]플레이스를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{ㅇㅇㅎㅇㅇㄷㅅ}
정답 : &lt;7&gt; 글자
* 정답란에 띄어쓰기 없이 입력 후 제출해주세요.</t>
  </si>
  <si>
    <t>의암호인어동상</t>
  </si>
  <si>
    <t>춘천 엘리시안강촌 렌탈샵 스키강습 보드렌탈 대여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</si>
  <si>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4.[*리시안강촌 렌탈샵 스키강습 보드렌탈 스타]플레이스를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{ㅂㄷㅅ}
정답 : &lt;3&gt; 글자
* 정답란에 띄어쓰기 없이 입력 후 제출해주세요.</t>
  </si>
  <si>
    <t>봉덕사</t>
  </si>
  <si>
    <t>광교중앙역 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</si>
  <si>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4.[*포트 해피치과의원]플레이스를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{ㅇㅇㄱㅇ}
정답 : &lt;4&gt; 글자
* 정답란에 띄어쓰기 없이 입력 후 제출해주세요.</t>
  </si>
  <si>
    <t>*포트 해피치과의원</t>
  </si>
  <si>
    <t>https://m.place.naver.com/hospital/1093410536/home?entry=pll</t>
  </si>
  <si>
    <t>광교중앙역 치과 예약</t>
  </si>
  <si>
    <t>광교중앙역 치과 추천</t>
  </si>
  <si>
    <t>이의동 소아 치과</t>
  </si>
  <si>
    <t>이의동 치과의원 예약</t>
  </si>
  <si>
    <t>제주 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</si>
  <si>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4.[*올레치과의원]플레이스를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{ㅎㅁㅇㄱㄹㄱㅇ}
정답 : &lt;7&gt; 글자
* 정답란에 띄어쓰기 없이 입력 후 제출해주세요.</t>
  </si>
  <si>
    <t>한마음근린공원</t>
  </si>
  <si>
    <t>*올레치과의원</t>
  </si>
  <si>
    <t>https://m.place.naver.com/hospital/1932554844/home?entry=pll</t>
  </si>
  <si>
    <t>제주 치과의원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</si>
  <si>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4.[*올레치과의원]플레이스를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{ㄱㅅㅁㅎㄱㄹ}
정답 : &lt;6&gt; 글자
* 정답란에 띄어쓰기 없이 입력 후 제출해주세요.</t>
  </si>
  <si>
    <t>국수문화거리</t>
  </si>
  <si>
    <t>제주 치과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</si>
  <si>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4.[*올레치과의원]플레이스를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{ㄷㄱㅅㄷ}
정답 : &lt;4&gt; 글자
* 정답란에 띄어쓰기 없이 입력 후 제출해주세요.</t>
  </si>
  <si>
    <t>동광성당</t>
  </si>
  <si>
    <t>제주 이도동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</si>
  <si>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4.[*올레치과의원]플레이스를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{ㅅㅈㅊ}
정답 : &lt;3&gt; 글자
* 정답란에 띄어쓰기 없이 입력 후 제출해주세요.</t>
  </si>
  <si>
    <t>산지천</t>
  </si>
  <si>
    <t>제주 이도동 소아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</si>
  <si>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4.[*올레치과의원]플레이스를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{ㄷㅁㅅㄷ}
정답 : &lt;4&gt; 글자
* 정답란에 띄어쓰기 없이 입력 후 제출해주세요.</t>
  </si>
  <si>
    <t>동문성당</t>
  </si>
  <si>
    <t>부산 정관 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</si>
  <si>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4.[**란트치과의원]플레이스를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{ㅅㅇㅅ}
정답 : &lt;3&gt; 글자
* 정답란에 띄어쓰기 없이 입력 후 제출해주세요.</t>
  </si>
  <si>
    <t>소원사</t>
  </si>
  <si>
    <t>**란트치과의원</t>
  </si>
  <si>
    <t>https://m.place.naver.com/hospital/35553804/home?entry=pll</t>
  </si>
  <si>
    <t>부산 기장 소아 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</si>
  <si>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4.[**란트치과의원]플레이스를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{ㅂㅇㅅ}
정답 : &lt;3&gt; 글자
* 정답란에 띄어쓰기 없이 입력 후 제출해주세요.</t>
  </si>
  <si>
    <t>보원사</t>
  </si>
  <si>
    <t>부산 기장 임플란트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</si>
  <si>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4.[**란트치과의원]플레이스를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{ㄱㅂㄱㅇ}
정답 : &lt;4&gt; 글자
* 정답란에 띄어쓰기 없이 입력 후 제출해주세요.</t>
  </si>
  <si>
    <t>정관읍 치과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</si>
  <si>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4.[**란트치과의원]플레이스를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{ㅁㅇㅅ}
정답 : &lt;3&gt; 글자
* 정답란에 띄어쓰기 없이 입력 후 제출해주세요.</t>
  </si>
  <si>
    <t>망월산</t>
  </si>
  <si>
    <t>정관읍 치과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</si>
  <si>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4.[**란트치과의원]플레이스를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{ㅁㅂㄱㅇ}
정답 : &lt;4&gt; 글자
* 정답란에 띄어쓰기 없이 입력 후 제출해주세요.</t>
  </si>
  <si>
    <t>물빛공원</t>
  </si>
  <si>
    <t>마석 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</si>
  <si>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4.[*솔치과의원]플레이스를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{ㅂㄱㅅ}
정답 : &lt;3&gt; 글자
* 정답란에 띄어쓰기 없이 입력 후 제출해주세요.</t>
  </si>
  <si>
    <t>*솔치과의원</t>
  </si>
  <si>
    <t>https://m.place.naver.com/hospital/1307740644/home?entry=pll</t>
  </si>
  <si>
    <t>마석 치과의원 예약</t>
  </si>
  <si>
    <t>마석역 치과 추천</t>
  </si>
  <si>
    <t>남양주 화도 소아 치과의원</t>
  </si>
  <si>
    <t>남양주 마석 치과보철과</t>
  </si>
  <si>
    <t>일산 한의원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</si>
  <si>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{ㄴㅇㄱㅇ}
정답 : &lt;4&gt; 글자
* 정답란에 띄어쓰기 없이 입력 후 제출해주세요.</t>
  </si>
  <si>
    <t>*산한의원</t>
  </si>
  <si>
    <t>https://m.place.naver.com/hospital/1040901343/home?entry=pll</t>
  </si>
  <si>
    <t>고양 일산 한의원 예약</t>
  </si>
  <si>
    <t>일산 자동차사고 한의원</t>
  </si>
  <si>
    <t>중산동 소아 한의원</t>
  </si>
  <si>
    <t>중산동 한의원 예약</t>
  </si>
  <si>
    <t>중랑구 한의원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</si>
  <si>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4.[*일백세한의원]플레이스를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{ㅂㅅㄷㄱㅇ}
정답 : &lt;5&gt; 글자
* 정답란에 띄어쓰기 없이 입력 후 제출해주세요.</t>
  </si>
  <si>
    <t>*일백세한의원</t>
  </si>
  <si>
    <t>https://m.place.naver.com/hospital/1632908709/home?entry=pll</t>
  </si>
  <si>
    <t>중랑구 한의원 추천</t>
  </si>
  <si>
    <t>중랑구 재활 한의원</t>
  </si>
  <si>
    <t>먹골역 한의원 추나</t>
  </si>
  <si>
    <t>중랑구 묵동 소아 한의원</t>
  </si>
  <si>
    <t>부산 부전동 맥북수리</t>
  </si>
  <si>
    <t>부산 부전동 아이폰수리센터</t>
  </si>
  <si>
    <t>서면역 아이폰수리</t>
  </si>
  <si>
    <t>서면역 맥북수리</t>
  </si>
  <si>
    <t>부산 부전동 아이패드 수리</t>
  </si>
  <si>
    <t>부산 부전동 아이폰 복구</t>
  </si>
  <si>
    <t>https://m.place.naver.com/restaurant/1577150678/home?entry=plt</t>
  </si>
  <si>
    <t>무주 한식 추천</t>
  </si>
  <si>
    <t>을왕리 조개구이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</si>
  <si>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4.[*니네 조개구이]플레이스를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{ㅁㅅㅇㅁㅇ}
정답 : &lt;5&gt; 글자
* 정답란에 띄어쓰기 없이 입력 후 제출해주세요.</t>
  </si>
  <si>
    <t>https://m.place.naver.com/restaurant/1269899440</t>
  </si>
  <si>
    <t>을왕리 조개구이 무한리필</t>
  </si>
  <si>
    <t>을왕리 조개구이 추천</t>
  </si>
  <si>
    <t>곤지암 오리고기 맛집</t>
  </si>
  <si>
    <t>https://m.place.naver.com/restaurant/19494463</t>
  </si>
  <si>
    <t>곤지암 고기집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</si>
  <si>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4.[*지암토담]플레이스를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{ㄱㅈㅅㄹㄱㅅㄱㅇㅈ}
정답 : &lt;9&gt; 글자
* 정답란에 띄어쓰기 없이 입력 후 제출해주세요.</t>
  </si>
  <si>
    <t>광주삼리구석기유적</t>
  </si>
  <si>
    <t>곤지암 오리고기 예약</t>
  </si>
  <si>
    <t>교대 이자카야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</si>
  <si>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교대점]플레이스를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{ㅅㄹㄱㄱㅇ}
정답 : &lt;5&gt; 글자
* 정답란에 띄어쓰기 없이 입력 후 제출해주세요.</t>
  </si>
  <si>
    <t>서래골공원</t>
  </si>
  <si>
    <t>교대 이자카야 룸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</si>
  <si>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교대점]플레이스를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{ㅅㄹㅁㅇ}
정답 : &lt;4&gt; 글자
* 정답란에 띄어쓰기 없이 입력 후 제출해주세요.</t>
  </si>
  <si>
    <t>서래마을</t>
  </si>
  <si>
    <t>교대 이자카야 단체석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</si>
  <si>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교대점]플레이스를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{ㄱㅇㄴㅍㄷㅌㄹㅈ}
정답 : &lt;8&gt; 글자
* 정답란에 띄어쓰기 없이 입력 후 제출해주세요.</t>
  </si>
  <si>
    <t>강남역푸드트럭존</t>
  </si>
  <si>
    <t>김포공항 라움주차대행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</si>
  <si>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4.[*움주차대행]플레이스를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{ㅅㅁㅅㄱㄹㄱㅇ}
정답 : &lt;7&gt; 글자
* 정답란에 띄어쓰기 없이 입력 후 제출해주세요.</t>
  </si>
  <si>
    <t>수명산근린공원</t>
  </si>
  <si>
    <t>https://m.place.naver.com/place/2043155483</t>
  </si>
  <si>
    <t>김포공항 라움 발렛파킹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</si>
  <si>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4.[*움주차대행]플레이스를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{ㅅㅁㅅ}
정답 : &lt;3&gt; 글자
* 정답란에 띄어쓰기 없이 입력 후 제출해주세요.</t>
  </si>
  <si>
    <t>거제도 솥밥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</si>
  <si>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4.[*그락]플레이스를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{ㄱㄹㅅ}
정답 : &lt;3&gt; 글자
* 정답란에 띄어쓰기 없이 입력 후 제출해주세요.</t>
  </si>
  <si>
    <t>계룡사</t>
  </si>
  <si>
    <t>*그락</t>
  </si>
  <si>
    <t>https://m.place.naver.com/restaurant/1862523116</t>
  </si>
  <si>
    <t>거제도 솥밥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</si>
  <si>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4.[*그락]플레이스를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{ㄱㅎㅅ}
정답 : &lt;3&gt; 글자
* 정답란에 띄어쓰기 없이 입력 후 제출해주세요.</t>
  </si>
  <si>
    <t>고현성</t>
  </si>
  <si>
    <t>거제도 한식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</si>
  <si>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4.[*그락]플레이스를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{ㅈㅎㅅ}
정답 : &lt;3&gt; 글자
* 정답란에 띄어쓰기 없이 입력 후 제출해주세요.</t>
  </si>
  <si>
    <t>장흥사</t>
  </si>
  <si>
    <t>둔산동 법률사무소 상담</t>
  </si>
  <si>
    <t>https://m.place.naver.com/place/1564240011</t>
  </si>
  <si>
    <t>대전시청역 법률사무소 상담</t>
  </si>
  <si>
    <t>대전시청역 변호사 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</si>
  <si>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대전사무소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{ㄱㅁㄱㅇ}
정답 : &lt;4&gt; 글자
* 정답란에 띄어쓰기 없이 입력 후 제출해주세요.</t>
  </si>
  <si>
    <t>갈마공원</t>
  </si>
  <si>
    <t>창원 법률사무소 상담</t>
  </si>
  <si>
    <t>창원 형사이혼전문 법률사무소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</si>
  <si>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변호사창원사무소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{ㄱㄴㅁㅇㅇㅁ}
정답 : &lt;6&gt; 글자
* 정답란에 띄어쓰기 없이 입력 후 제출해주세요.</t>
  </si>
  <si>
    <t>경남모양연못</t>
  </si>
  <si>
    <t>창원 사파동 변호사 상담</t>
  </si>
  <si>
    <t>인천 법률사무소 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</si>
  <si>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인천사무소 형사전문]플레이스를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{ㅂㄹㅇ}
정답 : &lt;3&gt; 글자
* 정답란에 띄어쓰기 없이 입력 후 제출해주세요.</t>
  </si>
  <si>
    <t>백룡암</t>
  </si>
  <si>
    <t>*무법인 오현 인천사무소 형사전문</t>
  </si>
  <si>
    <t>https://m.place.naver.com/place/1498332235</t>
  </si>
  <si>
    <t>인천 성범죄전문변호사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</si>
  <si>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인천사무소 형사전문]플레이스를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{ㅇㅊㅎㄱ}
정답 : &lt;4&gt; 글자
* 정답란에 띄어쓰기 없이 입력 후 제출해주세요.</t>
  </si>
  <si>
    <t>교대역 타다끼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</si>
  <si>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교대점]플레이스를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{ㅅㅅㅌㅇ}
정답 : &lt;4&gt; 글자
* 정답란에 띄어쓰기 없이 입력 후 제출해주세요.</t>
  </si>
  <si>
    <t>삼성타운</t>
  </si>
  <si>
    <t>교대역 이자카야</t>
  </si>
  <si>
    <t>교대역 이자카야 타다끼</t>
  </si>
  <si>
    <t>교대역 후토마끼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</si>
  <si>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교대점]플레이스를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{ㅅㄹㅁㅇㅋㅍㄱㄹ}
정답 : &lt;8&gt; 글자
* 정답란에 띄어쓰기 없이 입력 후 제출해주세요.</t>
  </si>
  <si>
    <t>서래마을카페거리</t>
  </si>
  <si>
    <t>대전 용문역 아이폰수리</t>
  </si>
  <si>
    <t>https://m.place.naver.com/place/37992951/home?entry=plt</t>
  </si>
  <si>
    <t>유성온천역 아이폰수리</t>
  </si>
  <si>
    <t>https://m.place.naver.com/place/1176994091/home?entry=plt</t>
  </si>
  <si>
    <t>과천 회전초밥</t>
  </si>
  <si>
    <t>과천 회전초밥 예약</t>
  </si>
  <si>
    <t>정부과천청사역 회전초밥</t>
  </si>
  <si>
    <t>과천 미나리삼겹살</t>
  </si>
  <si>
    <t>과천 미나리샤브</t>
  </si>
  <si>
    <t>과천 미나리샤브 맛집</t>
  </si>
  <si>
    <t>신촌 술집 예약</t>
  </si>
  <si>
    <t>가창 칼국수</t>
  </si>
  <si>
    <t>https://m.place.naver.com/restaurant/1215929924/home?entry=pll&amp;bk_query=%EA%B0%80%EC%B0%BD%20%EB%A7%9B%EC%A7%91</t>
  </si>
  <si>
    <t>가창 장칼국수</t>
  </si>
  <si>
    <t>https://m.place.naver.com/restaurant/1215929924/home?entry=pll&amp;bk_query=%EA%B0%80%EC%B0%BD%20%EB%A7%9B%EC%A7%92</t>
  </si>
  <si>
    <t>가창 칼국수 맛집</t>
  </si>
  <si>
    <t>https://m.place.naver.com/restaurant/1215929924/home?entry=pll&amp;bk_query=%EA%B0%80%EC%B0%BD%20%EB%A7%9B%EC%A7%93</t>
  </si>
  <si>
    <t>가창 육전 맛집</t>
  </si>
  <si>
    <t>https://m.place.naver.com/restaurant/1215929924/home?entry=pll&amp;bk_query=%EA%B0%80%EC%B0%BD%20%EB%A7%9B%EC%A7%94</t>
  </si>
  <si>
    <t>가창 장칼국수 맛집</t>
  </si>
  <si>
    <t>https://m.place.naver.com/restaurant/1215929924/home?entry=pll&amp;bk_query=%EA%B0%80%EC%B0%BD%20%EB%A7%9B%EC%A7%95</t>
  </si>
  <si>
    <t>연남동 통닭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</si>
  <si>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4.[*돌누룽지통닭 홍대연남점]플레이스를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{ㅊㅈㄱㅅㄱㄷㄱㅎ}
정답 : &lt;8&gt; 글자
* 정답란에 띄어쓰기 없이 입력 후 제출해주세요.</t>
  </si>
  <si>
    <t>천주교서교동교회</t>
  </si>
  <si>
    <t>*돌누룽지통닭 홍대연남점</t>
  </si>
  <si>
    <t>https://m.place.naver.com/restaurant/2029685982/home</t>
  </si>
  <si>
    <t>연남동 통닭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</si>
  <si>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4.[*돌누룽지통닭 홍대연남점]플레이스를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{ㄱㄷㄱㅇ}
정답 : &lt;4&gt; 글자
* 정답란에 띄어쓰기 없이 입력 후 제출해주세요.</t>
  </si>
  <si>
    <t>궁동공원</t>
  </si>
  <si>
    <t>연남동 누룽지통닭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</si>
  <si>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4.[*돌누룽지통닭 홍대연남점]플레이스를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{ㅎㄷㄱㄹ}
정답 : &lt;4&gt; 글자
* 정답란에 띄어쓰기 없이 입력 후 제출해주세요.</t>
  </si>
  <si>
    <t>홍대입구역 누룽지통닭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</si>
  <si>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4.[*돌누룽지통닭 홍대연남점]플레이스를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{ㅎㅇㅁㅎㄱㅇ}
정답 : &lt;6&gt; 글자
* 정답란에 띄어쓰기 없이 입력 후 제출해주세요.</t>
  </si>
  <si>
    <t>연남동 누룽지통닭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</si>
  <si>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4.[*돌누룽지통닭 홍대연남점]플레이스를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{ㄱㄷㄱㄹㄱㅇ}
정답 : &lt;6&gt; 글자
* 정답란에 띄어쓰기 없이 입력 후 제출해주세요.</t>
  </si>
  <si>
    <t>궁동근린공원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</si>
  <si>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4.[*구마사지엔 헤스티아]플레이스를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{ㄱㅇㅅㄷ}
정답 : &lt;4&gt; 글자
* 정답란에 띄어쓰기 없이 입력 후 제출해주세요.</t>
  </si>
  <si>
    <t>구암성당</t>
  </si>
  <si>
    <t>대구 동천동 대구마사지엔 헤스티아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</si>
  <si>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4.[*구마사지엔 헤스티아]플레이스를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{ㄱㅇㄷㄱㅂㄱ}
정답 : &lt;6&gt; 글자
* 정답란에 띄어쓰기 없이 입력 후 제출해주세요.</t>
  </si>
  <si>
    <t>구암동고분군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</si>
  <si>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</si>
  <si>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</si>
  <si>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</si>
  <si>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</si>
  <si>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</si>
  <si>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</si>
  <si>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https://m.search.naver.com/search.naver?sm=mtp_sug.top&amp;where=m&amp;query=산삼&amp;ackey=GUz9YSrA&amp;acq=장뇌삼&amp;acr=9&amp;qdt=0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</si>
  <si>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</si>
  <si>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https://m.search.naver.com/search.naver?sm=mtp_sug.top&amp;where=m&amp;query=산삼&amp;ackey=GUz9YSrA&amp;acq=산양삼&amp;acr=9&amp;qdt=0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</si>
  <si>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</si>
  <si>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https://m.search.naver.com/search.naver?sm=mtp_sug.top&amp;where=m&amp;query=산삼&amp;ackey=GUz9YSrA&amp;acq=산양산삼&amp;acr=9&amp;qdt=0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</si>
  <si>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</si>
  <si>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https://m.search.naver.com/search.naver?sm=mtp_sug.top&amp;where=m&amp;query=산삼&amp;ackey=GUz9YSrA&amp;acq=장뇌삼선물&amp;acr=9&amp;qdt=0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</si>
  <si>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</si>
  <si>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https://m.search.naver.com/search.naver?sm=mtp_sug.top&amp;where=m&amp;query=산삼&amp;ackey=GUz9YSrA&amp;acq=장뇌산삼&amp;acr=9&amp;qdt=0</t>
  </si>
  <si>
    <t>02월 13일 마감</t>
  </si>
  <si>
    <t>https://m.place.naver.com/restaurant/89125916</t>
  </si>
  <si>
    <t>함덕리 해물뚝배기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</si>
  <si>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4.[*주갈치명가 함덕]플레이스를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{ㅈㅊㅅㄷ}
정답 : &lt;4&gt; 글자
* 정답란에 띄어쓰기 없이 입력 후 제출해주세요.</t>
  </si>
  <si>
    <t>조천성당</t>
  </si>
  <si>
    <t>*주갈치명가 함덕</t>
  </si>
  <si>
    <t>https://m.place.naver.com/restaurant/1438674779</t>
  </si>
  <si>
    <t>함덕리 통갈치구이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</si>
  <si>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4.[*주갈치명가 함덕]플레이스를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{ㄱㅅㄱㅁㅇ}
정답 : &lt;5&gt; 글자
* 정답란에 띄어쓰기 없이 입력 후 제출해주세요.</t>
  </si>
  <si>
    <t>감사공묘역</t>
  </si>
  <si>
    <t>잠실새내역 사시미</t>
  </si>
  <si>
    <t>https://m.place.naver.com/restaurant/1506795911/home</t>
  </si>
  <si>
    <t>잠실새내역 유린기</t>
  </si>
  <si>
    <t>잠실새내역 타다끼</t>
  </si>
  <si>
    <t>02월 14일 마감</t>
  </si>
  <si>
    <t>공덕동 스테이크</t>
  </si>
  <si>
    <t>공덕동 스테이크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</si>
  <si>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공덕점]플레이스를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{ㅊㅈㄱㅊㅍㄷㅅㄷ}
정답 : &lt;8&gt; 글자
* 정답란에 띄어쓰기 없이 입력 후 제출해주세요.</t>
  </si>
  <si>
    <t>목동 이탈리아 음식점</t>
  </si>
  <si>
    <t>목동 이탈리아 음식 맛집</t>
  </si>
  <si>
    <t>서초동 살치살 스테이크</t>
  </si>
  <si>
    <t>서초동 살치살 스테이크 맛집</t>
  </si>
  <si>
    <t>강남역 살치살 스테이크</t>
  </si>
  <si>
    <t>강남역 크림스프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</si>
  <si>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{ㄴㅎㅁㄹㄱㅇ}
정답 : &lt;6&gt; 글자
* 정답란에 띄어쓰기 없이 입력 후 제출해주세요.</t>
  </si>
  <si>
    <t>논현목련공원</t>
  </si>
  <si>
    <t>고척 양식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</si>
  <si>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고척점]플레이스를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{ㄱㅇㅅ}
정답 : &lt;3&gt; 글자
* 정답란에 띄어쓰기 없이 입력 후 제출해주세요.</t>
  </si>
  <si>
    <t>개웅산</t>
  </si>
  <si>
    <t>화곡동 이탈리아 음식점</t>
  </si>
  <si>
    <t>청진동 이탈리아 음식점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</si>
  <si>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광화문점]플레이스를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{ㄱㅇㄱㅇㅇㅈ}
정답 : &lt;6&gt; 글자
* 정답란에 띄어쓰기 없이 입력 후 제출해주세요.</t>
  </si>
  <si>
    <t>경운궁양이재</t>
  </si>
  <si>
    <t>*터로빈 광화문점</t>
  </si>
  <si>
    <t>https://m.place.naver.com/restaurant/36992330/home</t>
  </si>
  <si>
    <t>청진동 이탈리아 음식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</si>
  <si>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광화문점]플레이스를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{ㅎㄱㄱㅇㄱ}
정답 : &lt;5&gt; 글자
* 정답란에 띄어쓰기 없이 입력 후 제출해주세요.</t>
  </si>
  <si>
    <t>한글가온길</t>
  </si>
  <si>
    <t>광화문역 이탈리아 음식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</si>
  <si>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광화문점]플레이스를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{ㅎㄹㄷㄱㅌ}
정답 : &lt;5&gt; 글자
* 정답란에 띄어쓰기 없이 입력 후 제출해주세요.</t>
  </si>
  <si>
    <t>훈련도감터</t>
  </si>
  <si>
    <t>광화문역 이탈리아 음식점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</si>
  <si>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광화문점]플레이스를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{ㅅㅇㄱㅈ}
정답 : &lt;4&gt; 글자
* 정답란에 띄어쓰기 없이 입력 후 제출해주세요.</t>
  </si>
  <si>
    <t>서울광장</t>
  </si>
  <si>
    <t>광화문역 이탈리아 음식점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</si>
  <si>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광화문점]플레이스를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{ㅇㅅㄷㅁㅎㅇㄱㄹ}
정답 : &lt;8&gt; 글자
* 정답란에 띄어쓰기 없이 입력 후 제출해주세요.</t>
  </si>
  <si>
    <t>인사동문화의거리</t>
  </si>
  <si>
    <t>울산 남구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</si>
  <si>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{ㅅㅅㅇㅅㅈㄱㅇ}
정답 : &lt;7&gt; 글자
* 정답란에 띄어쓰기 없이 입력 후 제출해주세요.</t>
  </si>
  <si>
    <t>삼산유수지공원</t>
  </si>
  <si>
    <t>울산 남구 헬스장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</si>
  <si>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{ㅁㅎㄱㅇ}
정답 : &lt;4&gt; 글자
* 정답란에 띄어쓰기 없이 입력 후 제출해주세요.</t>
  </si>
  <si>
    <t>목화공원</t>
  </si>
  <si>
    <t>울산 남구 헬스장  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</si>
  <si>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{ㅇㅅㅋㅇㄱㅈ}
정답 : &lt;6&gt; 글자
* 정답란에 띄어쓰기 없이 입력 후 제출해주세요.</t>
  </si>
  <si>
    <t>울산큰애기집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</si>
  <si>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{ㅇㅅㄷㅈㅇㄱㄹ}
정답 : &lt;7&gt; 글자
* 정답란에 띄어쓰기 없이 입력 후 제출해주세요.</t>
  </si>
  <si>
    <t>울산디자인거리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</si>
  <si>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{ㄱㅇㄷㅁㅎㄱㅇ}
정답 : &lt;7&gt; 글자
* 정답란에 띄어쓰기 없이 입력 후 제출해주세요.</t>
  </si>
  <si>
    <t>02월 16일 마감</t>
  </si>
  <si>
    <t>여성모달팬티 60수 맥시 햄팬티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</si>
  <si>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여* 모달 *티 60수 *면 *사이즈 *자 맥시 *팬티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</si>
  <si>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https://m.search.naver.com/search.naver?sm=mtp_sug.top&amp;where=m&amp;query=여성모달팬티+60수+맥시+햄팬티&amp;ackey=mbauljxv&amp;acq=패딩&amp;acr=3&amp;qdt=0</t>
  </si>
  <si>
    <t>하이90 - high90</t>
  </si>
  <si>
    <t>https://smartstore.naver.com/high90/products/13036799511</t>
  </si>
  <si>
    <t>L</t>
  </si>
  <si>
    <t>여성모달팬티 60수 빅사이즈 햄팬티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</si>
  <si>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여* 모달 *티 60수 *면 *사이즈 *자 맥시 *팬티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</si>
  <si>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https://m.search.naver.com/search.naver?sm=mtp_sug.top&amp;where=m&amp;query=여성모달팬티+60수+빅사이즈+햄팬티&amp;ackey=mbauljxv&amp;acq=양말&amp;acr=4&amp;qdt=0</t>
  </si>
  <si>
    <t>여성모달팬티 60수 순면 햄팬티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</si>
  <si>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여* 모달 *티 60수 *면 *사이즈 *자 맥시 *팬티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</si>
  <si>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https://m.search.naver.com/search.naver?sm=mtp_sug.top&amp;where=m&amp;query=여성모달팬티+60수+순면+햄팬티&amp;ackey=mbauljxv&amp;acq=장갑&amp;acr=5&amp;qdt=0</t>
  </si>
  <si>
    <t>여성모달팬티 60수 순면 빅사이즈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</si>
  <si>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여* 모달 *티 60수 *면 *사이즈 *자 맥시 *팬티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</si>
  <si>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https://m.search.naver.com/search.naver?sm=mtp_sug.top&amp;where=m&amp;query=여성모달팬티+60수+순면+빅사이즈&amp;ackey=mbauljxv&amp;acq=목도리&amp;acr=2&amp;qdt=0</t>
  </si>
  <si>
    <t>여성모달팬티 60수 순면 맥시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</si>
  <si>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여* 모달 *티 60수 *면 *사이즈 *자 맥시 *팬티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</si>
  <si>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https://m.search.naver.com/search.naver?sm=mtp_sug.top&amp;where=m&amp;query=여성모달팬티+60수+순면+맥시&amp;ackey=mbauljxv&amp;acq=모자&amp;acr=7&amp;qdt=0</t>
  </si>
  <si>
    <t>미니마이저브라 뷰시크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</si>
  <si>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뷰*크 미니마*저 브* 부*방 처진 *슴작아*이는 *와이어 *리스 *정 *옷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</si>
  <si>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https://m.search.naver.com/search.naver?sm=mtp_sug.top&amp;where=m&amp;query=미니마이저브라+뷰시크&amp;ackey=mbauljxv&amp;acq=양말&amp;acr=2&amp;qdt=0</t>
  </si>
  <si>
    <t>https://smartstore.naver.com/high90/products/11984476262</t>
  </si>
  <si>
    <t>미니마이저브라 노와이어 심리스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</si>
  <si>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뷰*크 미니마*저 브* 부*방 처진 *슴작아*이는 *와이어 *리스 *정 *옷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</si>
  <si>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https://m.search.naver.com/search.naver?sm=mtp_sug.top&amp;where=m&amp;query=미니마이저브라+노와이어+심리스&amp;ackey=mbauljxv&amp;acq=장갑&amp;acr=7&amp;qdt=0</t>
  </si>
  <si>
    <t>미니마이저브라 노와이어 뷰시크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</si>
  <si>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뷰*크 미니마*저 브* 부*방 처진 *슴작아*이는 *와이어 *리스 *정 *옷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</si>
  <si>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https://m.search.naver.com/search.naver?sm=mtp_sug.top&amp;where=m&amp;query=미니마이저브라+노와이어+뷰시크&amp;ackey=mbauljxv&amp;acq=니트&amp;acr=5&amp;qdt=0</t>
  </si>
  <si>
    <t>미니마이저브라 뷰시크 심리스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</si>
  <si>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뷰*크 미니마*저 브* 부*방 처진 *슴작아*이는 *와이어 *리스 *정 *옷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</si>
  <si>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https://m.search.naver.com/search.naver?sm=mtp_sug.top&amp;where=m&amp;query=미니마이저브라+뷰시크+심리스&amp;ackey=mbauljxv&amp;acq=내복&amp;acr=2&amp;qdt=0</t>
  </si>
  <si>
    <t>미니마이저브라 노와이어 뷰시크 심리스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</si>
  <si>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뷰*크 미니마*저 브* 부*방 처진 *슴작아*이는 *와이어 *리스 *정 *옷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</si>
  <si>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https://m.search.naver.com/search.naver?sm=mtp_sug.top&amp;where=m&amp;query=미니마이저브라+노와이어+뷰시크+심리스&amp;ackey=mbauljxv&amp;acq=마스크&amp;acr=5&amp;qdt=0</t>
  </si>
  <si>
    <t>수제청 패션후르츠 자몽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</si>
  <si>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멜*아우어 *제청 과일* 선*세트 *50g 레몬 *몽 청* *션후르츠 생*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</si>
  <si>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https://m.search.naver.com/search.naver?sm=mtp_sug.top&amp;where=m&amp;query=수제청+패션후르츠+자몽&amp;ackey=mbauljxv&amp;acq=과일&amp;acr=2&amp;qdt=0</t>
  </si>
  <si>
    <t>수제청 패션후르츠 레몬 650g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</si>
  <si>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멜*아우어 *제청 과일* 선*세트 *50g 레몬 *몽 청* *션후르츠 생*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</si>
  <si>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https://m.search.naver.com/search.naver?sm=mtp_sug.top&amp;where=m&amp;query=수제청+패션후르츠+레몬+650g&amp;ackey=mbauljxv&amp;acq=건강&amp;acr=3&amp;qdt=0</t>
  </si>
  <si>
    <t>수제청 650g 레몬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</si>
  <si>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멜*아우어 *제청 과일* 선*세트 *50g 레몬 *몽 청* *션후르츠 생*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</si>
  <si>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https://m.search.naver.com/search.naver?sm=mtp_sug.top&amp;where=m&amp;query=수제청+650g+레몬&amp;ackey=mbauljxv&amp;acq=음식&amp;acr=6&amp;qdt=0</t>
  </si>
  <si>
    <t>수제청 650g 자몽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</si>
  <si>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멜*아우어 *제청 과일* 선*세트 *50g 레몬 *몽 청* *션후르츠 생*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</si>
  <si>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https://m.search.naver.com/search.naver?sm=mtp_sug.top&amp;where=m&amp;query=수제청+650g+자몽&amp;ackey=mbauljxv&amp;acq=홍삼&amp;acr=5&amp;qdt=0</t>
  </si>
  <si>
    <t>수제청 패션후르츠 생강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</si>
  <si>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멜*아우어 *제청 과일* 선*세트 *50g 레몬 *몽 청* *션후르츠 생*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</si>
  <si>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https://m.search.naver.com/search.naver?sm=mtp_sug.top&amp;where=m&amp;query=수제청+패션후르츠+생강&amp;ackey=mbauljxv&amp;acq=인삼&amp;acr=3&amp;qdt=0</t>
  </si>
  <si>
    <t>서면 보컬학원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</si>
  <si>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4.[*옥타브장인 보컬학원 부산점]플레이스를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{ㅂㅅㅅㅁㄱㅇ}
정답 : &lt;6&gt; 글자
* 정답란에 띄어쓰기 없이 입력 후 제출해주세요.</t>
  </si>
  <si>
    <t>서면 발성학원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</si>
  <si>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4.[*옥타브장인 보컬학원 부산점]플레이스를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{ㄷㅊ}
정답 : &lt;2&gt; 글자
* 정답란에 띄어쓰기 없이 입력 후 제출해주세요.</t>
  </si>
  <si>
    <t>서면역 보컬레슨</t>
  </si>
  <si>
    <t>홍천 팔봉리 렌탈샵 스키강습</t>
  </si>
  <si>
    <t>비발디파크 렌탈샵 리프트권</t>
  </si>
  <si>
    <t>비발디파크 렌탈샵 픽업</t>
  </si>
  <si>
    <t>비발디 렌탈샵 픽업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</si>
  <si>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 스키야놀자]플레이스를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{ㅍㅂㅊㅅㄱㄷㅂㅁㅇ}
정답 : &lt;9&gt; 글자
* 정답란에 띄어쓰기 없이 입력 후 제출해주세요.</t>
  </si>
  <si>
    <t>팔봉청삼골돌배마을</t>
  </si>
  <si>
    <t>02월 17일 마감</t>
  </si>
  <si>
    <t>루나리스 노르딕 LED 벽시계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</si>
  <si>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*4cm *자달력 *무실 개*선물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</si>
  <si>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https://m.search.naver.com/search.naver?sm=mtp_sug.top&amp;where=m&amp;query=루나리스+노르딕+LED+벽시계&amp;ackey=mbauljxv&amp;acq=선물&amp;acr=7&amp;qdt=0</t>
  </si>
  <si>
    <t>루나리스 노르딕 LED 벽시계 개업선물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</si>
  <si>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*4cm *자달력 *무실 개*선물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</si>
  <si>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https://m.search.naver.com/search.naver?sm=mtp_sug.top&amp;where=m&amp;query=루나리스+노르딕+LED+벽시계+개업선물&amp;ackey=mbauljxv&amp;acq=조명&amp;acr=3&amp;qdt=0</t>
  </si>
  <si>
    <t>루나리스 노르딕 전파 수신 LED 벽시계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</si>
  <si>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*4cm *자달력 *무실 개*선물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</si>
  <si>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https://m.search.naver.com/search.naver?sm=mtp_sug.top&amp;where=m&amp;query=루나리스+노르딕+전파+수신+LED+벽시계&amp;ackey=mbauljxv&amp;acq=전구&amp;acr=3&amp;qdt=0</t>
  </si>
  <si>
    <t>루나리스 노르딕 전파 수신 54cm 벽시계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</si>
  <si>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*4cm *자달력 *무실 개*선물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</si>
  <si>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https://m.search.naver.com/search.naver?sm=mtp_sug.top&amp;where=m&amp;query=루나리스+노르딕+전파+수신+54cm+벽시계&amp;ackey=mbauljxv&amp;acq=책상&amp;acr=2&amp;qdt=0</t>
  </si>
  <si>
    <t>루나리스 노르딕 전파 수신 전자달력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</si>
  <si>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*4cm *자달력 *무실 개*선물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</si>
  <si>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https://m.search.naver.com/search.naver?sm=mtp_sug.top&amp;where=m&amp;query=루나리스+노르딕+전파+수신+전자달력&amp;ackey=mbauljxv&amp;acq=의자&amp;acr=1&amp;qdt=0</t>
  </si>
  <si>
    <t>LED벽시계 플라이토 와이파이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</si>
  <si>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*라이토 *이파이 *시계 *테리어 *자달력 집*이 *무실 *ED시계 *라이트 *닝 *랫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</si>
  <si>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https://m.search.naver.com/search.naver?sm=mtp_sug.top&amp;where=m&amp;query=LED벽시계+플라이토+와이파이&amp;ackey=mbauljxv&amp;acq=달력&amp;acr=2&amp;qdt=0</t>
  </si>
  <si>
    <t>LED벽시계 플라이토 전자달력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</si>
  <si>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*라이토 *이파이 *시계 *테리어 *자달력 집*이 *무실 *ED시계 *라이트 *닝 *랫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</si>
  <si>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https://m.search.naver.com/search.naver?sm=mtp_sug.top&amp;where=m&amp;query=LED벽시계+플라이토+전자달력+집들이&amp;ackey=mbauljxv&amp;acq=침대&amp;acr=1&amp;qdt=0</t>
  </si>
  <si>
    <t>LED벽시계 백라이트 터닝 플랫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</si>
  <si>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*라이토 *이파이 *시계 *테리어 *자달력 집*이 *무실 *ED시계 *라이트 *닝 *랫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</si>
  <si>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https://m.search.naver.com/search.naver?sm=mtp_sug.top&amp;where=m&amp;query=LED벽시계+백라이트+터닝+플랫&amp;ackey=mbauljxv&amp;acq=이불&amp;acr=5&amp;qdt=0</t>
  </si>
  <si>
    <t>LED벽시계 백라이트 전자달력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</si>
  <si>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*라이토 *이파이 *시계 *테리어 *자달력 집*이 *무실 *ED시계 *라이트 *닝 *랫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</si>
  <si>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https://m.search.naver.com/search.naver?sm=mtp_sug.top&amp;where=m&amp;query=LED벽시계+백라이트+전자달력&amp;ackey=mbauljxv&amp;acq=지갑&amp;acr=7&amp;qdt=0</t>
  </si>
  <si>
    <t>LED벽시계 와이파이 벽시계 백라이트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</si>
  <si>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*라이토 *이파이 *시계 *테리어 *자달력 집*이 *무실 *ED시계 *라이트 *닝 *랫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</si>
  <si>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https://m.search.naver.com/search.naver?sm=mtp_sug.top&amp;where=m&amp;query=LED벽시계+와이파이+벽시계+백라이트&amp;ackey=mbauljxv&amp;acq=휴대폰&amp;acr=4&amp;qdt=0</t>
  </si>
  <si>
    <t>남양주 개인회생 법률사무소 나인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</si>
  <si>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"lawyer99-newlife.com"을 찾아주세요.
5. "남양주개인회생 법률사무소나인"을 클릭해주세요.
6. 사이트 방문 후 제일 상단 '법률사무소나인 - 남양주 법률사무소'를 클릭해주세요.
7. [ 힌트 ] 를 보고 정답을 찾아주세요.
8. 초성힌트 : [ 3인 이상의 변호사가 OOOOO을 이루어 사건을 책임있게 진행하고 있습니다. ]
정답 : &lt;5&gt;  글자</t>
  </si>
  <si>
    <t>개인회생팀</t>
  </si>
  <si>
    <t>법률사무소나인</t>
  </si>
  <si>
    <t>https://lawyer99-newlife.com/</t>
  </si>
  <si>
    <t>https://docs.google.com/spreadsheets/d/1KSERBdjhG9-lw7FsUTSa2eKGv5DMH2DZ-wpqKP_9CEQ/edit?usp=sharing</t>
  </si>
  <si>
    <t>02월 18일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</si>
  <si>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</si>
  <si>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LkoE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</si>
  <si>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</si>
  <si>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</si>
  <si>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</si>
  <si>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</si>
  <si>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</si>
  <si>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</si>
  <si>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</si>
  <si>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</si>
  <si>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</si>
  <si>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</si>
  <si>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</si>
  <si>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</si>
  <si>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멀칭비닐 생분해 필름 500M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</si>
  <si>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</si>
  <si>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423개</t>
  </si>
  <si>
    <t>멀칭비닐 환경부 필름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</si>
  <si>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</t>
    </r>
    <r>
      <rPr>
        <sz val="0"/>
        <color rgb="FFFF0000"/>
        <rFont val="Arial"/>
      </rPr>
      <t xml:space="preserve">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</si>
  <si>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</si>
  <si>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</si>
  <si>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</si>
  <si>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</si>
  <si>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</si>
  <si>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</si>
  <si>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</si>
  <si>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</si>
  <si>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</si>
  <si>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</si>
  <si>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3월 세팅 완~3/1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</si>
  <si>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</si>
  <si>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</si>
  <si>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</si>
  <si>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</si>
  <si>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압구정 리앤스타 성형외과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</si>
  <si>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"leenstar.com"을 찾아주세요.
5. "압구정 리앤스타의원 I 압구정성형외과 I 압구정피부과"을 클릭해주세요.
6. 사이트 방문 후 아래로 스크롤하여 "프로모션"을 클릭해주세요.
7. 맨 아래로 이동 해주세요
8. [ 힌트 ] 를 보고 정답을 찾아주세요.
9. 초성힌트 : [대표전화. 02-511-OOOO]
정답 : &lt;4&gt;  글자</t>
  </si>
  <si>
    <t>압구정 리앤스타의원</t>
  </si>
  <si>
    <t>https://leenstar.com/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</si>
  <si>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</si>
  <si>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t>https://m.search.naver.com/search.naver?sm=mtp_sug.top&amp;where=m&amp;query=장뇌삼+7뿌리&amp;ackey=mbauljxv&amp;acq=약국&amp;acr=2&amp;qdt=0</t>
  </si>
  <si>
    <t>https://smartstore.naver.com/minkukss/products/5835104592?is_retargeting=true&amp;c=260101_p_Naver_product&amp;pid=Naver&amp;deep_link_value=https%3A%2F%2Fsmartstore.naver.com%2Fminkukss%2Fproducts%2F5835104592%3Fka_ref%3Dkakao%26ka_req_id%3DgEj8ojv8XYBCdgTQVoqkAA%26ka_template%3Dcommerce_social&amp;dtm_source=KK&amp;dtm_detail=gEj8ojv8XYBCdgTQVoqkAA&amp;dtm_campaign=commerce_social&amp;dtm_medium=OG</t>
  </si>
  <si>
    <t>LEko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</si>
  <si>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</si>
  <si>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t>https://m.search.naver.com/search.naver?sm=mtp_sug.top&amp;where=m&amp;query=장뇌삼+7뿌리+정삼&amp;ackey=mbauljxv&amp;acq=병원&amp;acr=3&amp;qdt=0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</si>
  <si>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</si>
  <si>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t>https://m.search.naver.com/search.naver?sm=mtp_sug.top&amp;where=m&amp;query=장뇌삼+7뿌리+10년근&amp;ackey=mbauljxv&amp;acq=비타민&amp;acr=5&amp;qdt=0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</si>
  <si>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</si>
  <si>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t>https://m.search.naver.com/search.naver?sm=mtp_sug.top&amp;where=m&amp;query=장뇌삼+10년근+정삼&amp;ackey=mbauljxv&amp;acq=한약&amp;acr=7&amp;qdt=0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</si>
  <si>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</si>
  <si>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t>https://m.search.naver.com/search.naver?sm=mtp_sug.top&amp;where=m&amp;query=장뇌삼+설+부모님&amp;ackey=mbauljxv&amp;acq=안경&amp;acr=6&amp;qdt=0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</si>
  <si>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</si>
  <si>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https://m.search.naver.com/search.naver?sm=mtp_sug.top&amp;where=m&amp;query=장뇌삼+6년근&amp;ackey=mbauljxv&amp;acq=이유식&amp;acr=2&amp;qdt=0</t>
  </si>
  <si>
    <t>https://smartstore.naver.com/minkukss/products/7357096072?is_retargeting=true&amp;c=260101_p_Naver_product&amp;pid=Naver&amp;deep_link_value=https%3A%2F%2Fsmartstore.naver.com%2Fminkukss%2Fproducts%2F7357096072%3Fka_ref%3Dkakao%26ka_req_id%3DgEj97j3qqTExpp8AKYp4AQ%26ka_template%3Dcommerce_social&amp;dtm_source=KK&amp;dtm_detail=gEj97j3qqTExpp8AKYp4AQ&amp;dtm_campaign=commerce_social&amp;dtm_medium=O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</si>
  <si>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</si>
  <si>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https://m.search.naver.com/search.naver?sm=mtp_sug.top&amp;where=m&amp;query=장뇌삼+못난이&amp;ackey=mbauljxv&amp;acq=운동&amp;acr=3&amp;qdt=0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</si>
  <si>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</si>
  <si>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https://m.search.naver.com/search.naver?sm=mtp_sug.top&amp;where=m&amp;query=장뇌삼+파삼&amp;ackey=mbauljxv&amp;acq=치약&amp;acr=5&amp;qdt=0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</si>
  <si>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</si>
  <si>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https://m.search.naver.com/search.naver?sm=mtp_sug.top&amp;where=m&amp;query=파삼+30뿌리&amp;ackey=mbauljxv&amp;acq=한약&amp;acr=7&amp;qdt=0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</si>
  <si>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</si>
  <si>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https://m.search.naver.com/search.naver?sm=mtp_sug.top&amp;where=m&amp;query=파삼+못난이&amp;ackey=mbauljxv&amp;acq=커피&amp;acr=4&amp;qdt=0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</si>
  <si>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</si>
  <si>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https://m.search.naver.com/search.naver?sm=mtp_sug.top&amp;where=m&amp;query=장뇌삼+6년근&amp;ackey=mbauljxv&amp;acq=장갑&amp;acr=2&amp;qdt=0</t>
  </si>
  <si>
    <t>https://smartstore.naver.com/minkukss/products/5461805175?is_retargeting=true&amp;c=260101_p_Naver_product&amp;pid=Naver&amp;deep_link_value=https%3A%2F%2Fsmartstore.naver.com%2Fminkukss%2Fproducts%2F5461805175%3Fka_ref%3Dkakao%26ka_req_id%3DgEj-LkNdJMPuA0__EEpgAA%26ka_template%3Dcommerce_social&amp;dtm_source=KK&amp;dtm_detail=gEj-LkNdJMPuA0__EEpgAA&amp;dtm_campaign=commerce_social&amp;dtm_medium=O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</si>
  <si>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</si>
  <si>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https://m.search.naver.com/search.naver?sm=mtp_sug.top&amp;where=m&amp;query=장뇌삼+6년근+세트&amp;ackey=mbauljxv&amp;acq=프로틴&amp;acr=3&amp;qdt=0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</si>
  <si>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</si>
  <si>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https://m.search.naver.com/search.naver?sm=mtp_sug.top&amp;where=m&amp;query=산삼+6년근&amp;ackey=mbauljxv&amp;acq=헬스&amp;acr=6&amp;qdt=0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</si>
  <si>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</si>
  <si>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https://m.search.naver.com/search.naver?sm=mtp_sug.top&amp;where=m&amp;query=산삼+6년근+부모님&amp;ackey=mbauljxv&amp;acq=달걀&amp;acr=7&amp;qdt=0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</si>
  <si>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</si>
  <si>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https://m.search.naver.com/search.naver?sm=mtp_sug.top&amp;where=m&amp;query=산삼+7뿌리&amp;ackey=mbauljxv&amp;acq=사탕&amp;acr=1&amp;qdt=0</t>
  </si>
  <si>
    <t>사무실청소 청소애 강남점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</si>
  <si>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4.[*무실청소 청소애 강남점]플레이스를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{ㄴㅎㄷㄱㄱㄱㄹ}
정답 : &lt;7&gt; 글자
* 정답란에 띄어쓰기 없이 입력 후 제출해주세요.</t>
  </si>
  <si>
    <t>*무실청소 청소애 강남점</t>
  </si>
  <si>
    <t>https://m.place.naver.com/place/1691045769/home?entry=pll</t>
  </si>
  <si>
    <t>서울 사무실청소 청소애 강남점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</si>
  <si>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4.[*무실청소 청소애 강남점]플레이스를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{ㅅㅅㅁㄱㅎㄱㅇ}
정답 : &lt;7&gt; 글자
* 정답란에 띄어쓰기 없이 입력 후 제출해주세요.</t>
  </si>
  <si>
    <t>신사무궁화공원</t>
  </si>
  <si>
    <t>신사역 사무실청소 청소애 강남점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</si>
  <si>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4.[*무실청소 청소애 강남점]플레이스를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{ㅆㄹㅈㄱㅇ}
정답 : &lt;5&gt; 글자
* 정답란에 띄어쓰기 없이 입력 후 제출해주세요.</t>
  </si>
  <si>
    <t>싸리재공원</t>
  </si>
  <si>
    <t>청주미용실 프리메로 헤어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</si>
  <si>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4.[*리메로 헤어]플레이스를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{ㄱㄱㄱㅇ}
정답 : &lt;4&gt; 글자
* 정답란에 띄어쓰기 없이 입력 후 제출해주세요.</t>
  </si>
  <si>
    <t>*리메로 헤어</t>
  </si>
  <si>
    <t>https://m.place.naver.com/hairshop/1644995513/home?entry=pll</t>
  </si>
  <si>
    <t>강서동 프리메로 헤어 시스루댄디컷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</si>
  <si>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4.[*리메로 헤어]플레이스를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{ㅂㅁㅅㅅ}
정답 : &lt;4&gt; 글자
* 정답란에 띄어쓰기 없이 입력 후 제출해주세요.</t>
  </si>
  <si>
    <t>청주 프리메로 헤어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</si>
  <si>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4.[*리메로 헤어]플레이스를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{ㅇㅎㅅ}
정답 : &lt;3&gt; 글자
* 정답란에 띄어쓰기 없이 입력 후 제출해주세요.</t>
  </si>
  <si>
    <t>행주산성 철판 고기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</si>
  <si>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철판삼겹살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{ㅂㄷㅅ}
정답 : &lt;3&gt; 글자
* 정답란에 띄어쓰기 없이 입력 후 제출해주세요.</t>
  </si>
  <si>
    <t>봉대산</t>
  </si>
  <si>
    <t>성수동 카페 프롤라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</si>
  <si>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4.[*롤라]플레이스를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{ㄴㅌㄴㅁㄱㅇ}
정답 : &lt;6&gt; 글자
* 정답란에 띄어쓰기 없이 입력 후 제출해주세요.</t>
  </si>
  <si>
    <t>느티나무공원</t>
  </si>
  <si>
    <t>*롤라</t>
  </si>
  <si>
    <t>https://m.place.naver.com/restaurant/1399503871/home</t>
  </si>
  <si>
    <t>성수동 에스프레소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</si>
  <si>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4.[*롤라]플레이스를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{ㅅㅅㄷㅅㄷ}
정답 : &lt;5&gt; 글자
* 정답란에 띄어쓰기 없이 입력 후 제출해주세요.</t>
  </si>
  <si>
    <t>성수동성당</t>
  </si>
  <si>
    <t>에스프레소 성수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</si>
  <si>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4.[*롤라]플레이스를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{ㄱㅈㄱㅈ}
정답 : &lt;4&gt; 글자
* 정답란에 띄어쓰기 없이 입력 후 제출해주세요.</t>
  </si>
  <si>
    <t>광진광장</t>
  </si>
  <si>
    <t>성수 프롤라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</si>
  <si>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4.[*롤라]플레이스를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{ㅇㄱㅎ}
정답 : &lt;3&gt; 글자
* 정답란에 띄어쓰기 없이 입력 후 제출해주세요.</t>
  </si>
  <si>
    <t>일감호</t>
  </si>
  <si>
    <t>성수 티라미수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</si>
  <si>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4.[*롤라]플레이스를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{ㅅㅈㅊㅇㄱㅇ}
정답 : &lt;6&gt; 글자
* 정답란에 띄어쓰기 없이 입력 후 제출해주세요.</t>
  </si>
  <si>
    <t>송정체육공원</t>
  </si>
  <si>
    <t>화성 물류 퀵서비스</t>
  </si>
  <si>
    <t>봉담 물류서비스 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</si>
  <si>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4.[*래전국물류 화성점]플레이스를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{ㅎㅅㄱㄹ}
정답 : &lt;4&gt; 글자
* 정답란에 띄어쓰기 없이 입력 후 제출해주세요.</t>
  </si>
  <si>
    <t>화성건릉</t>
  </si>
  <si>
    <t>부평구 육동로 속눈썹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</si>
  <si>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4.[*마라인 부평역점]플레이스를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{ㅎㅁㄱㅇ}
정답 : &lt;4&gt; 글자
* 정답란에 띄어쓰기 없이 입력 후 제출해주세요.</t>
  </si>
  <si>
    <t>*마라인 부평역점</t>
  </si>
  <si>
    <t>https://m.place.naver.com/place/2065975693/home?entry=pll&amp;bk_query=</t>
  </si>
  <si>
    <t>부평구 육동로 속눈썹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</si>
  <si>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4.[*마라인 부평역점]플레이스를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{ㅂㅇㄱㅇ}
정답 : &lt;4&gt; 글자
* 정답란에 띄어쓰기 없이 입력 후 제출해주세요.</t>
  </si>
  <si>
    <t>부평구 육동로 속눈썹펌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</si>
  <si>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4.[*마라인 부평역점]플레이스를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{ㅈㅂㄷㄱㅇ}
정답 : &lt;5&gt; 글자
* 정답란에 띄어쓰기 없이 입력 후 제출해주세요.</t>
  </si>
  <si>
    <t>부평구 육동로 속눈썹펌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</si>
  <si>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4.[*마라인 부평역점]플레이스를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{ㅂㄱㅅ}
정답 : &lt;3&gt; 글자
* 정답란에 띄어쓰기 없이 입력 후 제출해주세요.</t>
  </si>
  <si>
    <t>부개산</t>
  </si>
  <si>
    <t>부평구 육동로 속눈썹가게</t>
  </si>
  <si>
    <t>서초 태닝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</si>
  <si>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4.[*닝게이트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{ㅊㄱㅅ}
정답 : &lt;3&gt; 글자
* 정답란에 띄어쓰기 없이 입력 후 제출해주세요.</t>
  </si>
  <si>
    <t>*닝게이트 서초점</t>
  </si>
  <si>
    <t>https://m.place.naver.com/place/1079962104/home</t>
  </si>
  <si>
    <t>교대 태닝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</si>
  <si>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4.[*닝게이트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{ㅂㅂㅇㅁㅈㄱㅁ}
정답 : &lt;7&gt; 글자
* 정답란에 띄어쓰기 없이 입력 후 제출해주세요.</t>
  </si>
  <si>
    <t>방배역먹자골목</t>
  </si>
  <si>
    <t>교대 무인 태닝샵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</si>
  <si>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4.[*닝게이트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{ㅁㅁㄹㄸㄱㅇ}
정답 : &lt;6&gt; 글자
* 정답란에 띄어쓰기 없이 입력 후 제출해주세요.</t>
  </si>
  <si>
    <t>서초동 무인 태닝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</si>
  <si>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4.[*닝게이트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{ㅇㅎㄹㄱㄹㄱㅇ}
정답 : &lt;7&gt; 글자
* 정답란에 띄어쓰기 없이 입력 후 제출해주세요.</t>
  </si>
  <si>
    <t>용허리근린공원</t>
  </si>
  <si>
    <t>남부터미널역 태닝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</si>
  <si>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4.[*닝게이트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{ㅅㄹㅍㄱㅇ}
정답 : &lt;5&gt; 글자
* 정답란에 띄어쓰기 없이 입력 후 제출해주세요.</t>
  </si>
  <si>
    <t>4월 세팅~4/19</t>
  </si>
  <si>
    <t>서초동녹취사무소 서초베스트속기사무소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</si>
  <si>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4.[*초베스트속기사무소]플레이스를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{ㄷㅅㅅ}
정답 : &lt;3&gt; 글자
* 정답란에 띄어쓰기 없이 입력 후 제출해주세요.</t>
  </si>
  <si>
    <t>대성사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</si>
  <si>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4.[*초베스트속기사무소]플레이스를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{ㅎㄹㄷㄱㅁ}
정답 : &lt;5&gt; 글자
* 정답란에 띄어쓰기 없이 입력 후 제출해주세요.</t>
  </si>
  <si>
    <t>효령대군묘</t>
  </si>
  <si>
    <t>서초동 서초베스트속기사무소</t>
  </si>
  <si>
    <t>3월 세팅 완~3/20</t>
  </si>
  <si>
    <t>3월 세팅 완~3/23</t>
  </si>
  <si>
    <t>https://m.place.naver.com/place/11713942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</si>
  <si>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4.[*경숙플라워]플레이스를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{ㅊㅈㅎㄱ}
정답 : &lt;4&gt; 글자
* 정답란에 띄어쓰기 없이 입력 후 제출해주세요.</t>
  </si>
  <si>
    <t>청주향교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</si>
  <si>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4.[*경숙플라워]플레이스를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{ㅊㄴㄱ}
정답 : &lt;3&gt; 글자
* 정답란에 띄어쓰기 없이 입력 후 제출해주세요.</t>
  </si>
  <si>
    <t>청녕각</t>
  </si>
  <si>
    <t>청주 플로리스트 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</si>
  <si>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4.[*경숙플라워]플레이스를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{ㅊㅈㄷㅎㄱ}
정답 : &lt;5&gt; 글자
* 정답란에 띄어쓰기 없이 입력 후 제출해주세요.</t>
  </si>
  <si>
    <t>청주대학교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</si>
  <si>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4.[*경숙플라워]플레이스를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{ㅁㅎㄷㅇㄹㅇㄴㅇ}
정답 : &lt;8&gt; 글자
* 정답란에 띄어쓰기 없이 입력 후 제출해주세요.</t>
  </si>
  <si>
    <t>문화동우리예능원</t>
  </si>
  <si>
    <t>02월 19일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</si>
  <si>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</si>
  <si>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LkEo</t>
  </si>
  <si>
    <t>3월 세팅 완~3/21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</si>
  <si>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</si>
  <si>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</si>
  <si>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</si>
  <si>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</si>
  <si>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rgb="FF000000"/>
        <rFont val="Arial"/>
      </rPr>
  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</t>
    </r>
    <r>
      <rPr>
        <u/>
        <sz val="0"/>
        <color rgb="FF1155CC"/>
        <rFont val="Arial"/>
      </rPr>
      <t>fstamjung.imweb.me</t>
    </r>
    <r>
      <rPr>
        <sz val="0"/>
        <color rgb="FF000000"/>
        <rFont val="Arial"/>
      </rPr>
      <t>"을 찾아주세요.
5. "대성기획 탐정사무소-검증된 탐정사무소"을 클릭해주세요.
6. 사이트 방문 후 제일 하단으로 이동해주세요.
7. [ 힌트 ] 를 보고 정답을 찾아주세요.
8. 초성힌트 : [ 대표전화 : 1533-OOOO ]
정답 : &lt;4&gt;  글자
* 정답란에 - 포함하여 띄어쓰기 없이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</si>
  <si>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</si>
  <si>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kEoL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</si>
  <si>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</si>
  <si>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</si>
  <si>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</si>
  <si>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</si>
  <si>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</si>
  <si>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</si>
  <si>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</si>
  <si>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</si>
  <si>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</si>
  <si>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용감한 탐정 사무소</t>
  </si>
  <si>
    <r>
      <rPr>
        <sz val="0"/>
        <color rgb="FF000000"/>
        <rFont val="Arial"/>
      </rPr>
  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</t>
    </r>
    <r>
      <rPr>
        <u/>
        <sz val="0"/>
        <color rgb="FF1155CC"/>
        <rFont val="Arial"/>
      </rPr>
      <t>탐정사무소 · 탐정사무소.org</t>
    </r>
    <r>
      <rPr>
        <sz val="0"/>
        <color rgb="FF000000"/>
        <rFont val="Arial"/>
      </rPr>
      <t>"를 찾아주세요.
5. "흥신소·탐정사무소 1위 - 탐정사무소"를 클릭해주세요.
6. 사이트 방문 후 제일 하단으로 이동해주세요.
7. [ 힌트 ] 를 보고 정답을 찾아주세요.
8. 초성힌트 : [ 전북특별자치도 전주시 덕진구 만성동 1360-6, OOO호 ]
정답 : &lt;3&gt;  글자</t>
    </r>
  </si>
  <si>
    <t>용감한탐정들</t>
  </si>
  <si>
    <t>https://xn--v92b13hitax6rjwl.org/</t>
  </si>
  <si>
    <t>대구 이혼전문변호사 법무법인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</si>
  <si>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"법무법인그날 · knal.kr"을 찾아주세요.
5. "대구이혼전문변호사 | 이혼상담 - 법무법인그날"을 클릭해주세요.
6. 사이트 방문 후 우측 상단 "☰(삼선) -&gt; 로펌소개 -&gt; 인사말"을 클릭해주세요.
7. [ 힌트 ] 를 보고 정답을 찾아주세요.
8. 초성힌트 : [ 상처입은 OOO의 마음까지 책임지는 법무법인 그날에 오신 것을 환영합니다. ]
정답 : &lt;3&gt;  글자</t>
  </si>
  <si>
    <t>의뢰인</t>
  </si>
  <si>
    <t>법무법인그날</t>
  </si>
  <si>
    <t>https://knal.kr/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</si>
  <si>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</si>
  <si>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Eko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</si>
  <si>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</si>
  <si>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4월 세팅 완~4/30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</si>
  <si>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</si>
  <si>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</si>
  <si>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</si>
  <si>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미사역미용실 르시끄 하남미사역점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</si>
  <si>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4.[**끄 하남미사역점]플레이스를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{ㅁㅅㄹ}
정답 : &lt;3&gt; 글자
* 정답란에 띄어쓰기 없이 입력 후 제출해주세요.</t>
  </si>
  <si>
    <t>**끄 하남미사역점</t>
  </si>
  <si>
    <t>https://m.place.naver.com/hairshop/1631997488/home</t>
  </si>
  <si>
    <t>미사역 르시끄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</si>
  <si>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4.[**끄 하남미사역점]플레이스를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{ㄱㅇㄷㅅㄷ}
정답 : &lt;5&gt; 글자
* 정답란에 띄어쓰기 없이 입력 후 제출해주세요.</t>
  </si>
  <si>
    <t>르시끄 하남미사역점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</si>
  <si>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4.[**끄 하남미사역점]플레이스를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{ㅂㅁㄱㄹㄱㅇ}
정답 : &lt;6&gt; 글자
* 정답란에 띄어쓰기 없이 입력 후 제출해주세요.</t>
  </si>
  <si>
    <t>협재 크랩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</si>
  <si>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4.[**치크랩 제주협재점]플레이스를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{ㅎㄱㄹㅈㅁㄷ}
정답 : &lt;6&gt; 글자
* 정답란에 띄어쓰기 없이 입력 후 제출해주세요.</t>
  </si>
  <si>
    <t>해거름전망대</t>
  </si>
  <si>
    <t>**치크랩 제주협재점</t>
  </si>
  <si>
    <t>https://m.place.naver.com/restaurant/1630629687/home</t>
  </si>
  <si>
    <t>협재 크랩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</si>
  <si>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4.[**치크랩 제주협재점]플레이스를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{ㅇㄹㅂㄷㅊㅎㅁㅇ}
정답 : &lt;8&gt; 글자
* 정답란에 띄어쓰기 없이 입력 후 제출해주세요.</t>
  </si>
  <si>
    <t>올레바당체험마을</t>
  </si>
  <si>
    <t>한림읍 더비치크랩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</si>
  <si>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4.[**치크랩 제주협재점]플레이스를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{ㅍㅍㅍㄱ}
정답 : &lt;4&gt; 글자
* 정답란에 띄어쓰기 없이 입력 후 제출해주세요.</t>
  </si>
  <si>
    <t>판포포구</t>
  </si>
  <si>
    <t>제주 협재 크랩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</si>
  <si>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4.[**치크랩 제주협재점]플레이스를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{ㄴㅈㄹㅇㄹ}
정답 : &lt;5&gt; 글자
* 정답란에 띄어쓰기 없이 입력 후 제출해주세요.</t>
  </si>
  <si>
    <t>느지리오름</t>
  </si>
  <si>
    <t>제주 협재 랍스터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</si>
  <si>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4.[**치크랩 제주협재점]플레이스를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{ㅎㄹㅅㄷ}
정답 : &lt;4&gt; 글자
* 정답란에 띄어쓰기 없이 입력 후 제출해주세요.</t>
  </si>
  <si>
    <t>한림성당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</si>
  <si>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4.[*타쿠 부산광안점]플레이스를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{ㅁㄹㅎ}
정답 : &lt;3&gt; 글자
* 정답란에 띄어쓰기 없이 입력 후 제출해주세요.</t>
  </si>
  <si>
    <t>민락항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</si>
  <si>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4.[*타쿠 부산광안점]플레이스를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{ㅂㅅ}
정답 : &lt;2&gt; 글자
* 정답란에 띄어쓰기 없이 입력 후 제출해주세요.</t>
  </si>
  <si>
    <t>수원 딤섬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</si>
  <si>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4.[*얌차]플레이스를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{ㅎㅅㄱㅇ}
정답 : &lt;4&gt; 글자
* 정답란에 띄어쓰기 없이 입력 후 제출해주세요.</t>
  </si>
  <si>
    <t>화서공원</t>
  </si>
  <si>
    <t>*얌차</t>
  </si>
  <si>
    <t>https://m.place.naver.com/restaurant/1373965865/home?entry=pll</t>
  </si>
  <si>
    <t>수원 장안동 딤섬 식당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</si>
  <si>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4.[*얌차]플레이스를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{ㅎㅅㅎㄱ}
정답 : &lt;4&gt; 글자
* 정답란에 띄어쓰기 없이 입력 후 제출해주세요.</t>
  </si>
  <si>
    <t>화성행궁</t>
  </si>
  <si>
    <t>팔달구 딤섬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</si>
  <si>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4.[*얌차]플레이스를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{ㅂㅎㅅㄹㅈ}
정답 : &lt;5&gt; 글자
* 정답란에 띄어쓰기 없이 입력 후 제출해주세요.</t>
  </si>
  <si>
    <t>방화수류정</t>
  </si>
  <si>
    <t>3월 세팅 완~3/10</t>
  </si>
  <si>
    <t>신사 기념일 케이크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</si>
  <si>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{ㄷㅅㄱㅇ}
정답 : &lt;4&gt; 글자
* 정답란에 띄어쓰기 없이 입력 후 제출해주세요.</t>
  </si>
  <si>
    <t>도산공원</t>
  </si>
  <si>
    <t>*올</t>
  </si>
  <si>
    <t>https://m.place.naver.com/restaurant/1282053346/home</t>
  </si>
  <si>
    <t>신사 기념일 케이크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</si>
  <si>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{ㄴㅎㄷㄱㄱㄱㄹ}
정답 : &lt;7&gt; 글자
* 정답란에 띄어쓰기 없이 입력 후 제출해주세요.</t>
  </si>
  <si>
    <t>압구정 생화 케이크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</si>
  <si>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{ㄷㅅㅇㅊㅎㅁㅇ}
정답 : &lt;7&gt; 글자
* 정답란에 띄어쓰기 없이 입력 후 제출해주세요.</t>
  </si>
  <si>
    <t>압구정 기념일 케이크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</si>
  <si>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{ㅆㄹㅈㄱㅇ}
정답 : &lt;5&gt; 글자
* 정답란에 띄어쓰기 없이 입력 후 제출해주세요.</t>
  </si>
  <si>
    <t>신내동 푸른의원 정형외과</t>
  </si>
  <si>
    <r>
      <rPr>
        <u/>
        <sz val="0"/>
        <color rgb="FF1155CC"/>
        <rFont val="Arial"/>
      </rPr>
      <t>https://docs.google.com/spreadsheets/d/1wQap-i5D8__C6fsye9hSfSSIBQL9Fi03ZrcvhooJ7dw/edit?gid=1052319938#gid=1052319938</t>
    </r>
    <r>
      <rPr>
        <sz val="0"/>
        <color rgb="FF000000"/>
        <rFont val="Arial"/>
      </rPr>
      <t>8</t>
    </r>
  </si>
  <si>
    <t>신내동 정형외과 푸른의원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</si>
  <si>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{ㅅㄹㅅ}
정답 : &lt;3&gt;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</si>
  <si>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{ㅂㅈㅅ}
정답 : &lt;3&gt; 글자
* 정답란에 띄어쓰기 없이 입력 후 제출해주세요.</t>
  </si>
  <si>
    <t>법장사</t>
  </si>
  <si>
    <t>https://docs.google.com/spreadsheets/d/1wQap-i5D8__C6fsye9hSfSSIBQL9Fi03ZrcvhooJ7dw/edit?gid=1052319938#gid=10523199388</t>
  </si>
  <si>
    <t>광안리 브런치 추천</t>
  </si>
  <si>
    <t>광안리 브런치 카페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</si>
  <si>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{ㅅㅈㅅㅁㅁㅎㄱㅇ}
정답 : &lt;8&gt; 글자
* 정답란에 띄어쓰기 없이 입력 후 제출해주세요.</t>
  </si>
  <si>
    <t>상주시민문화공원</t>
  </si>
  <si>
    <t>광안리 브런치 카페 오션뷰</t>
  </si>
  <si>
    <t>고잔동 오뎅탕 이자카야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</si>
  <si>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부천]플레이스를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{ㅇㅈㄱㄱㅇ}
정답 : &lt;5&gt; 글자
* 정답란에 띄어쓰기 없이 입력 후 제출해주세요.</t>
  </si>
  <si>
    <t>안중근공원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</si>
  <si>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분당]플레이스를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{ㅌㅊ}
정답 : &lt;2&gt;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</si>
  <si>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종로성동]플레이스를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{ㅎㄷㄷ}
정답 : &lt;3&gt; 글자
* 정답란에 띄어쓰기 없이 입력 후 제출해주세요.</t>
  </si>
  <si>
    <t>힙당동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</si>
  <si>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안산]플레이스를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{ㅍㄱㄱㅇ}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</si>
  <si>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안]플레이스를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{ㅇㄱㄱㅇ}
정답 : &lt;4&gt; 글자
* 정답란에 띄어쓰기 없이 입력 후 제출해주세요.</t>
  </si>
  <si>
    <t>운곡공원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</si>
  <si>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울산]플레이스를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{ㅁㄷㅅㄱㅇ}
정답 : &lt;5&gt; 글자
* 정답란에 띄어쓰기 없이 입력 후 제출해주세요.</t>
  </si>
  <si>
    <t>무둔실공원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</si>
  <si>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천안]플레이스를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{ㅎㅇㅅ}
정답 : &lt;3&gt; 글자
* 정답란에 띄어쓰기 없이 입력 후 제출해주세요.</t>
  </si>
  <si>
    <t>화엄사</t>
  </si>
  <si>
    <t>운문사 한식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</si>
  <si>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{ㄱㅂㅈ}
정답 : &lt;3&gt; 글자
* 정답란에 띄어쓰기 없이 입력 후 제출해주세요.</t>
  </si>
  <si>
    <t>길부지</t>
  </si>
  <si>
    <t>*산집</t>
  </si>
  <si>
    <t>https://m.place.naver.com/restaurant/15241157/home</t>
  </si>
  <si>
    <t>운문사 매운탕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</si>
  <si>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{ㅇㅅ}
정답 : &lt;2&gt; 글자
* 정답란에 띄어쓰기 없이 입력 후 제출해주세요.</t>
  </si>
  <si>
    <t>억산</t>
  </si>
  <si>
    <t>운문사 매운탕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</si>
  <si>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{ㅇㄱㅅ}
정답 : &lt;3&gt; 글자
* 정답란에 띄어쓰기 없이 입력 후 제출해주세요.</t>
  </si>
  <si>
    <t>옹강산</t>
  </si>
  <si>
    <t>02월 20일 마감</t>
  </si>
  <si>
    <t>멀칭비닐 친환경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</si>
  <si>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친*경 생분* 멀*비닐 농*용 필* 500M 환*부 인*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</si>
  <si>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https://smartstore.naver.com/bonature-/products/10528888294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</si>
  <si>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친*경 생분* 멀*비닐 농*용 필* 500M 환*부 인*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</si>
  <si>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친*경 생분* 멀*비닐 농*용 필* 500M 환*부 인*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</si>
  <si>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친*경 생분* 멀*비닐 농*용 필* 500M 환*부 인*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</si>
  <si>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436개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</si>
  <si>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친*경 생분* 멀*비닐 농*용 필* 500M 환*부 인*
 ( '광고' 클릭 절대 금지 )
 ▶판매처 : 비오네이쳐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</si>
  <si>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</si>
  <si>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3월 세팅 완~ 3/9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</si>
  <si>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</si>
  <si>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</si>
  <si>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</si>
  <si>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</si>
  <si>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3월 세팅 완~3/26</t>
  </si>
  <si>
    <t>봉담 미래전국물류</t>
  </si>
  <si>
    <t>https://m.place.naver.com/restaurant/1620580872/home</t>
  </si>
  <si>
    <t>교대 이자카야 예약</t>
  </si>
  <si>
    <t>서초구 교대 맛집 이자카야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</si>
  <si>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변호사창원사무소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{ㅅㄴㅂㅅㄱㅈ}
정답 : &lt;6&gt; 글자
* 정답란에 띄어쓰기 없이 입력 후 제출해주세요.</t>
  </si>
  <si>
    <t>상남분수광장</t>
  </si>
  <si>
    <t>https://m.place.naver.com/place/1250445692/home</t>
  </si>
  <si>
    <t>창원 사파동 이혼전문 법률사무소</t>
  </si>
  <si>
    <t>창원 성산구 이혼전문 법률상담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</si>
  <si>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변호사창원사무소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{ㅅㄴㅈㅅㅁ}
정답 : &lt;5&gt; 글자
* 정답란에 띄어쓰기 없이 입력 후 제출해주세요.</t>
  </si>
  <si>
    <t>상남지석묘</t>
  </si>
  <si>
    <t>창원 성산구 형사전문 법률상담</t>
  </si>
  <si>
    <t>창원 사파동 형사전문 변호사 상담</t>
  </si>
  <si>
    <t>인천 을왕리 조개무한리필</t>
  </si>
  <si>
    <t>무주 닭볶음탕 추천</t>
  </si>
  <si>
    <t>무주 솥뚜껑 닭볶음탕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</si>
  <si>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4.[*주농원]플레이스를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{ㅍㅎㄱㄱ}
정답 : &lt;4&gt; 글자
* 정답란에 띄어쓰기 없이 입력 후 제출해주세요.</t>
  </si>
  <si>
    <t>대전 시청역 법률사무소 상담</t>
  </si>
  <si>
    <t>대전 시청역 변호사 상담</t>
  </si>
  <si>
    <t>대전 둔산동 이혼소송 변호사</t>
  </si>
  <si>
    <t>대전 둔산동 이혼소송 상담</t>
  </si>
  <si>
    <t>광안리 뭉티기 예약</t>
  </si>
  <si>
    <t>수영구 광안리  육회</t>
  </si>
  <si>
    <t>수영구 광안리  뭉티기</t>
  </si>
  <si>
    <t>3월 세팅 완~3/15</t>
  </si>
  <si>
    <t>02월 23일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</si>
  <si>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</si>
  <si>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3월 세팅 완~3/25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</si>
  <si>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</si>
  <si>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</si>
  <si>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</si>
  <si>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</si>
  <si>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</si>
  <si>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</si>
  <si>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</si>
  <si>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</si>
  <si>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</si>
  <si>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"탐정사무소 · 탐정사무소.org"를 찾아주세요.
5. "흥신소·탐정사무소 1위 - 탐정사무소"를 클릭해주세요.
6. 사이트 방문 후 제일 하단으로 이동해주세요.
7. [ 힌트 ] 를 보고 정답을 찾아주세요.
8. 초성힌트 : [ TEL : 1533-OOOO ]
정답 : &lt;4&gt;  글자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</si>
  <si>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</si>
  <si>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</si>
  <si>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</si>
  <si>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</si>
  <si>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</si>
  <si>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</si>
  <si>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</si>
  <si>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</si>
  <si>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</si>
  <si>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</si>
  <si>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</si>
  <si>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okLE</t>
  </si>
  <si>
    <t>3월 세팅 완~ 3/4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</si>
  <si>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</si>
  <si>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</si>
  <si>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</si>
  <si>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인천사무소 형사전문]플레이스를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{ㅁㅎㅅ}
정답 : &lt;3&gt; 글자
* 정답란에 띄어쓰기 없이 입력 후 제출해주세요.</t>
  </si>
  <si>
    <t>https://m.place.naver.com/place/1498332235/home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</si>
  <si>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인천사무소 형사전문]플레이스를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{ㅇㅎㅁㅎㅇㄱㄹ}
정답 : &lt;7&gt; 글자
* 정답란에 띄어쓰기 없이 입력 후 제출해주세요.</t>
  </si>
  <si>
    <t>인하문화의거리</t>
  </si>
  <si>
    <t>대전 둔산동 형사소송 변호사</t>
  </si>
  <si>
    <t>김포공항 라움 발렛파킹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</si>
  <si>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4.[*움주차대행]플레이스를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{ㄲㄱㄱㄱㅇ}
정답 : &lt;5&gt; 글자
* 정답란에 띄어쓰기 없이 입력 후 제출해주세요.</t>
  </si>
  <si>
    <t>꿩고개공원</t>
  </si>
  <si>
    <t>3월 세팅 완~3/9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</si>
  <si>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</si>
  <si>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</si>
  <si>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</si>
  <si>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</si>
  <si>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</si>
  <si>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</si>
  <si>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</si>
  <si>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</si>
  <si>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</si>
  <si>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</si>
  <si>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</si>
  <si>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</si>
  <si>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</si>
  <si>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</si>
  <si>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</si>
  <si>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*양산삼 산*삼 장*삼 산* 7-8*근 5*리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</si>
  <si>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https://m.search.naver.com/search.naver?sm=mtp_sug.top&amp;where=m&amp;query=산양삼+8년근+5뿌리+설&amp;ackey=mbauljxv&amp;acq=건강&amp;acr=2&amp;qdt=0</t>
  </si>
  <si>
    <t>https://smartstore.naver.com/minkukss/products/5626594842?is_retargeting=true&amp;c=260101_p_Naver_product&amp;pid=Naver&amp;deep_link_value=https%3A%2F%2Fsmartstore.naver.com%2Fminkukss%2Fproducts%2F5626594842%3Fka_ref%3Dkakao%26ka_req_id%3DgE97jSIBvtzuiVRfFwo4AQ%26ka_template%3Dcommerce_social&amp;dtm_source=KK&amp;dtm_detail=gE97jSIBvtzuiVRfFwo4AQ&amp;dtm_campaign=commerce_social&amp;dtm_medium=O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</si>
  <si>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*양산삼 산*삼 장*삼 산* 7-8*근 5*리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</si>
  <si>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https://m.search.naver.com/search.naver?sm=mtp_sug.top&amp;where=m&amp;query=산양삼+8년근+5뿌리+부모님&amp;ackey=mbauljxv&amp;acq=약초&amp;acr=3&amp;qdt=0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</si>
  <si>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*양산삼 산*삼 장*삼 산* 7-8*근 5*리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</si>
  <si>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https://m.search.naver.com/search.naver?sm=mtp_sug.top&amp;where=m&amp;query=장뇌삼+7년근+5뿌리+설+부모님&amp;ackey=mbauljxv&amp;acq=비타민&amp;acr=3&amp;qdt=0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</si>
  <si>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*양산삼 산*삼 장*삼 산* 7-8*근 5*리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</si>
  <si>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https://m.search.naver.com/search.naver?sm=mtp_sug.top&amp;where=m&amp;query=산삼+7년근+8년근+5뿌리&amp;ackey=mbauljxv&amp;acq=영양제&amp;acr=4&amp;qdt=0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</si>
  <si>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*양산삼 산*삼 장*삼 산* 7-8*근 5*리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</si>
  <si>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https://m.search.naver.com/search.naver?sm=mtp_sug.top&amp;where=m&amp;query=산삼+8년근+5뿌리&amp;ackey=mbauljxv&amp;acq=약국&amp;acr=7&amp;qdt=0</t>
  </si>
  <si>
    <t>02월 24일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</si>
  <si>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"법률사무소 나인 · ninelawfirm.co.kr"을 찾아주세요.
</t>
    </r>
    <r>
      <rPr>
        <sz val="0"/>
        <color rgb="FFFF0000"/>
        <rFont val="Arial"/>
      </rPr>
      <t>※ 복사된 키워드 검색 시, 해당 웹사이트가 없는 경우 아래 '검색결과 더보기 →' 클릭하여 찾아주세요.</t>
    </r>
    <r>
      <rPr>
        <sz val="0"/>
        <color theme="1"/>
        <rFont val="Arial"/>
      </rPr>
      <t xml:space="preserve">
5. "남양주 이혼변호사, 형사변호사 - 법률사무소 나인"을 클릭해주세요.
6. 사이트 방문 후 우측 상단 "☰(삼선) -&gt; 법률사무소 소개 -&gt; 로펌소개"를 클릭해주세요.
7. [ 힌트 ] 를 보고 정답을 찾아주세요.
8. 초성힌트 : [ 나인은 여러분의 곁을 지키는 든든한 ‘내 편인 OOO’ 입니다. ]
정답 : &lt;3&gt;  글자</t>
    </r>
  </si>
  <si>
    <t>3월세팅~3/4</t>
  </si>
  <si>
    <t>남양주 개인회생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</si>
  <si>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"남양주개인회생 법률사무소나인 lawyer99-newlife.com›bbs"을 찾아주세요.
</t>
    </r>
    <r>
      <rPr>
        <sz val="0"/>
        <color rgb="FFFF0000"/>
        <rFont val="Arial"/>
      </rPr>
      <t>※ 복사된 키워드 검색 시, 해당 웹사이트가 없는 경우 아래 '검색결과 더보기 →' 클릭하여 찾아주세요.</t>
    </r>
    <r>
      <rPr>
        <sz val="0"/>
        <color theme="1"/>
        <rFont val="Arial"/>
      </rPr>
      <t xml:space="preserve">
5. "나인의 특별함 1 페이지"를 클릭해주세요.
6. 사이트 방문 후 우측 상단 "☰(삼선) -&gt; 법률사무소 나인 -&gt; 법률사무소나인"을 클릭해주세요.
7. [ 힌트 ] 를 보고 정답을 찾아주세요.
8. 초성힌트 : [법률사무소 나인의 OOO]
정답 : &lt;3&gt;  글자</t>
    </r>
  </si>
  <si>
    <t>차별성</t>
  </si>
  <si>
    <t>https://lawyer99-newlife.com/bbs/board.php?bo_table=page0102</t>
  </si>
  <si>
    <t>탐정 사무소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</si>
  <si>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"fstamjung.imweb.me"를 찾아주세요.
</t>
    </r>
    <r>
      <rPr>
        <sz val="0"/>
        <color rgb="FFFF0000"/>
        <rFont val="Arial"/>
      </rPr>
      <t>※ 복사된 키워드 검색 시, 해당 웹사이트가 없는 경우 아래 '검색결과 더보기 →' 클릭하여 찾아주세요.</t>
    </r>
    <r>
      <rPr>
        <sz val="0"/>
        <color theme="1"/>
        <rFont val="Arial"/>
      </rPr>
      <t xml:space="preserve">
5. "대성기획 탐정사무소-검증된 탐정사무소"을 클릭해주세요.
6. 사이트 방문 후 제일 하단으로 이동해주세요.
7. [ 힌트 ] 를 보고 정답을 찾아주세요.
8. 초성힌트 : [ 대표전화 : 1533-OOOO ]
정답 : &lt;4&gt;  글자
* 정답란에 - 포함하여 띄어쓰기 없이 입력 후 제출해주세요.</t>
    </r>
  </si>
  <si>
    <t>3월세팅~3/5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</si>
  <si>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"탐정사무소 탐정사무소.org"를 찾아주세요.
</t>
    </r>
    <r>
      <rPr>
        <sz val="0"/>
        <color rgb="FFFF0000"/>
        <rFont val="Arial"/>
      </rPr>
      <t>※ 복사된 키워드 검색 시, 해당 웹사이트가 없는 경우 아래 '검색결과 더보기 →' 클릭하여 찾아주세요.</t>
    </r>
    <r>
      <rPr>
        <sz val="0"/>
        <color theme="1"/>
        <rFont val="Arial"/>
      </rPr>
      <t xml:space="preserve">
5. "흥신소·탐정사무소 1위 - 탐정사무소"을 클릭해주세요.
6. 사이트 방문 후 우측 상단 "☰(삼선) -&gt; 빠른 상담"을 클릭해주세요.
7. [ 힌트 ] 를 보고 정답을 찾아주세요.
8. 초성힌트 : [ 전국 어디서든 가까운 지점! 24시간 OOOO 상담으로 고민을 가장 빠르게 해결해드립니다. ]
정답 : &lt;4&gt;  글자</t>
    </r>
  </si>
  <si>
    <t>연중무휴</t>
  </si>
  <si>
    <t>축구반티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</si>
  <si>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"반티지 반티사이트 www.bantg.co.krr"을 찾아주세요.
</t>
    </r>
    <r>
      <rPr>
        <sz val="0"/>
        <color rgb="FFFF0000"/>
        <rFont val="Arial"/>
      </rPr>
      <t>※ 복사된 키워드 검색 시, 해당 웹사이트가 없는 경우 아래 '검색결과 더보기 →' 클릭하여 찾아주세요.</t>
    </r>
    <r>
      <rPr>
        <sz val="0"/>
        <color theme="1"/>
        <rFont val="Arial"/>
      </rPr>
      <t xml:space="preserve">
5. "반티지 반티사이트 - 축구반티 야구반티 농구반티 체육대회 반티 제작 전문"를 클릭해주세요.
6. 사이트 방문 후 아래로 스크롤하여 "인기상품 - 핫한 상품 모음 "을 찾아주세요.
7. "축구반티 LA 블랙골드 251A"를 클릭해주세요.
8. 상단 주문 탭에서 "구매 안내"를 찾아주세요
9. [ 힌트 ] 를 보고 정답을 찾아주세요.
10. 초성힌트 : [ 10벌이상 OOOO 전용상품입니다.]
정답 : &lt;4&gt;  글자</t>
    </r>
  </si>
  <si>
    <t>수원정자동영어학원 애슐리영어교습소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</si>
  <si>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4.[*슐리영어교습소]플레이스를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{ㅅㄴㄱㅇ}
정답 : &lt;4&gt; 글자
* 정답란에 띄어쓰기 없이 입력 후 제출해주세요.</t>
  </si>
  <si>
    <t>샘내공원</t>
  </si>
  <si>
    <t>*슐리영어교습소</t>
  </si>
  <si>
    <t>https://m.place.naver.com/place/1622025210/home?entry=pll&amp;bk_query</t>
  </si>
  <si>
    <t>장안구 애슐리영어교습소 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</si>
  <si>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4.[*슐리영어교습소]플레이스를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{ㅎㅅㅇㅁㄱㄹㅊ}
정답 : &lt;7&gt; 글자
* 정답란에 띄어쓰기 없이 입력 후 제출해주세요.</t>
  </si>
  <si>
    <t>화서역먹거리촌</t>
  </si>
  <si>
    <t>장안구 애슐리영어교습소 중등교육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</si>
  <si>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4.[*슐리영어교습소]플레이스를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{ㅅㅌㄱㅇ}
정답 : &lt;4&gt; 글자
* 정답란에 띄어쓰기 없이 입력 후 제출해주세요.</t>
  </si>
  <si>
    <t>샘터공원</t>
  </si>
  <si>
    <t>김포 타이어 타이어천재&amp;오일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</si>
  <si>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4.[*이어천재&amp;오일]플레이스를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{ㅅㅌㅊㅇㄱㅇ}
정답 : &lt;6&gt; 글자
* 정답란에 띄어쓰기 없이 입력 후 제출해주세요.</t>
  </si>
  <si>
    <t>솔터체육공원</t>
  </si>
  <si>
    <t>*이어천재&amp;오일</t>
  </si>
  <si>
    <t>https://m.place.naver.com/place/1195919973/home?entry=pll</t>
  </si>
  <si>
    <t>3월세팅~3/26</t>
  </si>
  <si>
    <t>김포 타이어천재&amp;오일 정비소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</si>
  <si>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4.[*이어천재&amp;오일]플레이스를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{ㅇㅇㄱㅇ}
정답 : &lt;4&gt; 글자
* 정답란에 띄어쓰기 없이 입력 후 제출해주세요.</t>
  </si>
  <si>
    <t>여울공원</t>
  </si>
  <si>
    <t>양촌읍 타이어천재&amp;오일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</si>
  <si>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4.[*이어천재&amp;오일]플레이스를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{ㄴㅂㄱㅇ}
정답 : &lt;4&gt; 글자
* 정답란에 띄어쓰기 없이 입력 후 제출해주세요.</t>
  </si>
  <si>
    <t>나비공원</t>
  </si>
  <si>
    <t>탄방동속눈썹펌 래쉬업 탄방점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</si>
  <si>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4.[*쉬업 탄방점]플레이스를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{ㅊㅎㅅ}
정답 : &lt;3&gt; 글자
* 정답란에 띄어쓰기 없이 입력 후 제출해주세요.</t>
  </si>
  <si>
    <t>*쉬업 탄방점</t>
  </si>
  <si>
    <t>https://m.place.naver.com/place/1312438662/home?entry=pll&amp;bk_query=</t>
  </si>
  <si>
    <t>3월세팅~3/1</t>
  </si>
  <si>
    <t>대전 래쉬업 탄방점 속눈썹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</si>
  <si>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4.[*쉬업 탄방점]플레이스를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{ㄷㅅㄷㅅㄷ}
정답 : &lt;5&gt; 글자
* 정답란에 띄어쓰기 없이 입력 후 제출해주세요.</t>
  </si>
  <si>
    <t>둔산동성당</t>
  </si>
  <si>
    <t>래쉬업 탄방점 속눈썹 연장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</si>
  <si>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4.[*쉬업 탄방점]플레이스를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{ㅅㅇㅌㄱㅇ}
정답 : &lt;5&gt; 글자
* 정답란에 띄어쓰기 없이 입력 후 제출해주세요.</t>
  </si>
  <si>
    <t>시애틀공원</t>
  </si>
  <si>
    <t>동명항 맛집 팔도대게찜</t>
  </si>
  <si>
    <t>속초 맛집 팔도대게찜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</si>
  <si>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{ㄷㅅㅊㅇㄱㅇ}
정답 : &lt;6&gt; 글자
* 정답란에 띄어쓰기 없이 입력 후 제출해주세요.</t>
  </si>
  <si>
    <t>돌산체육공원</t>
  </si>
  <si>
    <t>광안리 애견동반 브런치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</si>
  <si>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4.[*움주차대행]플레이스를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{ㅅㅇㅅㅁㅇ}
정답 : &lt;5&gt; 글자
* 정답란에 띄어쓰기 없이 입력 후 제출해주세요.</t>
  </si>
  <si>
    <t>서울식물원</t>
  </si>
  <si>
    <t>샛강역 한우 차돌박이</t>
  </si>
  <si>
    <t>여의도 한우 차돌박이</t>
  </si>
  <si>
    <t>여의도 나무가든</t>
  </si>
  <si>
    <t>샛강역 나무가든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</si>
  <si>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4.[*무가든 동여의도점]플레이스를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{ㅇㅈㄹㅂㄲㄱ}
정답 : &lt;6&gt; 글자
* 정답란에 띄어쓰기 없이 입력 후 제출해주세요.</t>
  </si>
  <si>
    <t>윤중로벚꽃길</t>
  </si>
  <si>
    <t>나무가든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</si>
  <si>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4.[*무가든 동여의도점]플레이스를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{ㅈㅁㄹㄱㅇ}
정답 : &lt;5&gt; 글자
* 정답란에 띄어쓰기 없이 입력 후 제출해주세요.</t>
  </si>
  <si>
    <t>부산 서면역 컴퓨터 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</si>
  <si>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4.[**C아카데미 컴퓨터교육센터 부산캠퍼스]플레이스를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{ㅈㅍㄱㄱㄱ}
정답 : &lt;5&gt; 글자
* 정답란에 띄어쓰기 없이 입력 후 제출해주세요.</t>
  </si>
  <si>
    <t>**C아카데미 컴퓨터교육센터 부산캠퍼스</t>
  </si>
  <si>
    <t>https://m.place.naver.com/place/2092531850/home</t>
  </si>
  <si>
    <t>부산 부전동 컴퓨터학원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</si>
  <si>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4.[**C아카데미 컴퓨터교육센터 부산캠퍼스]플레이스를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{ㄷㅊ}
정답 : &lt;2&gt; 글자
* 정답란에 띄어쓰기 없이 입력 후 제출해주세요.</t>
  </si>
  <si>
    <t>양재 시민의숲 된장전골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</si>
  <si>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4.[*된장 양재시민의숲점]플레이스를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{ㅇㅈㅊ}
정답 : &lt;3&gt; 글자
* 정답란에 띄어쓰기 없이 입력 후 제출해주세요.</t>
  </si>
  <si>
    <t>양재천</t>
  </si>
  <si>
    <t>*된장 양재시민의숲점</t>
  </si>
  <si>
    <t>https://m.place.naver.com/restaurant/1018237603/home</t>
  </si>
  <si>
    <t>3월세팅~3/3</t>
  </si>
  <si>
    <t>양재 시민의숲 된장전골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</si>
  <si>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4.[*된장 양재시민의숲점]플레이스를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{ㅂㅇㅁㄱㅇ}
정답 : &lt;5&gt; 글자
* 정답란에 띄어쓰기 없이 입력 후 제출해주세요.</t>
  </si>
  <si>
    <t>바우뫼공원</t>
  </si>
  <si>
    <t>신촌역 포장마차 추천</t>
  </si>
  <si>
    <t>3월세팅~3/16</t>
  </si>
  <si>
    <t>신촌 포장마차 맛집</t>
  </si>
  <si>
    <t>경주 축산물 정육점</t>
  </si>
  <si>
    <t>경주 정육점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</si>
  <si>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4.[*주축산물백화점]플레이스를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{ㅅㄱㄱㅅ}
정답 : &lt;4&gt; 글자
* 정답란에 띄어쓰기 없이 입력 후 제출해주세요.</t>
  </si>
  <si>
    <t>소금강산</t>
  </si>
  <si>
    <t>경기광주 하수구막힘 3035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</si>
  <si>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4.[*수구막힘]플레이스를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{ㅁㄹㅅ}
정답 : &lt;3&gt; 글자
* 정답란에 띄어쓰기 없이 입력 후 제출해주세요.</t>
  </si>
  <si>
    <t>마름산</t>
  </si>
  <si>
    <t>*수구막힘</t>
  </si>
  <si>
    <t>https://m.place.naver.com/place/1425772625/home</t>
  </si>
  <si>
    <t>경기광주 배관 하수구막힘 3035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</si>
  <si>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4.[*수구막힘]플레이스를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{ㅁㅎㅊ}
정답 : &lt;3&gt; 글자
* 정답란에 띄어쓰기 없이 입력 후 제출해주세요.</t>
  </si>
  <si>
    <t>목현천</t>
  </si>
  <si>
    <t>오산 스테이크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</si>
  <si>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4.[**라질 스테이크 오산점]플레이스를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{ㅇㄹㄸㄱㅇ}
정답 : &lt;5&gt; 글자
* 정답란에 띄어쓰기 없이 입력 후 제출해주세요.</t>
  </si>
  <si>
    <t>아래뜰공원</t>
  </si>
  <si>
    <t>**라질 스테이크 오산점</t>
  </si>
  <si>
    <t>https://m.place.naver.com/restaurant/1710859532/home</t>
  </si>
  <si>
    <t>오산 스테이크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</si>
  <si>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4.[**라질 스테이크 오산점]플레이스를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{ㅇㅅㅊ}
정답 : &lt;3&gt; 글자
* 정답란에 띄어쓰기 없이 입력 후 제출해주세요.</t>
  </si>
  <si>
    <t>오산천</t>
  </si>
  <si>
    <t>오산 스테이크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</si>
  <si>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4.[**라질 스테이크 오산점]플레이스를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{ㅈㅈㅊ}
정답 : &lt;3&gt; 글자
* 정답란에 띄어쓰기 없이 입력 후 제출해주세요.</t>
  </si>
  <si>
    <t>오산 슈하스코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</si>
  <si>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4.[**라질 스테이크 오산점]플레이스를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{ㅁㄷㅅ}
정답 : &lt;3&gt; 글자
* 정답란에 띄어쓰기 없이 입력 후 제출해주세요.</t>
  </si>
  <si>
    <t>마등산</t>
  </si>
  <si>
    <t>오산 슈하스코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</si>
  <si>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4.[**라질 스테이크 오산점]플레이스를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{ㅁㅎㄱㅅㅁㅇ}
정답 : &lt;6&gt; 글자
* 정답란에 띄어쓰기 없이 입력 후 제출해주세요.</t>
  </si>
  <si>
    <t>물향기수목원</t>
  </si>
  <si>
    <t>02월 25일 마감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</si>
  <si>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4.[*흥1급정비공업사]플레이스를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{ㅈㅇㄱㅇ}
정답 : &lt;4&gt; 글자
* 정답란에 띄어쓰기 없이 입력 후 제출해주세요.</t>
  </si>
  <si>
    <t>중앙공원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</si>
  <si>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4.[*흥1급정비공업사]플레이스를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{ㅎㄱㄱㅎㄷㅎㄱ}
정답 : &lt;7&gt; 글자
* 정답란에 띄어쓰기 없이 입력 후 제출해주세요.</t>
  </si>
  <si>
    <t>한국공학대학교</t>
  </si>
  <si>
    <t>정왕동 자동차검사소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</si>
  <si>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4.[*흥1급정비공업사]플레이스를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{ㅎㅁㄱㅇ}
정답 : &lt;4&gt; 글자
* 정답란에 띄어쓰기 없이 입력 후 제출해주세요.</t>
  </si>
  <si>
    <t>시흥검사소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</si>
  <si>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4.[*흥1급정비공업사]플레이스를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{ㄱㅅㄴㄹㅅ}
정답 : &lt;5&gt; 글자
* 정답란에 띄어쓰기 없이 입력 후 제출해주세요.</t>
  </si>
  <si>
    <t>곰솔누리숲</t>
  </si>
  <si>
    <t>시흥 정왕동 자동차검사소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</si>
  <si>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4.[*흥1급정비공업사]플레이스를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{ㅇㄱㄱㅇ}
정답 : &lt;4&gt; 글자
* 정답란에 띄어쓰기 없이 입력 후 제출해주세요.</t>
  </si>
  <si>
    <t>옥구공원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</si>
  <si>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4.[**온뮤직 실용음악학원]플레이스를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{ㅍㅊㅈㅇㄱㅇ}
정답 : &lt;6&gt; 글자
* 정답란에 띄어쓰기 없이 입력 후 제출해주세요.</t>
  </si>
  <si>
    <t>평촌중앙공원</t>
  </si>
  <si>
    <t>**온뮤직 실용음악학원</t>
  </si>
  <si>
    <t>성남 태평동 외풍차단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</si>
  <si>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[*나틈새제로 외풍차단]플레이스를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</si>
  <si>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*나틈새제로 외풍차단</t>
  </si>
  <si>
    <t>https://m.place.naver.com/place/2060801710/home?entry=pll</t>
  </si>
  <si>
    <t>https://docs.google.com/spreadsheets/d/1jMEM3TdsyZlTf-f6fo1_nD_fTw4cZT5P7P_e7m7uHgI/edit?gid=1910245993#gid=1910245993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</si>
  <si>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4.[*유오피스 슈가맨워크 용인기흥역점]플레이스를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{ㄱㅊㄱㅇ}
정답 : &lt;4&gt; 글자
* 정답란에 띄어쓰기 없이 입력 후 제출해주세요.</t>
  </si>
  <si>
    <t>갈천공원</t>
  </si>
  <si>
    <t>용인 공유오피스 슈가맨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</si>
  <si>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4.[*유오피스 슈가맨워크 용인기흥역점]플레이스를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{ㅅㄱㅅㄷ}
정답 : &lt;4&gt; 글자
* 정답란에 띄어쓰기 없이 입력 후 제출해주세요.</t>
  </si>
  <si>
    <t>신갈성당</t>
  </si>
  <si>
    <t>용인 슈가맨 공유오피스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</si>
  <si>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4.[*유오피스 슈가맨워크 용인기흥역점]플레이스를 방문 하고 [ 소식 ] 탭을 클릭 해주세요.
 5. [ 소식 ] 탭을 클릭 후 아래 게시글 확인 해주세요. 
 6. 게시글을 보고 빈칸을 확인 후 정답에 입력 해주세요.  
 7.  정답 : &lt;3&gt; 글자
초성힌트 : {알림 비상주 3개월 무료 OOO}
* 정답란에 띄어쓰기 없이 입력 후 제출해주세요.</t>
  </si>
  <si>
    <t>서비스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</si>
  <si>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4.[법률사무소 형사변호사 충*]플레이스를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{ㅍㅊㅈㅇㄱㅇ}
정답 : &lt;6&gt; 글자
* 정답란에 띄어쓰기 없이 입력 후 제출해주세요.</t>
  </si>
  <si>
    <t>법률사무소 형사변호사 충*</t>
  </si>
  <si>
    <t>안양변호사 충용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</si>
  <si>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4.[법률사무소 형사변호사 충*]플레이스를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{ㅍㅊㄱㅇ}
정답 : &lt;4&gt; 글자
* 정답란에 띄어쓰기 없이 입력 후 제출해주세요.</t>
  </si>
  <si>
    <t>안양 동안 충용 변호사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</si>
  <si>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4.[법률사무소 형사변호사 충*]플레이스를 방문 하고 [ 소식 ] 탭을 클릭 해주세요.
 5. [ 소식 ] 탭을 클릭 후 아래 게시글 확인 해주세요. 
 6. 게시글을 보고 빈칸을 확인 후 정답에 입력 해주세요.  
 7.  정답 : &lt;2&gt; 글자
초성힌트 : {블로그 보이스피싱 OO 무혐의 이끌어 낸 성공사례}
* 정답란에 띄어쓰기 없이 입력 후 제출해주세요.</t>
  </si>
  <si>
    <t>사기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</si>
  <si>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안산중앙점]플레이스를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{ㅅㅎㅁㄱ}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</si>
  <si>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안산중앙점]플레이스를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{ㅅㅍㅇㅅㄱㅇ}
정답 : &lt;6&gt; 글자
* 정답란에 띄어쓰기 없이 입력 후 제출해주세요.</t>
  </si>
  <si>
    <t>성포예술공원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</si>
  <si>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4.[*선장어시장 안산중앙점]플레이스를 방문 하고 [ 소식 ] 탭을 클릭 해주세요.
 5. [ 소식 ] 탭을 클릭 후 아래 게시글 확인 해주세요. 
 6. 게시글을 보고 빈칸을 확인 후 정답에 입력 해주세요.  
 7.  정답 : &lt;3&gt; 글자
초성힌트 : {알림 💙 고객 감사 OOO 혜택 안내}
* 정답란에 띄어쓰기 없이 입력 후 제출해주세요.</t>
  </si>
  <si>
    <t>웨이팅</t>
  </si>
  <si>
    <t>안산 과메기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</si>
  <si>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안산중앙점]플레이스를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{ㅂㅇㄱㅇ}
정답 : &lt;4&gt; 글자
* 정답란에 띄어쓰기 없이 입력 후 제출해주세요.</t>
  </si>
  <si>
    <t>바위공원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</si>
  <si>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안산중앙점]플레이스를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</si>
  <si>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4.[*선장어시장 안산중앙점]플레이스를 방문 하고 [ 소식 ] 탭을 클릭 해주세요.
 5. [ 소식 ] 탭을 클릭 후 아래 게시글 확인 해주세요. 
 6. 게시글을 보고 빈칸을 확인 후 정답에 입력 해주세요.  
 7.  정답 : &lt;2&gt; 글자
초성힌트 : {알림 ❄️🐟 겨울 제철 OO, 방어회 한 점 ✨🫧}
* 정답란에 띄어쓰기 없이 입력 후 제출해주세요.</t>
  </si>
  <si>
    <t>별미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</si>
  <si>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4.[*견카페왕 애견유치원,애견호텔]플레이스를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{ㅎㅇㄹㅇㄹ}
정답 : &lt;5&gt; 글자
* 정답란에 띄어쓰기 없이 입력 후 제출해주세요.</t>
  </si>
  <si>
    <t>홍유릉유릉</t>
  </si>
  <si>
    <t>남양주 애견카페왕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</si>
  <si>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4.[*견카페왕 애견유치원,애견호텔]플레이스를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{ㅇㅊㅇㅁ}
정답 : &lt;4&gt; 글자
* 정답란에 띄어쓰기 없이 입력 후 제출해주세요.</t>
  </si>
  <si>
    <t>의친왕묘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</si>
  <si>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4.[*견카페왕 애견유치원,애견호텔]플레이스를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{ㅇㅍㄱㄹㄱㅇ}
정답 : &lt;6&gt; 글자
* 정답란에 띄어쓰기 없이 입력 후 제출해주세요.</t>
  </si>
  <si>
    <t>일패근린공원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</si>
  <si>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4.[*리뷰티 눈썹&amp;속눈썹]플레이스를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{ㅂㄱㅅ}
정답 : &lt;3&gt; 글자
* 정답란에 띄어쓰기 없이 입력 후 제출해주세요.</t>
  </si>
  <si>
    <t>https://m.place.naver.com/place/2014548028/home?entry=pll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</si>
  <si>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4.[*리뷰티 눈썹&amp;속눈썹]플레이스를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{ㅅㅅㅇㄱㅇ}
정답 : &lt;5&gt; 글자
* 정답란에 띄어쓰기 없이 입력 후 제출해주세요.</t>
  </si>
  <si>
    <t>스승의공원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</si>
  <si>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4.[*리뷰티 눈썹&amp;속눈썹]플레이스를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{ㅇㅅㅊ}
정답 : &lt;3&gt; 글자
* 정답란에 띄어쓰기 없이 입력 후 제출해주세요.</t>
  </si>
  <si>
    <t>유성천</t>
  </si>
  <si>
    <t>호치민 골프레슨 데이비드골프아카데미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</si>
  <si>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4.[*이비드골프아카데미]플레이스를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{ㅅㅈㄹ}
정답 : &lt;3&gt; 글자
* 정답란에 띄어쓰기 없이 입력 후 제출해주세요.</t>
  </si>
  <si>
    <t>선정릉</t>
  </si>
  <si>
    <t>*이비드골프아카데미</t>
  </si>
  <si>
    <t>https://m.place.naver.com/place/1872141888/home?entry=pll</t>
  </si>
  <si>
    <t>대치동 골프레슨 데이비드골프아카데미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</si>
  <si>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4.[*이비드골프아카데미]플레이스를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{ㅅㅅㄲㅊㄱㅇ}
정답 : &lt;6&gt; 글자
* 정답란에 띄어쓰기 없이 입력 후 제출해주세요.</t>
  </si>
  <si>
    <t>삼성까치공원</t>
  </si>
  <si>
    <t>강남 골프레슨 데이비드골프아카데미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</si>
  <si>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4.[*이비드골프아카데미]플레이스를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{ㅇㅅㅇㄱㅇ}
정답 : &lt;5&gt; 글자
* 정답란에 띄어쓰기 없이 입력 후 제출해주세요.</t>
  </si>
  <si>
    <t>아시아공원</t>
  </si>
  <si>
    <t>봉명동위스키바 루미테라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</si>
  <si>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4.[*미테라]플레이스를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{ㄱㄷㄹㄷㅇㄱㄹ}
정답 : &lt;7&gt; 글자
* 정답란에 띄어쓰기 없이 입력 후 제출해주세요.</t>
  </si>
  <si>
    <t>궁동로데오거리</t>
  </si>
  <si>
    <t>대전 루미테라</t>
  </si>
  <si>
    <t>대전 봉명동 루미테라</t>
  </si>
  <si>
    <t>대전 엘리뷰티 눈썹문신</t>
  </si>
  <si>
    <t>의정부 유영스파</t>
  </si>
  <si>
    <t>유영스파테라피</t>
  </si>
  <si>
    <t>강동 인테리어 필름 영림필름 에스케이인테리어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</si>
  <si>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4.[*림필름 에스케이인테리어 필름]플레이스를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{ㅊㅎㄷㄹㄷㅇㄱㄹ}
정답 : &lt;8&gt; 글자
* 정답란에 띄어쓰기 없이 입력 후 제출해주세요.</t>
  </si>
  <si>
    <t>천호동로데오거리</t>
  </si>
  <si>
    <t>*림필름 에스케이인테리어 필름</t>
  </si>
  <si>
    <t>https://m.place.naver.com/place/2036122085/home?entry=pll</t>
  </si>
  <si>
    <t>강동 영림필름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</si>
  <si>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4.[*림필름 에스케이인테리어 필름]플레이스를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{ㅅㄴㄷㅈㄲㅁㄱㅁ}
정답 : &lt;8&gt; 글자
* 정답란에 띄어쓰기 없이 입력 후 제출해주세요.</t>
  </si>
  <si>
    <t>성내동주꾸미골목</t>
  </si>
  <si>
    <t>천호역 영림필름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</si>
  <si>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4.[*림필름 에스케이인테리어 필름]플레이스를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{ㅍㄴㅌㅅㄱㄷㅈㄱ}
정답 : &lt;8&gt; 글자
* 정답란에 띄어쓰기 없이 입력 후 제출해주세요.</t>
  </si>
  <si>
    <t>풍납토성경당지구</t>
  </si>
  <si>
    <t>미사역 선두커피</t>
  </si>
  <si>
    <t>하남 선두커피</t>
  </si>
  <si>
    <t>전곡읍 카페 카페스톤</t>
  </si>
  <si>
    <t>프리허그한의원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</si>
  <si>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4.[*리허그한의원 광주]플레이스를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{ㅅㅁㅈㄱㄱㅇ}
정답 : &lt;6&gt; 글자
* 정답란에 띄어쓰기 없이 입력 후 제출해주세요.</t>
  </si>
  <si>
    <t>상무조각공원</t>
  </si>
  <si>
    <t>*리허그한의원 광주</t>
  </si>
  <si>
    <t>https://m.place.naver.com/hospital/32896886/home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</si>
  <si>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4.[*리허그한의원 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{ㅇㄹㅍㄱㅇ}
정답 : &lt;5&gt; 글자
* 정답란에 띄어쓰기 없이 입력 후 제출해주세요.</t>
  </si>
  <si>
    <t>올림픽공원</t>
  </si>
  <si>
    <t>*리허그한의원 수원</t>
  </si>
  <si>
    <t>https://m.place.naver.com/hospital/31292985/home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</si>
  <si>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4.[*리허그한의원 인천]플레이스를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{ㄱㅇㄹㄷㅇㄱㅈ}
정답 : &lt;7&gt; 글자
* 정답란에 띄어쓰기 없이 입력 후 제출해주세요.</t>
  </si>
  <si>
    <t>구월로데오광장</t>
  </si>
  <si>
    <t>*리허그한의원 인천</t>
  </si>
  <si>
    <t>https://m.place.naver.com/hospital/32839998/home</t>
  </si>
  <si>
    <t>마산휴대폰 휴대폰아울렛 월영점</t>
  </si>
  <si>
    <t>https://m.place.naver.com/restaurant/1851070163/home?entry=pll</t>
  </si>
  <si>
    <t>마산 휴대폰아울렛 월영점</t>
  </si>
  <si>
    <t>휴대폰아울렛 월영점</t>
  </si>
  <si>
    <t>연수 보호센터 제일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</si>
  <si>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4.[*수제일주간보호센터]플레이스를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{ㄱㄱㄱㅇ}
정답 : &lt;4&gt; 글자
* 정답란에 띄어쓰기 없이 입력 후 제출해주세요.</t>
  </si>
  <si>
    <t>갯골공원</t>
  </si>
  <si>
    <t>연수제일주간보호센터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</si>
  <si>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4.[*수제일주간보호센터]플레이스를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{ㅁㅎㅅㅅ}
정답 : &lt;4&gt; 글자
* 정답란에 띄어쓰기 없이 입력 후 제출해주세요.</t>
  </si>
  <si>
    <t>문학산성</t>
  </si>
  <si>
    <t>인천 제일 주간보호센터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</si>
  <si>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4.[*수제일주간보호센터]플레이스를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{ㅈㅁㄱㄹㄱㅇ}
정답 : &lt;6&gt; 글자
* 정답란에 띄어쓰기 없이 입력 후 제출해주세요.</t>
  </si>
  <si>
    <t>장미근린공원</t>
  </si>
  <si>
    <t>제일 인천주간보호센터</t>
  </si>
  <si>
    <t>제일보호센터 연수</t>
  </si>
  <si>
    <t>구월동 속눈썹 뷰미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</si>
  <si>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 구월점]플레이스를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{ㄱㅇㅊㅇㄱㄹㄱㅇ}
정답 : &lt;8&gt; 글자
* 정답란에 띄어쓰기 없이 입력 후 제출해주세요.</t>
  </si>
  <si>
    <t>구월체육근린공원</t>
  </si>
  <si>
    <t>*미 구월점</t>
  </si>
  <si>
    <t>https://m.place.naver.com/place/1724453477/home?entry=pll</t>
  </si>
  <si>
    <t>구월동 뷰미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</si>
  <si>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 구월점]플레이스를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{ㄱㅇㄹㄷㅇㄱㅈ}
정답 : &lt;7&gt; 글자
* 정답란에 띄어쓰기 없이 입력 후 제출해주세요.</t>
  </si>
  <si>
    <t>인천 뷰미 속눈썹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</si>
  <si>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 구월점]플레이스를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{ㅅㅂㅇㄱㅇ}
정답 : &lt;5&gt; 글자
* 정답란에 띄어쓰기 없이 입력 후 제출해주세요.</t>
  </si>
  <si>
    <t>석바위공원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</si>
  <si>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잠실]플레이스를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{ㅇㄹㄴㄱㅈ}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</si>
  <si>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홍대]플레이스를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{ㅊㅈㄱㅅㄱㄷㄱㅎ}
정답 : &lt;8&gt; 글자
* 정답란에 띄어쓰기 없이 입력 후 제출해주세요.</t>
  </si>
  <si>
    <t>수원역 마라꼬치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</si>
  <si>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4.[*오마라 수원역점]플레이스를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{ㅅㅇㅎㄱ}
정답 : &lt;4&gt; 글자
* 정답란에 띄어쓰기 없이 입력 후 제출해주세요.</t>
  </si>
  <si>
    <t>*오마라 수원역점</t>
  </si>
  <si>
    <t>https://m.place.naver.com/restaurant/2010049527/home</t>
  </si>
  <si>
    <t>https://docs.google.com/spreadsheets/d/137SKn2S7N23DIo0G-K5k_cW3GoCC7ErKu83oz9tMIyw/edit?gid=400490730#gid=400490730</t>
  </si>
  <si>
    <t>수원역 마라꼬치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</si>
  <si>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4.[*오마라 수원역점]플레이스를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{ㅅㅎㅊ}
정답 : &lt;3&gt; 글자
* 정답란에 띄어쓰기 없이 입력 후 제출해주세요.</t>
  </si>
  <si>
    <t>수원역 샤오마라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</si>
  <si>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4.[*오마라 수원역점]플레이스를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{ㄷㅁㄱㅇ}
정답 : &lt;4&gt; 글자
* 정답란에 띄어쓰기 없이 입력 후 제출해주세요.</t>
  </si>
  <si>
    <t>동말공원</t>
  </si>
  <si>
    <t>수원역 마라꼬치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</si>
  <si>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4.[*오마라 수원역점]플레이스를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{ㅇㅋㄹㅎㄱㄱㅇ}
정답 : &lt;7&gt; 글자
* 정답란에 띄어쓰기 없이 입력 후 제출해주세요.</t>
  </si>
  <si>
    <t>수원역 마라꼬치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</si>
  <si>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4.[*오마라 수원역점]플레이스를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{ㅅㄹㄱㅇ}
정답 : &lt;4&gt; 글자
* 정답란에 띄어쓰기 없이 입력 후 제출해주세요.</t>
  </si>
  <si>
    <t>평택돌잔치 ARTE DEL SOGNO 꿈의미술관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</si>
  <si>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4.[**TE DEL SOGNO 꿈의미술관]플레이스를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{ㅇㅅㅊ}
정답 : &lt;3&gt; 글자
* 정답란에 띄어쓰기 없이 입력 후 제출해주세요.</t>
  </si>
  <si>
    <t>**TE DEL SOGNO 꿈의미술관</t>
  </si>
  <si>
    <t>https://m.place.naver.com/restaurant/1043236038/home?entry=plt</t>
  </si>
  <si>
    <t>평택 ARTE DEL SOGNO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</si>
  <si>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4.[**TE DEL SOGNO 꿈의미술관]플레이스를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{ㅈㅇㅊ}
정답 : &lt;3&gt; 글자
* 정답란에 띄어쓰기 없이 입력 후 제출해주세요.</t>
  </si>
  <si>
    <t>진위천</t>
  </si>
  <si>
    <t>평택 꿈의미술관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</si>
  <si>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4.[**TE DEL SOGNO 꿈의미술관]플레이스를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{ㅇㄷㄱㄹㄱㅇ}
정답 : &lt;6&gt; 글자
* 정답란에 띄어쓰기 없이 입력 후 제출해주세요.</t>
  </si>
  <si>
    <t>원동근린공원</t>
  </si>
  <si>
    <t>신정네거리 이자카야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</si>
  <si>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4.[*뎅가]플레이스를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{ㄱㄴㄱㄹㄱㅇ}
정답 : &lt;6&gt; 글자
* 정답란에 띄어쓰기 없이 입력 후 제출해주세요.</t>
  </si>
  <si>
    <t>*뎅가</t>
  </si>
  <si>
    <t>https://m.place.naver.com/restaurant/1807607719/home</t>
  </si>
  <si>
    <t>신정네거리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</si>
  <si>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4.[*뎅가]플레이스를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{ㅇㅁㄱㅇ}
정답 : &lt;4&gt; 글자
* 정답란에 띄어쓰기 없이 입력 후 제출해주세요.</t>
  </si>
  <si>
    <t>오목공원</t>
  </si>
  <si>
    <t>신정네거리 일식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</si>
  <si>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4.[*뎅가]플레이스를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{ㅅㅅㅅ}
정답 : &lt;3&gt; 글자
* 정답란에 띄어쓰기 없이 입력 후 제출해주세요.</t>
  </si>
  <si>
    <t>신정네거리 이자카야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</si>
  <si>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4.[*뎅가]플레이스를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{ㅇㅁㅅㅂㄱㅇ}
정답 : &lt;6&gt; 글자
* 정답란에 띄어쓰기 없이 입력 후 제출해주세요.</t>
  </si>
  <si>
    <t>신정네거리 오꼬노미야끼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</si>
  <si>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4.[*뎅가]플레이스를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{ㄷㅇㄱㄹㄱㅇ}
정답 : &lt;6&gt; 글자
* 정답란에 띄어쓰기 없이 입력 후 제출해주세요.</t>
  </si>
  <si>
    <t>덕의근린공원</t>
  </si>
  <si>
    <t>https://m.place.naver.com/restaurant/1511677705/home?entry=pll</t>
  </si>
  <si>
    <t>강화도 손칼국수</t>
  </si>
  <si>
    <t>강화도 칼국수 도토리</t>
  </si>
  <si>
    <t>강화도 도토리바지락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</si>
  <si>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4.[**84 한우클래식 천안본점]플레이스를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{ㅇㅂㅅ}
정답 : &lt;3&gt; 글자
* 정답란에 띄어쓰기 없이 입력 후 제출해주세요.</t>
  </si>
  <si>
    <t>**84 한우클래식 천안본점</t>
  </si>
  <si>
    <t>불당동 한우구이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</si>
  <si>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4.[1984 한우클래식 프라**]플레이스를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{ㅂㅅㅅ}
정답 : &lt;3&gt; 글자
* 정답란에 띄어쓰기 없이 입력 후 제출해주세요.</t>
  </si>
  <si>
    <t>1984 한우클래식 프라**</t>
  </si>
  <si>
    <t>불당동 한우구이 맛집 추천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</si>
  <si>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[1984 한우클래식 프라**]플레이스를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</si>
  <si>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4.[1984 한우클래식 하이**]플레이스를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{ㅎㅇㅅ}
정답 : &lt;3&gt; 글자
* 정답란에 띄어쓰기 없이 입력 후 제출해주세요.</t>
  </si>
  <si>
    <t>1984 한우클래식 하이**</t>
  </si>
  <si>
    <t>성성동 한우구이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</si>
  <si>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4.[1984 한우클래식 울**]플레이스를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{ㅋㅁㅅ}
정답 : &lt;3&gt; 글자
* 정답란에 띄어쓰기 없이 입력 후 제출해주세요.</t>
  </si>
  <si>
    <t>1984 한우클래식 울**</t>
  </si>
  <si>
    <t>성성동 한우 추천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</si>
  <si>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[1984 한우클래식 울**]플레이스를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</si>
  <si>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종로 인의동 결혼반지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</si>
  <si>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4.[*리모바이유 효성주얼리시티점]플레이스를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{ㅈㅁㅇㅈ}
정답 : &lt;4&gt; 글자
* 정답란에 띄어쓰기 없이 입력 후 제출해주세요.</t>
  </si>
  <si>
    <t>종묘어정</t>
  </si>
  <si>
    <t>*리모바이유 효성주얼리시티점</t>
  </si>
  <si>
    <t>https://m.place.naver.com/place/37046622/home?entry=pll</t>
  </si>
  <si>
    <t>홍대 루프탑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</si>
  <si>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4.[무채*]플레이스를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{ㅊㅈㄱㅅㄱㄷㄱㅎ}
정답 : &lt;8&gt; 글자
* 정답란에 띄어쓰기 없이 입력 후 제출해주세요.</t>
  </si>
  <si>
    <t>무채*</t>
  </si>
  <si>
    <t>연남동 루프탑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</si>
  <si>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4.[무채*]플레이스를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{ㅎㄷㄱㄹ}
정답 : &lt;4&gt; 글자
* 정답란에 띄어쓰기 없이 입력 후 제출해주세요.</t>
  </si>
  <si>
    <t>홍대입구역 루프탑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</si>
  <si>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4.[무채*]플레이스를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{ㅎㅇㅁㅎㄱㅇ}
정답 : &lt;6&gt; 글자
* 정답란에 띄어쓰기 없이 입력 후 제출해주세요.</t>
  </si>
  <si>
    <t>홍대 무채색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</si>
  <si>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[무채*]플레이스를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</si>
  <si>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홍대입구역 무채색</t>
  </si>
  <si>
    <t>호원동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</si>
  <si>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4.[**tness H]플레이스를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{ㅅㄹㅅ}
정답 : &lt;3&gt; 글자
* 정답란에 띄어쓰기 없이 입력 후 제출해주세요.</t>
  </si>
  <si>
    <t>석림사</t>
  </si>
  <si>
    <t>**tness H</t>
  </si>
  <si>
    <t>호원동 헬스장 추천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</si>
  <si>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[**tness H]플레이스를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</si>
  <si>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영주맛집 일륜월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</si>
  <si>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4.[일륜*]플레이스를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{ㅅㅊㄷㅊ}
정답 : &lt;4&gt; 글자
* 정답란에 띄어쓰기 없이 입력 후 제출해주세요.</t>
  </si>
  <si>
    <t>서천둔치</t>
  </si>
  <si>
    <t>일륜*</t>
  </si>
  <si>
    <t>https://m.place.naver.com/restaurant/1341765006/home</t>
  </si>
  <si>
    <t>https://docs.google.com/spreadsheets/d/1XW3h6m-ddN5EMPgkVEARCQzWjKqNBnhet0Wr8ItRHDk/edit?gid=592638842#gid=592638842</t>
  </si>
  <si>
    <t>광진구 하수구막힘 정석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</si>
  <si>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4.[하수구막*]플레이스를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{ㅇㅊㅅㅅㄷ}
정답 : &lt;5&gt; 글자
* 정답란에 띄어쓰기 없이 입력 후 제출해주세요.</t>
  </si>
  <si>
    <t>아차산성당</t>
  </si>
  <si>
    <t>하수구막*</t>
  </si>
  <si>
    <t>https://m.place.naver.com/place/1000130933/home?entry=pll</t>
  </si>
  <si>
    <t>https://docs.google.com/spreadsheets/d/1DhcmMoxowhJnLgZ8nPf6SPUUTbYRw7_cZqxoXH6ug0o/edit?gid=1894499343#gid=1894499343</t>
  </si>
  <si>
    <t>광진구 정석설비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</si>
  <si>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4.[하수구막*]플레이스를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{ㅇㅊㅅㅇㄷㅂㄹㄱ}
정답 : &lt;8&gt; 글자
* 정답란에 띄어쓰기 없이 입력 후 제출해주세요.</t>
  </si>
  <si>
    <t>아차산일대보루군</t>
  </si>
  <si>
    <t>광진구 정석설비 하수구막힘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</si>
  <si>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4.[하수구막*]플레이스를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{ㅇㅊㅅㅇㅇㄹㄱㅈ}
정답 : &lt;8&gt; 글자
* 정답란에 띄어쓰기 없이 입력 후 제출해주세요.</t>
  </si>
  <si>
    <t>아차산어울림광장</t>
  </si>
  <si>
    <t>정석설비 광진구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</si>
  <si>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4.[하수구막*]플레이스를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{ㅇㅎㅅ}
정답 : &lt;3&gt; 글자
* 정답란에 띄어쓰기 없이 입력 후 제출해주세요.</t>
  </si>
  <si>
    <t>영화사</t>
  </si>
  <si>
    <t>정석설비 광진구 하수구막힘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</si>
  <si>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4.[하수구막*]플레이스를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{ㅎㅇㄹㄱㅇ}
정답 : &lt;5&gt; 글자
* 정답란에 띄어쓰기 없이 입력 후 제출해주세요.</t>
  </si>
  <si>
    <t>진접 뉴웨이짐</t>
  </si>
  <si>
    <t>뉴웨이짐 진접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</si>
  <si>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4.[*스테틱 인천청라점]플레이스를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{ㄱㅈㄱㅇ}
정답 : &lt;4&gt; 글자
* 정답란에 띄어쓰기 없이 입력 후 제출해주세요.</t>
  </si>
  <si>
    <t>가정공원</t>
  </si>
  <si>
    <t>모스테틱 청라 두피관리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</si>
  <si>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4.[*스테틱 인천청라점]플레이스를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{ㅈㅅㄱㅁ}
정답 : &lt;4&gt; 글자
* 정답란에 띄어쓰기 없이 입력 후 제출해주세요.</t>
  </si>
  <si>
    <t>조서강묘</t>
  </si>
  <si>
    <t>도계동 한의원 이호한의원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</si>
  <si>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4.[*호한의원]플레이스를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{ㅋㄴㅁㄱㅇ}
정답 : &lt;5&gt; 글자
* 정답란에 띄어쓰기 없이 입력 후 제출해주세요.</t>
  </si>
  <si>
    <t>큰나무공원</t>
  </si>
  <si>
    <t>*호한의원</t>
  </si>
  <si>
    <t>도계동 이호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</si>
  <si>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4.[*호한의원]플레이스를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{ㅍㅇㄱㄹㄱㅇ}
정답 : &lt;6&gt; 글자
* 정답란에 띄어쓰기 없이 입력 후 제출해주세요.</t>
  </si>
  <si>
    <t>팔용근린공원</t>
  </si>
  <si>
    <t>이호 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</si>
  <si>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4.[*호한의원]플레이스를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{ㄹㅅㄹㅅㅌㄱㅇ}
정답 : &lt;7&gt; 글자
* 정답란에 띄어쓰기 없이 입력 후 제출해주세요.</t>
  </si>
  <si>
    <t>람사르생태공원</t>
  </si>
  <si>
    <t>김해 율하 수학학원 여기수학학원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</si>
  <si>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4.[*기수학학원 율하점]플레이스를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{ㅅㅇㅈㄱㅇ}
정답 : &lt;5&gt; 글자
* 정답란에 띄어쓰기 없이 입력 후 제출해주세요.</t>
  </si>
  <si>
    <t>소우지공원</t>
  </si>
  <si>
    <t>*기수학학원 율하점</t>
  </si>
  <si>
    <t>https://m.place.naver.com/place/1064856202/home?entry=pll</t>
  </si>
  <si>
    <t>김해 여기수학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</si>
  <si>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4.[*기수학학원 율하점]플레이스를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{ㅇㅅㅇ}
정답 : &lt;3&gt; 글자
* 정답란에 띄어쓰기 없이 입력 후 제출해주세요.</t>
  </si>
  <si>
    <t>약사암</t>
  </si>
  <si>
    <t>여기수학 김해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</si>
  <si>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4.[*기수학학원 율하점]플레이스를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{ㅈㅇㅅㅅㄸㄱㅇ}
정답 : &lt;7&gt; 글자
* 정답란에 띄어쓰기 없이 입력 후 제출해주세요.</t>
  </si>
  <si>
    <t>장유새심뜰공원</t>
  </si>
  <si>
    <t>인계동 예비신부 다이어트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</si>
  <si>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4.[*뉴다이어트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{ㅁㅎㄱㄹㄱㅇ}
정답 : &lt;6&gt; 글자
* 정답란에 띄어쓰기 없이 입력 후 제출해주세요.</t>
  </si>
  <si>
    <t>매화근린공원</t>
  </si>
  <si>
    <t>*뉴다이어트 수원인계점</t>
  </si>
  <si>
    <t>https://m.place.naver.com/place/1941197871/home</t>
  </si>
  <si>
    <t>인계동 예비신부 다이어트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</si>
  <si>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4.[*뉴다이어트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{ㅁㅌㄷㅅㄷ}
정답 : &lt;5&gt; 글자
* 정답란에 띄어쓰기 없이 입력 후 제출해주세요.</t>
  </si>
  <si>
    <t>매탄동성당</t>
  </si>
  <si>
    <t>잠실 신부관리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</si>
  <si>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4.[*끌라핏 잠실본점]플레이스를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{ㅌㅊ}
정답 : &lt;2&gt; 글자
* 정답란에 띄어쓰기 없이 입력 후 제출해주세요.</t>
  </si>
  <si>
    <t>*끌라핏 잠실본점</t>
  </si>
  <si>
    <t>https://m.place.naver.com/place/2073219473/home</t>
  </si>
  <si>
    <t>잠실 신부관리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</si>
  <si>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4.[*끌라핏 잠실본점]플레이스를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{ㅅㅊㅎㅅ}
정답 : &lt;4&gt; 글자
* 정답란에 띄어쓰기 없이 입력 후 제출해주세요.</t>
  </si>
  <si>
    <t>양재시민의숲 옥된장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</si>
  <si>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4.[*된장 양재시민의숲점]플레이스를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{ㅇㅈㅊㄱㄹㄱㅇ}
정답 : &lt;7&gt; 글자
* 정답란에 띄어쓰기 없이 입력 후 제출해주세요.</t>
  </si>
  <si>
    <t>양재천근린공원</t>
  </si>
  <si>
    <t>양재시민의숲 수육전골</t>
  </si>
  <si>
    <t>광안리 교타쿠</t>
  </si>
  <si>
    <t>고터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</si>
  <si>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4.[*포양꼬치]플레이스를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{ㅅㅂㅅ}
정답 : &lt;3&gt; 글자
* 정답란에 띄어쓰기 없이 입력 후 제출해주세요.</t>
  </si>
  <si>
    <t>세빛섬</t>
  </si>
  <si>
    <t>*포양꼬치</t>
  </si>
  <si>
    <t>https://m.place.naver.com/restaurant/1738010790/home</t>
  </si>
  <si>
    <t>고터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</si>
  <si>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4.[*포양꼬치]플레이스를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{ㅊㅂㅅ}
정답 : &lt;3&gt; 글자
* 정답란에 띄어쓰기 없이 입력 후 제출해주세요.</t>
  </si>
  <si>
    <t>채빛섬</t>
  </si>
  <si>
    <t>고터 양꼬치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</si>
  <si>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4.[*포양꼬치]플레이스를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{ㄱㅂㅅ}
정답 : &lt;3&gt; 글자
* 정답란에 띄어쓰기 없이 입력 후 제출해주세요.</t>
  </si>
  <si>
    <t>가빛섬</t>
  </si>
  <si>
    <t>하남 케렌시아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</si>
  <si>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4.[*렌시아 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{ㅁㅅㄹ}
정답 : &lt;3&gt; 글자
* 정답란에 띄어쓰기 없이 입력 후 제출해주세요.</t>
  </si>
  <si>
    <t>*렌시아 미사</t>
  </si>
  <si>
    <t>https://m.place.naver.com/place/1969016849/home?entry=pll</t>
  </si>
  <si>
    <t>하남 마사지 케렌시아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</si>
  <si>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4.[*렌시아 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{ㄱㅇㄱㄹㄱㅇ}
정답 : &lt;6&gt; 글자
* 정답란에 띄어쓰기 없이 입력 후 제출해주세요.</t>
  </si>
  <si>
    <t>강일근린공원</t>
  </si>
  <si>
    <t>케렌시아 하남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</si>
  <si>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4.[*렌시아 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{ㅁㅅㅅㄱㅇ}
정답 : &lt;5&gt; 글자
* 정답란에 띄어쓰기 없이 입력 후 제출해주세요.</t>
  </si>
  <si>
    <t>미사숲공원</t>
  </si>
  <si>
    <t>하남 망월 케렌시아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</si>
  <si>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4.[*렌시아 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{ㄱㅅ}
정답 : &lt;2&gt; 글자
* 정답란에 띄어쓰기 없이 입력 후 제출해주세요.</t>
  </si>
  <si>
    <t>구산</t>
  </si>
  <si>
    <t>망월 케렌시아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</si>
  <si>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4.[*렌시아 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{ㅂㅁㄱㄹㄱㅇ}
정답 : &lt;6&gt; 글자
* 정답란에 띄어쓰기 없이 입력 후 제출해주세요.</t>
  </si>
  <si>
    <t>정선 누리한우촌</t>
  </si>
  <si>
    <t>정선 맛집 누리한우촌</t>
  </si>
  <si>
    <t>부산 법무사허성엽사무소</t>
  </si>
  <si>
    <t>부산 허성엽사무소</t>
  </si>
  <si>
    <t>부산법무사 법무사허성엽사무소</t>
  </si>
  <si>
    <t>운정꽃집 데이지무드 운정점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</si>
  <si>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4.[*이지무드 운정점]플레이스를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{ㅁㄹㄴㄱㅇ}
정답 : &lt;5&gt; 글자
* 정답란에 띄어쓰기 없이 입력 후 제출해주세요.</t>
  </si>
  <si>
    <t>미리내공원</t>
  </si>
  <si>
    <t>*이지무드 운정점</t>
  </si>
  <si>
    <t>https://m.place.naver.com/place/1009371779/home?entry=pll</t>
  </si>
  <si>
    <t>운정 데이지무드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</si>
  <si>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4.[*이지무드 운정점]플레이스를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{ㅇㄷㅈㅈㅈ}
정답 : &lt;5&gt; 글자
* 정답란에 띄어쓰기 없이 입력 후 제출해주세요.</t>
  </si>
  <si>
    <t>와동조정지</t>
  </si>
  <si>
    <t>운정 꽃집 데이지무드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</si>
  <si>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4.[*이지무드 운정점]플레이스를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{ㅅㄴㄱㅇ}
정답 : &lt;4&gt; 글자
* 정답란에 띄어쓰기 없이 입력 후 제출해주세요.</t>
  </si>
  <si>
    <t>산내공원</t>
  </si>
  <si>
    <t>공덕역 허리통증</t>
  </si>
  <si>
    <t>공덕역 정형외과 추천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</si>
  <si>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[*덕척정형외과재활의학과의원]플레이스를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&lt;1&gt; 글자
9. 정답란에 띄어쓰기 없이 입력 후 제출해주세요.</t>
  </si>
  <si>
    <t>공덕역 도수치료</t>
  </si>
  <si>
    <t>상봉역 정형외과</t>
  </si>
  <si>
    <t>상봉동 정형외과</t>
  </si>
  <si>
    <t>상봉역 도수치료</t>
  </si>
  <si>
    <t>상봉 정형외과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</si>
  <si>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[*봉퍼스트본정형외과의원]플레이스를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</si>
  <si>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[*디쌩쌩 신경외과의원]플레이스를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</si>
  <si>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[*크원연세마디의원]플레이스를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 ※소수점 포함하여 입력해주세요.
9. 정답란에 띄어쓰기 없이 입력 후 제출해주세요.</t>
  </si>
  <si>
    <t>여의도 피부과 나의미래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</si>
  <si>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4.[*의미래피부과의원]플레이스를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{ㅅㄴㅅㄷㅅ}
정답 : &lt;5&gt; 글자
* 정답란에 띄어쓰기 없이 입력 후 제출해주세요.</t>
  </si>
  <si>
    <t>소녀시대숲</t>
  </si>
  <si>
    <t>*의미래피부과의원</t>
  </si>
  <si>
    <t>https://m.place.naver.com/hospital/20601850/home?entry=pll</t>
  </si>
  <si>
    <t>여의도 피부과 나의미래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</si>
  <si>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4.[*의미래피부과의원]플레이스를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{ㅎㄱ}
정답 : &lt;2&gt; 글자
* 정답란에 띄어쓰기 없이 입력 후 제출해주세요.</t>
  </si>
  <si>
    <t>한강</t>
  </si>
  <si>
    <t>여의도 피부과 나의미래피부과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</si>
  <si>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[*의미래피부과의원]플레이스를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 ※소수점 포함하여 입력해주세요.
9. 정답란에 띄어쓰기 없이 입력 후 제출해주세요.</t>
  </si>
  <si>
    <t>휴대폰성지 제로모바일 평택오산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</si>
  <si>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4.[휴대폰성지 제로모바*]플레이스를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{ㅎㅅㄱㅇ}
정답 : &lt;4&gt; 글자
* 정답란에 띄어쓰기 없이 입력 후 제출해주세요.</t>
  </si>
  <si>
    <t>휴대폰성지 제로모바*</t>
  </si>
  <si>
    <t>https://m.place.naver.com/place/1877342806/home?entry=pll</t>
  </si>
  <si>
    <t>평택오산 휴대폰성지 제로모바일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</si>
  <si>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4.[휴대폰성지 제로모바*]플레이스를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{ㅊㅇㄱ}
정답 : &lt;3&gt; 글자
* 정답란에 띄어쓰기 없이 입력 후 제출해주세요.</t>
  </si>
  <si>
    <t>충의각</t>
  </si>
  <si>
    <t>평택오산 휴대폰성지 제로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</si>
  <si>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4.[휴대폰성지 제로모바*]플레이스를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{ㅅㅅㄱㅁㅁㅅㄷ}
정답 : &lt;7&gt; 글자
* 정답란에 띄어쓰기 없이 입력 후 제출해주세요.</t>
  </si>
  <si>
    <t>수성군묘및사당</t>
  </si>
  <si>
    <t>평택오산 휴대폰성지 모바일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</si>
  <si>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4.[휴대폰성지 제로모바*]플레이스를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{ㅂㅈㅅㄱㅇ}
정답 : &lt;5&gt; 글자
* 정답란에 띄어쓰기 없이 입력 후 제출해주세요.</t>
  </si>
  <si>
    <t>반지산공원</t>
  </si>
  <si>
    <t>평택오산 제로모바일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</si>
  <si>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4.[휴대폰성지 제로모바*]플레이스를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{ㅂㄹㅅ}
정답 : &lt;3&gt; 글자
* 정답란에 띄어쓰기 없이 입력 후 제출해주세요.</t>
  </si>
  <si>
    <t>부락산</t>
  </si>
  <si>
    <t>송탄 휴대폰 제로</t>
  </si>
  <si>
    <t>송탄 휴대폰성지 제로</t>
  </si>
  <si>
    <t>송탄 휴대폰성지 모바일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</si>
  <si>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4.[휴대폰성지 제로모바*]플레이스를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{ㅅㄱㅅ}
정답 : &lt;3&gt; 글자
* 정답란에 띄어쓰기 없이 입력 후 제출해주세요.</t>
  </si>
  <si>
    <t>성관사</t>
  </si>
  <si>
    <t>제로모바일 송탄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</si>
  <si>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4.[휴대폰성지 제로모바*]플레이스를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{ㅊㅇㄱㅇ}
정답 : &lt;4&gt; 글자
* 정답란에 띄어쓰기 없이 입력 후 제출해주세요.</t>
  </si>
  <si>
    <t>충의공원</t>
  </si>
  <si>
    <t>제로모바일 성지 송탄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</si>
  <si>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4.[휴대폰성지 제로모바*]플레이스를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{ㅅㅈㄱㄹㄱㅇ}
정답 : &lt;6&gt; 글자
* 정답란에 띄어쓰기 없이 입력 후 제출해주세요.</t>
  </si>
  <si>
    <t>신장근린공원</t>
  </si>
  <si>
    <t>평택 휴대폰 성지 제로</t>
  </si>
  <si>
    <t>평택 휴대폰성지 모바일</t>
  </si>
  <si>
    <t>평택 휴대폰성지 제로모바일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</si>
  <si>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4.[휴대폰성지 제로모바*]플레이스를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{ㅈㅅㅇㅈㄷㅈㄱㅇ}
정답 : &lt;8&gt; 글자
* 정답란에 띄어쓰기 없이 입력 후 제출해주세요.</t>
  </si>
  <si>
    <t>지산이주단지공원</t>
  </si>
  <si>
    <t>제로모바일 평택</t>
  </si>
  <si>
    <t>제로모바일 휴대폰성지 평택</t>
  </si>
  <si>
    <t>김포 멍데이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</si>
  <si>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4.[멍데*]플레이스를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{ㄴㅈㅍㅊ}
정답 : &lt;4&gt; 글자
* 정답란에 띄어쓰기 없이 입력 후 제출해주세요.</t>
  </si>
  <si>
    <t>나진포천</t>
  </si>
  <si>
    <t>멍데*</t>
  </si>
  <si>
    <t>https://m.place.naver.com/place/2057990296/home?entry=pll</t>
  </si>
  <si>
    <t>민수 상위노출</t>
  </si>
  <si>
    <t>김포 장기동 멍데이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</si>
  <si>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4.[멍데*]플레이스를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{ㅅㄴㄱㅇ}
정답 : &lt;4&gt; 글자
* 정답란에 띄어쓰기 없이 입력 후 제출해주세요.</t>
  </si>
  <si>
    <t>솔내공원</t>
  </si>
  <si>
    <t>김포 애견미용 멍데이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</si>
  <si>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4.[멍데*]플레이스를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{ㄴㅇㄱㅂ}
정답 : &lt;4&gt; 글자
* 정답란에 띄어쓰기 없이 입력 후 제출해주세요.</t>
  </si>
  <si>
    <t>낮은개벌</t>
  </si>
  <si>
    <t>김포 장기동 애견미용 멍데이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</si>
  <si>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4.[멍데*]플레이스를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{ㅅㅈㄱㅇ}
정답 : &lt;4&gt; 글자
* 정답란에 띄어쓰기 없이 입력 후 제출해주세요.</t>
  </si>
  <si>
    <t>샘재공원</t>
  </si>
  <si>
    <t>김포애견미용실 멍데이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</si>
  <si>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4.[멍데*]플레이스를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{ㄱㅍㄷㅅㄹ}
정답 : &lt;5&gt; 글자
* 정답란에 띄어쓰기 없이 입력 후 제출해주세요.</t>
  </si>
  <si>
    <t>김포대수로</t>
  </si>
  <si>
    <t>남부터미널역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</si>
  <si>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{ㅎㄹㄷㄱㅁ}
정답 : &lt;5&gt; 글자
* 정답란에 띄어쓰기 없이 입력 후 제출해주세요.</t>
  </si>
  <si>
    <t>*메이크휘트니스 서초점</t>
  </si>
  <si>
    <t>https://m.place.naver.com/place/32308075/home?entry=pll</t>
  </si>
  <si>
    <t>카톡 접수</t>
  </si>
  <si>
    <t>남부터미널역 헬스장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</si>
  <si>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{ㅊㄱㅅ}
정답 : &lt;3&gt; 글자
* 정답란에 띄어쓰기 없이 입력 후 제출해주세요.</t>
  </si>
  <si>
    <t>남부터미널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</si>
  <si>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{ㅇㅁㅅ}
정답 : &lt;3&gt; 글자
* 정답란에 띄어쓰기 없이 입력 후 제출해주세요.</t>
  </si>
  <si>
    <t>우면산</t>
  </si>
  <si>
    <t>남부터미널역 헬스장 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</si>
  <si>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{ㅊㅈㄱㅅㅊㄷㅅㄷ}
정답 : &lt;8&gt; 글자
* 정답란에 띄어쓰기 없이 입력 후 제출해주세요.</t>
  </si>
  <si>
    <t>천주교서초동성당</t>
  </si>
  <si>
    <t>남부터미널 헬스장 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</si>
  <si>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{ㅂㅂㅇㅁㅈㄱㅁ}
정답 : &lt;7&gt; 글자
* 정답란에 띄어쓰기 없이 입력 후 제출해주세요.</t>
  </si>
  <si>
    <t>응암동 야간진료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</si>
  <si>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4.[*로척마취통증의학과의원]플레이스를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{ㅅㅅㄱㅅ}
정답 : &lt;4&gt; 글자
* 정답란에 띄어쓰기 없이 입력 후 제출해주세요.</t>
  </si>
  <si>
    <t>성시경숲</t>
  </si>
  <si>
    <t>*로척마취통증의학과의원</t>
  </si>
  <si>
    <t>https://m.place.naver.com/hospital/1779782436/home?entry=pll</t>
  </si>
  <si>
    <t>역촌역 야간진료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</si>
  <si>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4.[*로척마취통증의학과의원]플레이스를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{ㅇㅇㄷㅅㄷ}
정답 : &lt;5&gt; 글자
* 정답란에 띄어쓰기 없이 입력 후 제출해주세요.</t>
  </si>
  <si>
    <t>응암동성당</t>
  </si>
  <si>
    <t>응암동 정형외과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</si>
  <si>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4.[*로척마취통증의학과의원]플레이스를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{ㅂㄱㄷㅁㅈㄱㅁ}
정답 : &lt;7&gt; 글자
* 정답란에 띄어쓰기 없이 입력 후 제출해주세요.</t>
  </si>
  <si>
    <t>불광동먹자골목</t>
  </si>
  <si>
    <t>역촌역 정형외과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</si>
  <si>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4.[*로척마취통증의학과의원]플레이스를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{ㅅㅅㄱㄹㄱㅇ}
정답 : &lt;6&gt; 글자
* 정답란에 띄어쓰기 없이 입력 후 제출해주세요.</t>
  </si>
  <si>
    <t>신사근린공원</t>
  </si>
  <si>
    <t>응암역 정형외과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</si>
  <si>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4.[*로척마취통증의학과의원]플레이스를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{ㄱㅅㄱㄹㄱㅇ}
정답 : &lt;6&gt; 글자
* 정답란에 띄어쓰기 없이 입력 후 제출해주세요.</t>
  </si>
  <si>
    <t>구산근린공원</t>
  </si>
  <si>
    <t>구미 파인드미 헤어</t>
  </si>
  <si>
    <t>송정동 파인드미</t>
  </si>
  <si>
    <t>구미네일 오드네일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</si>
  <si>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4.[*드네일]플레이스를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{ㄱㄹㄷㄱ}
정답 : &lt;4&gt; 글자
* 정답란에 띄어쓰기 없이 입력 후 제출해주세요.</t>
  </si>
  <si>
    <t>*드네일</t>
  </si>
  <si>
    <t>https://m.place.naver.com/nailshop/1327099625/home?entry=pll</t>
  </si>
  <si>
    <t>구미 오드네일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</si>
  <si>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4.[*드네일]플레이스를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{ㅅㅁㅇㄷㅅ}
정답 : &lt;5&gt; 글자
* 정답란에 띄어쓰기 없이 입력 후 제출해주세요.</t>
  </si>
  <si>
    <t>구미 오드네일 네일샵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</si>
  <si>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4.[*드네일]플레이스를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{ㅎㅈㅂㄷㅅㄹ}
정답 : &lt;6&gt; 글자
* 정답란에 띄어쓰기 없이 입력 후 제출해주세요.</t>
  </si>
  <si>
    <t>효자봉등산로</t>
  </si>
  <si>
    <t>마산휴대폰 휴대폰아울렛 해안대로 32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</si>
  <si>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{ㅇㅇㅎㄴㄷㄹ}
정답 : &lt;6&gt; 글자
* 정답란에 띄어쓰기 없이 입력 후 제출해주세요.</t>
  </si>
  <si>
    <t>월영하늘다리</t>
  </si>
  <si>
    <t>*대폰아울렛</t>
  </si>
  <si>
    <t>https://m.place.naver.com/restaurant/1147535932/home?entry=pll</t>
  </si>
  <si>
    <t>창원 마산 해운동 휴대폰아울렛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</si>
  <si>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{ㅁㄴㄱㄹㄱㅇ}
정답 : &lt;6&gt; 글자
* 정답란에 띄어쓰기 없이 입력 후 제출해주세요.</t>
  </si>
  <si>
    <t>휴대폰아울렛 창원 마산 해운동 37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</si>
  <si>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{ㅁㅅㅎ}
정답 : &lt;3&gt; 글자
* 정답란에 띄어쓰기 없이 입력 후 제출해주세요.</t>
  </si>
  <si>
    <t>개금pt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</si>
  <si>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4.[*루짐 PT/헬스 개금점]플레이스를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{ㄷㅇㄷㅎㄱ}
정답 : &lt;5&gt; 글자
* 정답란에 띄어쓰기 없이 입력 후 제출해주세요.</t>
  </si>
  <si>
    <t>동의대학교</t>
  </si>
  <si>
    <t>*루짐 PT/헬스 개금점</t>
  </si>
  <si>
    <t>https://m.place.naver.com/place/1512480674/home?entry=pll</t>
  </si>
  <si>
    <t>https://docs.google.com/spreadsheets/d/1LibFef0Z6UDJo0AAy8PpEd7xTbWdafb4cSVHsCxRukc/edit?gid=827236189#gid=827236189</t>
  </si>
  <si>
    <t>명동 상품권 교환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</si>
  <si>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4.[*스트탑글로벌]플레이스를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{ㄱㅂㅇㅈㅌ}
정답 : &lt;5&gt; 글자
* 정답란에 띄어쓰기 없이 입력 후 제출해주세요.</t>
  </si>
  <si>
    <t>*스트탑글로벌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</si>
  <si>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4.[*스트탑글로벌]플레이스를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{ㄴㅅㅇㄱㅅ}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</si>
  <si>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4.[*스트탑글로벌]플레이스를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{ㅎㄱㅇ}
정답 : &lt;3&gt; 글자
* 정답란에 띄어쓰기 없이 입력 후 제출해주세요.</t>
  </si>
  <si>
    <t>명동 베스트탑글로벌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</si>
  <si>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4.[*스트탑글로벌]플레이스를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{ㄴㅅㄱㅇㅎㅎㄷ}
정답 : &lt;7&gt; 글자
* 정답란에 띄어쓰기 없이 입력 후 제출해주세요.</t>
  </si>
  <si>
    <t>명동역 베스트탑글로벌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</si>
  <si>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4.[*스트탑글로벌]플레이스를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{ㄴㅅㅅㅊㄹ}
정답 : &lt;5&gt; 글자
* 정답란에 띄어쓰기 없이 입력 후 제출해주세요.</t>
  </si>
  <si>
    <t>행주산성 삼겹살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</si>
  <si>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4.[아이맛이야 철판 행주산***]플레이스를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{ㅊㅈㄱㅇ}
정답 : &lt;4&gt; 글자
* 정답란에 띄어쓰기 없이 입력 후 제출해주세요.</t>
  </si>
  <si>
    <t>차장공원</t>
  </si>
  <si>
    <t>아이맛이야 철판 행주산***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</si>
  <si>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4.[아이맛이야 철판 행주산***]플레이스를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{ㄱㅁㄷㅅㄱ}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</si>
  <si>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4.[아이맛이야 철판 행주산***]플레이스를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{ㅂㄷㅁㄱㅇ}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</si>
  <si>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4.[아이맛이야 철판 행주산***]플레이스를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{ㅇㅎㅈㄱㅁ}
정답 : &lt;5&gt; 글자
* 정답란에 띄어쓰기 없이 입력 후 제출해주세요.</t>
  </si>
  <si>
    <t>행주산성 철판삼겹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</si>
  <si>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4.[아이맛이야 철판 행주산***]플레이스를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{ㅂㄷㅅ}
정답 : &lt;3&gt; 글자
* 정답란에 띄어쓰기 없이 입력 후 제출해주세요.</t>
  </si>
  <si>
    <t>비발디파크 스키야놀자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</si>
  <si>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4.[비발디파크 렌탈샵 스키야놀*]플레이스를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{ㄱㅎㅅ}
정답 : &lt;3&gt; 글자
* 정답란에 띄어쓰기 없이 입력 후 제출해주세요.</t>
  </si>
  <si>
    <t>비발디파크 렌탈샵 스키야놀*</t>
  </si>
  <si>
    <t>비발디파크 스키야놀자 렌탈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</si>
  <si>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4.[비발디파크 렌탈샵 스키야놀*]플레이스를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{ㄴㅇㄱ}
정답 : &lt;3&gt; 글자
* 정답란에 띄어쓰기 없이 입력 후 제출해주세요.</t>
  </si>
  <si>
    <t>가평 애견동반 레스토랑</t>
  </si>
  <si>
    <t>가평 페퍼로니 피자</t>
  </si>
  <si>
    <t>가평 크림파스타</t>
  </si>
  <si>
    <t>가평 수제맥주 맛집</t>
  </si>
  <si>
    <t>가평 바베큐 레스토랑</t>
  </si>
  <si>
    <t>하남 통증관리 마사지</t>
  </si>
  <si>
    <t>하남 안면윤곽관리</t>
  </si>
  <si>
    <t>미사역 안면윤곽관리</t>
  </si>
  <si>
    <t>하남 아로마마사지</t>
  </si>
  <si>
    <t>미사역 아로마마사지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</si>
  <si>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4.[*커버 헬스&amp;필라테스 신도림점]플레이스를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{ㄷㄹㅊ}
정답 : &lt;3&gt; 글자
* 정답란에 띄어쓰기 없이 입력 후 제출해주세요.</t>
  </si>
  <si>
    <t>대구공항렌트카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</si>
  <si>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4.[*러스렌트카]플레이스를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{ㄱㅂㄷㅎㄱ}
정답 : &lt;5&gt; 글자
* 정답란에 띄어쓰기 없이 입력 후 제출해주세요.</t>
  </si>
  <si>
    <t>경북대학교</t>
  </si>
  <si>
    <t>*러스렌트카</t>
  </si>
  <si>
    <t>https://m.place.naver.com/place/1991468011/home</t>
  </si>
  <si>
    <t>대구공항렌트카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</si>
  <si>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4.[*러스렌트카]플레이스를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{ㅊㅅㄱㅇ}
정답 : &lt;4&gt; 글자
* 정답란에 띄어쓰기 없이 입력 후 제출해주세요.</t>
  </si>
  <si>
    <t>침산공원</t>
  </si>
  <si>
    <t>대구공항 플러스렌트카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</si>
  <si>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4.[*러스렌트카]플레이스를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{ㅂㅎㅈㅁㄱㅇ}
정답 : &lt;6&gt; 글자
* 정답란에 띄어쓰기 없이 입력 후 제출해주세요.</t>
  </si>
  <si>
    <t>복현장미공원</t>
  </si>
  <si>
    <t>대구 플러스렌트카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</si>
  <si>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4.[*러스렌트카]플레이스를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{ㅇㅇㄹㅅㅌ}
정답 : &lt;5&gt; 글자
* 정답란에 띄어쓰기 없이 입력 후 제출해주세요.</t>
  </si>
  <si>
    <t>어울림쉼터</t>
  </si>
  <si>
    <t>대구 산격동 렌트카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</si>
  <si>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4.[*러스렌트카]플레이스를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{ㅈㄷㅁ}
정답 : &lt;3&gt; 글자
* 정답란에 띄어쓰기 없이 입력 후 제출해주세요.</t>
  </si>
  <si>
    <t>지도못</t>
  </si>
  <si>
    <t>울산 삼산동 헬스장</t>
  </si>
  <si>
    <t>울산 삼산동 PT</t>
  </si>
  <si>
    <t>울산 삼산동 PT 헬스장</t>
  </si>
  <si>
    <t>울산 삼산동 PT 헬스장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</si>
  <si>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{ㅌㅎㄱㄱㄹㅅㅈㅇ}
정답 : &lt;8&gt; 글자
* 정답란에 띄어쓰기 없이 입력 후 제출해주세요.</t>
  </si>
  <si>
    <t>태화강그라스정원</t>
  </si>
  <si>
    <t>의정부 휴대폰성지 의정부휴대폰성지 의정부시 민락동 808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</si>
  <si>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4.[*정부휴대폰성지]플레이스를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{ㅎㄱㅊㅇㄱㅇ}
정답 : &lt;6&gt; 글자
* 정답란에 띄어쓰기 없이 입력 후 제출해주세요.</t>
  </si>
  <si>
    <t>활기체육공원</t>
  </si>
  <si>
    <t>*정부휴대폰성지</t>
  </si>
  <si>
    <t>https://m.place.naver.com/place/1324479603/home?entry=pll</t>
  </si>
  <si>
    <t>민락동 키즈폰 의정부휴대폰성지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</si>
  <si>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4.[*정부휴대폰성지]플레이스를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{ㅅㅅㅈㅅㅅㅁ}
정답 : &lt;6&gt; 글자
* 정답란에 띄어쓰기 없이 입력 후 제출해주세요.</t>
  </si>
  <si>
    <t>신숙주선생묘</t>
  </si>
  <si>
    <t>민락동 의정부휴대폰성지 핸드폰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</si>
  <si>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4.[*정부휴대폰성지]플레이스를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{ㅁㄹㅇ}
정답 : &lt;3&gt; 글자
* 정답란에 띄어쓰기 없이 입력 후 제출해주세요.</t>
  </si>
  <si>
    <t>강남세차 하이퍼 청담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</si>
  <si>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4.[하이퍼 청*]플레이스를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{ㄷㅅㄱㅇ}
정답 : &lt;4&gt; 글자
* 정답란에 띄어쓰기 없이 입력 후 제출해주세요.</t>
  </si>
  <si>
    <t>하이퍼 청*</t>
  </si>
  <si>
    <t>https://m.place.naver.com/place/1787421161/home?entry=pll</t>
  </si>
  <si>
    <t>강남 하이퍼 청담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</si>
  <si>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4.[하이퍼 청*]플레이스를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{ㅅㅅㅁㄹㄱㅇ}
정답 : &lt;6&gt; 글자
* 정답란에 띄어쓰기 없이 입력 후 제출해주세요.</t>
  </si>
  <si>
    <t>청담동 하이퍼 청담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</si>
  <si>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4.[하이퍼 청*]플레이스를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{ㅅㅌㄱㄹㄱㅇ}
정답 : &lt;6&gt; 글자
* 정답란에 띄어쓰기 없이 입력 후 제출해주세요.</t>
  </si>
  <si>
    <t>평택 영어회화 소피아클래스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</si>
  <si>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4.[*피아클래스]플레이스를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{ㅅㅅㄱㄹㄱㅇ}
정답 : &lt;6&gt; 글자
* 정답란에 띄어쓰기 없이 입력 후 제출해주세요.</t>
  </si>
  <si>
    <t>사색근린공원</t>
  </si>
  <si>
    <t>*피아클래스</t>
  </si>
  <si>
    <t>https://m.place.naver.com/place/1426588177/home?entry=pll</t>
  </si>
  <si>
    <t>평택 소피아클래스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</si>
  <si>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4.[*피아클래스]플레이스를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{ㅅㄱㅈㄱㄹㄱㅇ}
정답 : &lt;7&gt; 글자
* 정답란에 띄어쓰기 없이 입력 후 제출해주세요.</t>
  </si>
  <si>
    <t>사군자근린공원</t>
  </si>
  <si>
    <t>평택 칠원동 소피아클래스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</si>
  <si>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4.[*피아클래스]플레이스를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{ㅅㅅㅂㅅㄷ}
정답 : &lt;5&gt; 글자
* 정답란에 띄어쓰기 없이 입력 후 제출해주세요.</t>
  </si>
  <si>
    <t>소사벌성당</t>
  </si>
  <si>
    <t>경주 렌트카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</si>
  <si>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4.[*러스렌트카 경주영업소]플레이스를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{ㅎㄱㅈㅅㅈ}
정답 : &lt;5&gt; 글자
* 정답란에 띄어쓰기 없이 입력 후 제출해주세요.</t>
  </si>
  <si>
    <t>화곡저수지</t>
  </si>
  <si>
    <t>*러스렌트카 경주영업소</t>
  </si>
  <si>
    <t>https://m.place.naver.com/place/2020244258/home</t>
  </si>
  <si>
    <t>경주 렌트카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</si>
  <si>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4.[*러스렌트카 경주영업소]플레이스를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{ㅅㅂㅅ}
정답 : &lt;3&gt; 글자
* 정답란에 띄어쓰기 없이 입력 후 제출해주세요.</t>
  </si>
  <si>
    <t>경주 건천 렌트카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</si>
  <si>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4.[*러스렌트카 경주영업소]플레이스를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{ㄷㅅㅅ}
정답 : &lt;3&gt; 글자
* 정답란에 띄어쓰기 없이 입력 후 제출해주세요.</t>
  </si>
  <si>
    <t>단석산</t>
  </si>
  <si>
    <t>경주 건천 렌트카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</si>
  <si>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4.[*러스렌트카 경주영업소]플레이스를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{ㄱㅊㄱㅂㄱ}
정답 : &lt;5&gt; 글자
* 정답란에 띄어쓰기 없이 입력 후 제출해주세요.</t>
  </si>
  <si>
    <t>금척고분군</t>
  </si>
  <si>
    <t>센텀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</si>
  <si>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4.[*짐 헬스&amp;PT 센텀시티점]플레이스를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{ㅅㅂㅅ}
정답 : &lt;3&gt; 글자
* 정답란에 띄어쓰기 없이 입력 후 제출해주세요.</t>
  </si>
  <si>
    <t>성불사</t>
  </si>
  <si>
    <t>*짐 헬스&amp;PT 센텀시티점</t>
  </si>
  <si>
    <t>https://m.place.naver.com/place/1986332432/home?entry=pll</t>
  </si>
  <si>
    <t>센텀 헬스장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</si>
  <si>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4.[*짐 헬스&amp;PT 센텀시티점]플레이스를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{ㅂㅈㅅ}
정답 : &lt;3&gt; 글자
* 정답란에 띄어쓰기 없이 입력 후 제출해주세요.</t>
  </si>
  <si>
    <t>법주사</t>
  </si>
  <si>
    <t>센텀 헬스장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</si>
  <si>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4.[*짐 헬스&amp;PT 센텀시티점]플레이스를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{ㅊㅈㄱㅅㅇㅅㄷ}
정답 : &lt;7&gt; 글자
* 정답란에 띄어쓰기 없이 입력 후 제출해주세요.</t>
  </si>
  <si>
    <t>천주교수영성당</t>
  </si>
  <si>
    <t>센텀 PT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</si>
  <si>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4.[*짐 헬스&amp;PT 센텀시티점]플레이스를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{ㅁㄹㄱㅇ}
정답 : &lt;4&gt; 글자
* 정답란에 띄어쓰기 없이 입력 후 제출해주세요.</t>
  </si>
  <si>
    <t>민락공원</t>
  </si>
  <si>
    <t>센텀 PT 헬스장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</si>
  <si>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4.[*짐 헬스&amp;PT 센텀시티점]플레이스를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{ㄱㅇㄷㄱㅊㄱㄹ}
정답 : &lt;7&gt; 글자
* 정답란에 띄어쓰기 없이 입력 후 제출해주세요.</t>
  </si>
  <si>
    <t>광안동곱창거리</t>
  </si>
  <si>
    <t>압구정로데오 포차 술집</t>
  </si>
  <si>
    <t>oKE</t>
  </si>
  <si>
    <t>압구정로데오 전골 맛집</t>
  </si>
  <si>
    <t>압구정로데오 포차</t>
  </si>
  <si>
    <t>압구정로데오 포차 추천</t>
  </si>
  <si>
    <t>압구정로데오 미미포차</t>
  </si>
  <si>
    <t>제주 제원 짜글이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</si>
  <si>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4.[*방 제주연동점]플레이스를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{ㅅㄹㅅ}
정답 : &lt;3&gt; 글자
* 정답란에 띄어쓰기 없이 입력 후 제출해주세요.</t>
  </si>
  <si>
    <t>선림사</t>
  </si>
  <si>
    <t>*방 제주연동점</t>
  </si>
  <si>
    <t>https://m.place.naver.com/restaurant/1851177659/home</t>
  </si>
  <si>
    <t>신동수변공원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</si>
  <si>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4.[*직드로잉 취미음악학원 수원시청점]플레이스를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{ㅁㄴㅅㅌㄱㅇ}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</si>
  <si>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4.[*직드로잉 취미음악학원 수원시청점]플레이스를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{ㅁㅌㄷㅅㄷ}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</si>
  <si>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4.[*직드로잉 취미음악학원 수원시청점]플레이스를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{ㅁㅎㄱㄹㄱㅇ}
정답 : &lt;6&gt; 글자
* 정답란에 띄어쓰기 없이 입력 후 제출해주세요.</t>
  </si>
  <si>
    <t>머내생태공원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</si>
  <si>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4.[*직드로잉 취미음악학원 수원시청점]플레이스를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{ㅅㄷㅅㅂㄱㅇ}
정답 : &lt;6&gt; 글자
* 정답란에 띄어쓰기 없이 입력 후 제출해주세요.</t>
  </si>
  <si>
    <t>오목교 필라테스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</si>
  <si>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4.[*른정 슬링 필라테스 오목교점]플레이스를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{ㄷㄹㅊ}
정답 : &lt;3&gt; 글자
* 정답란에 띄어쓰기 없이 입력 후 제출해주세요.</t>
  </si>
  <si>
    <t>*른정 슬링 필라테스 오목교점</t>
  </si>
  <si>
    <t>https://m.place.naver.com/place/1139057294/home?entry=pll</t>
  </si>
  <si>
    <t>오목교 필라테스 추천</t>
  </si>
  <si>
    <t>오목교역 필라테스</t>
  </si>
  <si>
    <t>오목교 물리치료사 필라테스</t>
  </si>
  <si>
    <t>목동 물리치료사 필라테스</t>
  </si>
  <si>
    <t>마포 대흥동 필라테스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</si>
  <si>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4.[*꿈 필라테스]플레이스를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{ㅊㅊㄱㄹㄱㅇ}
정답 : &lt;6&gt; 글자
* 정답란에 띄어쓰기 없이 입력 후 제출해주세요.</t>
  </si>
  <si>
    <t>창천근린공원</t>
  </si>
  <si>
    <t>*꿈 필라테스</t>
  </si>
  <si>
    <t>https://m.place.naver.com/place/1631105596/home?entry=pll</t>
  </si>
  <si>
    <t>https://docs.google.com/spreadsheets/d/10IPRXNUD2hnXEWLLI3xJVY4xkm16oa2AjtAa_zrEmeo/edit?gid=0#gid=0</t>
  </si>
  <si>
    <t>마포 대흥동 필라테스 추천</t>
  </si>
  <si>
    <t>마포 대흥동 필라테스 예약</t>
  </si>
  <si>
    <t>대흥역 필라테스 예약</t>
  </si>
  <si>
    <t>대흥역 그룹필라테스</t>
  </si>
  <si>
    <t>서초 이혼전문변호사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</si>
  <si>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4.[이혼전문변호사 법률사무소 나우*]플레이스를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{ㅇㅅㅁㅎㄱㅇ}
정답 : &lt;6&gt; 글자
* 정답란에 띄어쓰기 없이 입력 후 제출해주세요.</t>
  </si>
  <si>
    <t>역삼문화공원</t>
  </si>
  <si>
    <t>이혼전문변호사 법률사무소 나우*</t>
  </si>
  <si>
    <t>https://m.place.naver.com/place/19985319/home?entry=pll</t>
  </si>
  <si>
    <t>서초 이혼전문법률사무소</t>
  </si>
  <si>
    <t>교대역 이혼전문변호사</t>
  </si>
  <si>
    <t>교대역 이혼전문법률사무소</t>
  </si>
  <si>
    <t>서초 이혼전문변호사 추천</t>
  </si>
  <si>
    <t>부천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</si>
  <si>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4.[*천닥터스치과의원]플레이스를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{ㅇㅎㄱㅇ}
정답 : &lt;4&gt; 글자
* 정답란에 띄어쓰기 없이 입력 후 제출해주세요.</t>
  </si>
  <si>
    <t>은행공원</t>
  </si>
  <si>
    <t>*천닥터스치과의원</t>
  </si>
  <si>
    <t>https://m.place.naver.com/hospital/2001627784/home?entry=pll</t>
  </si>
  <si>
    <t>부천 치과 추천</t>
  </si>
  <si>
    <t>신중동역 치과</t>
  </si>
  <si>
    <t>신중동역 치과 추천</t>
  </si>
  <si>
    <t>부천 임플란트</t>
  </si>
  <si>
    <t>부천시청역 피부관리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</si>
  <si>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4.[*페이스뷰티 부천중동점]플레이스를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{ㅅㄱㅅㄷ}
정답 : &lt;4&gt; 글자
* 정답란에 띄어쓰기 없이 입력 후 제출해주세요.</t>
  </si>
  <si>
    <t>심곡성당</t>
  </si>
  <si>
    <t>*페이스뷰티 부천중동점</t>
  </si>
  <si>
    <t>https://m.place.naver.com/place/2089960547/home?entry=pll</t>
  </si>
  <si>
    <t>부천 스페이스뷰티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</si>
  <si>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4.[*페이스뷰티 부천중동점]플레이스를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{ㅂㅂㄱㅇ}
정답 : &lt;4&gt; 글자
* 정답란에 띄어쓰기 없이 입력 후 제출해주세요.</t>
  </si>
  <si>
    <t>봄비공원</t>
  </si>
  <si>
    <t>부천시청역 스페이스뷰티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</si>
  <si>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4.[*페이스뷰티 부천중동점]플레이스를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{ㄱㅈㄱㅇ}
정답 : &lt;4&gt; 글자
* 정답란에 띄어쓰기 없이 입력 후 제출해주세요.</t>
  </si>
  <si>
    <t>구지공원</t>
  </si>
  <si>
    <t>스페이스뷰티 부천중동점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</si>
  <si>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4.[*페이스뷰티 부천중동점]플레이스를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{ㅅㄷㅎㅅㄱㅇ}
정답 : &lt;6&gt; 글자
* 정답란에 띄어쓰기 없이 입력 후 제출해주세요.</t>
  </si>
  <si>
    <t>상동호수공원</t>
  </si>
  <si>
    <t>부천 스페이스뷰티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</si>
  <si>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4.[*페이스뷰티 부천중동점]플레이스를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</si>
  <si>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남양주 형사 변호사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</si>
  <si>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4.[*사이혼전문 법률사무소나인 김현수변호사]플레이스를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{ㄷㅅㅅㅂㄱㅇ}
정답 : &lt;6&gt; 글자
* 정답란에 띄어쓰기 없이 입력 후 제출해주세요.</t>
  </si>
  <si>
    <t>다산수변공원</t>
  </si>
  <si>
    <t>*사이혼전문 법률사무소나인 김현수변호사</t>
  </si>
  <si>
    <t>https://m.place.naver.com/place/1437781619/home?entry=pll</t>
  </si>
  <si>
    <t>남양주 형사 변호사 예약</t>
  </si>
  <si>
    <t>남양주 이혼 변호사 추천</t>
  </si>
  <si>
    <t>남양주 이혼 변호사 예약</t>
  </si>
  <si>
    <t>남양주 나인 법률사무소</t>
  </si>
  <si>
    <t>대전 나인 법률사무소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</si>
  <si>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4.[*전이혼전문변호사 법률사무소나인 최서희대전형사전문변호사]플레이스를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{ㅎㅂㅅㅁㅇ}
정답 : &lt;5&gt; 글자
* 정답란에 띄어쓰기 없이 입력 후 제출해주세요.</t>
  </si>
  <si>
    <t>한밭수목원</t>
  </si>
  <si>
    <t>*전이혼전문변호사 법률사무소나인 최서희대전형사전문변호사</t>
  </si>
  <si>
    <t>https://m.place.naver.com/place/1827424244/home?entry=pll</t>
  </si>
  <si>
    <t>대전 최서희 변호사</t>
  </si>
  <si>
    <t>대전 둔산동 이혼전문변호사 추천</t>
  </si>
  <si>
    <t>대전 시청역 이혼전문변호사 추천</t>
  </si>
  <si>
    <t>대전 조정이혼변호사 예약</t>
  </si>
  <si>
    <t>홍대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</si>
  <si>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4.[*세여우치과의원 홍대점]플레이스를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{ㄱㅎㄷ}
정답 : &lt;3&gt; 글자
* 정답란에 띄어쓰기 없이 입력 후 제출해주세요.</t>
  </si>
  <si>
    <t>홍대 치과 예약</t>
  </si>
  <si>
    <t>동교동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</si>
  <si>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"법률사무소 나인-ninelawfirm.co.kr"을 찾아주세요.
5. "남양주 이혼변호사, 형사변호사 - 법률사무소 나인"을 클릭해주세요.
6. 사이트 방문 후 우측 상단 "☰(삼선) -&gt; 법률사무소 소개 -&gt; 로펌소개"를 클릭해주세요.
7. [ 힌트 ] 를 보고 정답을 찾아주세요.
8. 초성힌트 : [ 나인은 여러분의 곁을 지키는 OOO ‘내 편인 변호사’ 입니다. ]
정답 : &lt;3&gt;  글자
* 정답란에 - 포함하여 띄어쓰기 없이 입력 후 제출해주세요.</t>
  </si>
  <si>
    <t>든든한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</si>
  <si>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"법률사무소 나인-ninelawfirm.co.kr"을 찾아주세요.
5. "남양주 이혼변호사, 형사변호사 - 법률사무소 나인"을 클릭해주세요.
6. 사이트 방문 후 우측 상단 "☰(삼선) -&gt; 온라인 상담 -&gt; 온라인 상담"을 클릭해주세요.
7. [ 힌트 ] 를 보고 정답을 찾아주세요.
8. 초성힌트 : [ 법률사무소 나인은 OOOOO가 직접 소송을 수행하고 있습니다. ]
정답 : &lt;5&gt;  글자
* 정답란에 - 포함하여 띄어쓰기 없이 입력 후 제출해주세요.</t>
  </si>
  <si>
    <t>전문변호사</t>
  </si>
  <si>
    <t>축구반티 no.1 반티지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</si>
  <si>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"www.bantg.co.kr"을 찾아주세요.
5. "No.1 반티지│반티사이트│축구반티│야구반티│농구반티"를 클릭해주세요.
6. 사이트 방문 후 제일 하단으로 이동해주세요.
7. [ 힌트 ] 를 보고 정답을 찾아주세요.
8. 초성힌트 : [ 카카오톡ID : OOO ]
정답 : &lt;3&gt;  글자
* 정답란에 - 포함하여 띄어쓰기 없이 입력 후 제출해주세요.</t>
  </si>
  <si>
    <t>아이스녹차액상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</si>
  <si>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"스위든바-swidn.com"을 찾아주세요.
5. "스위든바 | 스위든액상 | 아이스녹차,그린티 | 쿠반시가 공식 총판 (주)가람컴퍼니"를 클릭해주세요.
6. 사이트 방문 후 좌측 상단 "☰(삼선) -&gt; 브랜드스토리"를 클릭해주세요.
7. [ 힌트 ] 를 보고 정답을 찾아주세요.
8. 초성힌트 : [ (주)가람컴퍼니는 최고의 OOO와 제품을 약속합니다. ]
정답 : &lt;3&gt;  글자
* 정답란에 - 포함하여 띄어쓰기 없이 입력 후 제출해주세요.</t>
  </si>
  <si>
    <t>스위든바</t>
  </si>
  <si>
    <t>https://m.swidn.com/</t>
  </si>
  <si>
    <t>대구탐정사무소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</si>
  <si>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"korpia0805.com"을 찾아주세요.
5. "부산,대구탐정사무소 - 탐정들의 영업비밀"을 클릭해주세요.
6. 사이트 방문 후 제일 하단으로 이동해주세요.
7. [ 힌트 ] 를 보고 정답을 찾아주세요.
8. 초성힌트 : [ 대성기획 1533-OOOO ]
정답 : &lt;4&gt;  글자
* 정답란에 - 포함하여 띄어쓰기 없이 입력 후 제출해주세요.</t>
  </si>
  <si>
    <t>https://korpia0805.com/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</si>
  <si>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"www.bantg.co.kr"을 찾아주세요.
5. "No.1 반티지│반티사이트│축구반티│야구반티│농구반티"를 클릭해주세요.
6. 사이트 방문 후 제일 하단으로 이동해주세요.
7. [ 힌트 ] 를 보고 정답을 찾아주세요.
8. 초성힌트 : [ 회사소개│이용약관│개인정보취급방침│OOOO ]
정답 : &lt;4&gt;  글자
* 정답란에 - 포함하여 띄어쓰기 없이 입력 후 제출해주세요.</t>
  </si>
  <si>
    <t>제휴문의</t>
  </si>
  <si>
    <t>해바라기액자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</si>
  <si>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</si>
  <si>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https://smartstore.naver.com/homecoffeeing/products/8211405700</t>
  </si>
  <si>
    <t>KE</t>
  </si>
  <si>
    <t>해바라기액자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</si>
  <si>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</si>
  <si>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https://m.search.naver.com/search.naver?sm=mtp_hty.top&amp;where=m&amp;query=%EA%B0%9C%EC%97%85%EC%84%A0%EB%AC%BC&amp;ackey=8tscwrx6</t>
  </si>
  <si>
    <t>해바라기액자 그림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</si>
  <si>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</si>
  <si>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https://msearch.shopping.naver.com/search/all?query=%EA%B0%9C%EC%97%85%EC%84%A0%EB%AC%BC&amp;vertical=search</t>
  </si>
  <si>
    <t>해바라기액자 중형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</si>
  <si>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</si>
  <si>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해바라기액자 블랙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</si>
  <si>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황* 액자(*나무) *랙 중형 *들*오는 그림 *바라* 거* 개업 *물
 ( '광고' 클릭 절대 금지 )
 ▶판매처 : 빛내는 사람들
 5. 찜하기 클릭
 6. 바로가기 클릭
 7. 상품 클릭
 8. 링크(url) 복사 후 정답에 붙여넣기 후 제출</t>
    </r>
  </si>
  <si>
    <t>https://m.smartstore.naver.com/homecoffeeing/products/8211405700</t>
  </si>
  <si>
    <t>해바라기액자 돈나무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</si>
  <si>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황* 액자(*나무) *랙 중형 *들*오는 그림 *바라* 거* 개업 *물
 ( '광고' 클릭 절대 금지 )
 ▶판매처 : 빛내는 사람들
 5. 찜하기 클릭
 6. 바로가기 클릭
 7. 상품 클릭
 8. 링크(url) 복사 후 정답에 붙여넣기 후 제출</t>
    </r>
  </si>
  <si>
    <t>해바라기액자 거실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</si>
  <si>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황* 액자(*나무) *랙 중형 *들*오는 그림 *바라* 거* 개업 *물
 ( '광고' 클릭 절대 금지 )
 ▶판매처 : 빛내는 사람들
 5. 찜하기 클릭
 6. 바로가기 클릭
 7. 상품 클릭
 8. 링크(url) 복사 후 정답에 붙여넣기 후 제출</t>
    </r>
  </si>
  <si>
    <t>1,663개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</si>
  <si>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 도라* 스틱 배*라지즙 *액 청 맥*동 12g 15포 3Box 삼*채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삼과채건강즙 배곧본점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</si>
  <si>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2월 세팅 완 ~ 2/15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</si>
  <si>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 도라* 스틱 배*라지즙 *액 청 맥*동 12g 15포 3Box 삼*채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삼과채건강즙 배곧본점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</si>
  <si>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 도라* 스틱 배*라지즙 *액 청 맥*동 12g 15포 3Box 삼*채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삼과채건강즙 배곧본점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</si>
  <si>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 도라* 스틱 배*라지즙 *액 청 맥*동 12g 15포 3Box 삼*채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삼과채건강즙 배곧본점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</si>
  <si>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164개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</si>
  <si>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플*이토 와*파이 *시계 인*리어 전자달* 집*이 사*실 LED시* 백라*트 터닝 *랫
( '광고' 클릭 절대 금지 )
 ▶판매처 : 제이앤와이컴퍼니
 5. 찜하기 클릭
 6. 바로가기 클릭
 7. 상품 클릭
 8. 링크(url) 복사 후 정답에 붙여넣기 후 제출</t>
    </r>
  </si>
  <si>
    <t>트렁크매트 차박매트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</si>
  <si>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샤*토 SUV *렁크*트 차*매트 디*뉴싼*페MX5 5*승 (하*브*드호*) 단*상품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디에이치원오토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</si>
  <si>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디에이치원오토</t>
  </si>
  <si>
    <t>https://smartstore.naver.com/dhone/products/4745394291</t>
  </si>
  <si>
    <t>트렁크매트 차박매트 싼타페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</si>
  <si>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샤*토 SUV *렁크*트 차*매트 디*뉴싼*페MX5 5*승 (하*브*드호*) 단*상품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디에이치원오토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</si>
  <si>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https://m.search.naver.com/search.naver?sm=mtp_hty.top&amp;where=m&amp;query=%ED%8A%B8%EB%A0%81%ED%81%AC%EB%A7%A4%ED%8A%B8&amp;ackey=xpz548mu</t>
  </si>
  <si>
    <t>트렁크매트 차박매트 디올뉴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</si>
  <si>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샤*토 SUV *렁크*트 차*매트 디*뉴싼*페MX5 5*승 (하*브*드호*) 단*상품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디에이치원오토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</si>
  <si>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https://msearch.shopping.naver.com/search/all?query=%ED%8A%B8%EB%A0%81%ED%81%AC%EB%A7%A4%ED%8A%B8&amp;vertical=search</t>
  </si>
  <si>
    <t>트렁크매트 차박매트 5인승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</si>
  <si>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샤*토 SUV *렁크*트 차*매트 디*뉴싼*페MX5 5*승 (하*브*드호*) 단*상품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디에이치원오토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</si>
  <si>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948개</t>
  </si>
  <si>
    <t>트렁크매트 차박매트 단일상품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</si>
  <si>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샤*토 SUV *렁크*트 차*매트 디*뉴싼*페MX5 5*승 (하*브*드호*) 단*상품
 ( '광고' 클릭 절대 금지 )
 ▶판매처 : 디에이치원오토
 5. 찜하기 클릭
 6. 바로가기 클릭
 7. 상품 클릭
 8. 링크(url) 복사 후 정답에 붙여넣기 후 제출</t>
    </r>
  </si>
  <si>
    <t>https://m.smartstore.naver.com/dhone/products/4745394291</t>
  </si>
  <si>
    <t>콩고기 식물성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</si>
  <si>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리*콩햄 *고기 햄 식*성 대*육 반* 120gX4개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비타글로리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</si>
  <si>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비타글로리</t>
  </si>
  <si>
    <t>https://smartstore.naver.com/sugarbalance/products/12673440350</t>
  </si>
  <si>
    <t>콩고기 리얼콩햄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</si>
  <si>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리*콩햄 *고기 햄 식*성 대*육 반* 120gX4개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비타글로리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</si>
  <si>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https://m.search.naver.com/search.naver?sm=mtp_hty.top&amp;where=m&amp;query=%EC%BD%A9%EA%B3%A0%EA%B8%B0&amp;ackey=eer12ow6</t>
  </si>
  <si>
    <t>콩고기 대체육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</si>
  <si>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리*콩햄 *고기 햄 식*성 대*육 반* 120gX4개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비타글로리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</si>
  <si>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https://msearch.shopping.naver.com/search/all?query=%EC%BD%A9%EA%B3%A0%EA%B8%B0&amp;vertical=search</t>
  </si>
  <si>
    <t>콩고기 반찬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</si>
  <si>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리*콩햄 *고기 햄 식*성 대*육 반* 120gX4개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비타글로리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</si>
  <si>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45개</t>
  </si>
  <si>
    <t>콩고기 120g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</si>
  <si>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리*콩햄 *고기 햄 식*성 대*육 반* 120gX4개
 ( '광고' 클릭 절대 금지 )
 ▶판매처 : 비타글로리
 5. 찜하기 클릭
 6. 바로가기 클릭
 7. 상품 클릭
 8. 링크(url) 복사 후 정답에 붙여넣기 후 제출</t>
    </r>
  </si>
  <si>
    <t>https://m.smartstore.naver.com/sugarbalance/products/12673440350</t>
  </si>
  <si>
    <t>텀블러살균기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</si>
  <si>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클*온 *블러 살균* 컵*독기 *솔 UV 소*기 *균건*기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CLUON 클루온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</si>
  <si>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CLUON 클루온</t>
  </si>
  <si>
    <t>https://smartstore.naver.com/cluon/products/12595368144</t>
  </si>
  <si>
    <t>텀블러살균기 클루온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</si>
  <si>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클*온 *블러 살균* 컵*독기 *솔 UV 소*기 *균건*기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CLUON 클루온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</si>
  <si>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https://m.search.naver.com/search.naver?sm=mtp_hty.top&amp;where=m&amp;query=%EC%82%B4%EA%B7%A0%EA%B8%B0&amp;ackey=1gl21vcs</t>
  </si>
  <si>
    <t>텀블러살균기 소독기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</si>
  <si>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클*온 *블러 살균* 컵*독기 *솔 UV 소*기 *균건*기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CLUON 클루온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</si>
  <si>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https://msearch.shopping.naver.com/search/all?query=%EC%82%B4%EA%B7%A0%EA%B8%B0&amp;vertical=search</t>
  </si>
  <si>
    <t>텀블러살균기 소독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</si>
  <si>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클*온 *블러 살균* 컵*독기 *솔 UV 소*기 *균건*기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CLUON 클루온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</si>
  <si>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622개</t>
  </si>
  <si>
    <t>텀블러살균기 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</si>
  <si>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클*온 *블러 살균* 컵*독기 *솔 UV 소*기 *균건*기
 ( '광고' 클릭 절대 금지 )
 ▶판매처 : CLUON 클루온
 5. 찜하기 클릭
 6. 바로가기 클릭
 7. 상품 클릭
 8. 링크(url) 복사 후 정답에 붙여넣기 후 제출</t>
    </r>
  </si>
  <si>
    <t>https://m.smartstore.naver.com/cluon/products/12595368144</t>
  </si>
  <si>
    <t>답례품 비누 플루메리아꽃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</si>
  <si>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</si>
  <si>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답례품 비누 하와이 플루메리아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</si>
  <si>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</si>
  <si>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답례품 비누 천연 꽃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</si>
  <si>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</si>
  <si>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결혼 답례품 하와이 꽃비누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</si>
  <si>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</si>
  <si>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383개</t>
  </si>
  <si>
    <t>돌잔치 답례품 하와이 꽃비누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</si>
  <si>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하*이꽃 플*메리* 결혼 돌*치 *례품 천*비누
 ( '광고' 클릭 절대 금지 )
 ▶판매처 : 온비다
 5. 찜하기 클릭
 6. 바로가기 클릭
 7. 상품 클릭
 8. 링크(url) 복사 후 정답에 붙여넣기 후 제출</t>
    </r>
  </si>
  <si>
    <t>무드등 불멍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</si>
  <si>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*난로 불*는 LED 무* 수유*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</si>
  <si>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무드등 벽난로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</si>
  <si>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*난로 불*는 LED 무* 수유*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</si>
  <si>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불타는 무드등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</si>
  <si>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*난로 불*는 LED 무* 수유*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</si>
  <si>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무드등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</si>
  <si>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*난로 불*는 LED 무* 수유*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</si>
  <si>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1,411개</t>
  </si>
  <si>
    <t>무드등 LED A형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</si>
  <si>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불* 무*등 *난로 불*는 LED 무* 수유* 집*이 크*스마*(A형)
 ( '광고' 클릭 절대 금지 )
 ▶판매처 : 빛내는 사람들
 5. 찜하기 클릭
 6. 바로가기 클릭
 7. 상품 클릭
 8. 링크(url) 복사 후 정답에 붙여넣기 후 제출</t>
    </r>
  </si>
  <si>
    <t>불멍 무드등 E형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</si>
  <si>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*난로 불*는 LED *선 크*스마* ( E형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</si>
  <si>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</si>
  <si>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*난로 불*는 LED *선 크*스마* ( E형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</si>
  <si>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*난로 불*는 LED *선 크*스마* ( E형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</si>
  <si>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*난로 불*는 LED *선 크*스마* ( E형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</si>
  <si>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800개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</si>
  <si>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불* 무*등 *난로 불*는 LED *선 크*스마* ( E형 )
 ( '광고' 클릭 절대 금지 )
 ▶판매처 : 빛내는 사람들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</si>
  <si>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</si>
  <si>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</si>
  <si>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</si>
  <si>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</si>
  <si>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황* 액자(*나무) *랙 중형 *들*오는 그림 *바라* 거* 개업 *물
 ( '광고' 클릭 절대 금지 )
 ▶판매처 : 빛내는 사람들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</si>
  <si>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*멍 무드* LED *명 벽*로 수유* 무선 *리*마스 집*이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</si>
  <si>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*멍 무드* LED *명 벽*로 수유* 무선 *리*마스 집*이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</si>
  <si>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*멍 무드* LED *명 벽*로 수유* 무선 *리*마스 집*이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</si>
  <si>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*멍 무드* LED *명 벽*로 수유* 무선 *리*마스 집*이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</si>
  <si>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440개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</si>
  <si>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[땡*리] *멍 무드* LED *명 벽*로 수유* 무선 *리*마스 집*이
 ( '광고' 클릭 절대 금지 )
 ▶판매처 : 템x템
 5. 찜하기 클릭
 6. 바로가기 클릭
 7. 상품 클릭
 8. 링크(url) 복사 후 정답에 붙여넣기 후 제출</t>
    </r>
  </si>
  <si>
    <t>불멍 무드등 심플브라운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</si>
  <si>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초대* *멍 *드등 LED 벽*로 집*이 조명 *플브*운S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</si>
  <si>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https://smartstore.naver.com/temxtem/products/8471715867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</si>
  <si>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초대* *멍 *드등 LED 벽*로 집*이 조명 *플브*운S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</si>
  <si>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초대* *멍 *드등 LED 벽*로 집*이 조명 *플브*운S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</si>
  <si>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초대* *멍 *드등 LED 벽*로 집*이 조명 *플브*운S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</si>
  <si>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384개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</si>
  <si>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[땡*리] 초대* *멍 *드등 LED 벽*로 집*이 조명 *플브*운S
 ( '광고' 클릭 절대 금지 )
 ▶판매처 : 템x템
 5. 찜하기 클릭
 6. 바로가기 클릭
 7. 상품 클릭
 8. 링크(url) 복사 후 정답에 붙여넣기 후 제출</t>
    </r>
  </si>
  <si>
    <t>https://m.smartstore.naver.com/temxtem/products/8471715867</t>
  </si>
  <si>
    <t>불멍 무드등 G형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</si>
  <si>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벽난* 불*는 LED *선 크*스마* ( G형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</si>
  <si>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벽난* 불*는 LED *선 크*스마* ( G형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</si>
  <si>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벽난* 불*는 LED *선 크*스마* ( G형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</si>
  <si>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벽난* 불*는 LED *선 크*스마* ( G형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</si>
  <si>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398개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</si>
  <si>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불* 무*등 벽난* 불*는 LED *선 크*스마* ( G형 )
 ( '광고' 클릭 절대 금지 )
 ▶판매처 : 빛내는 사람들
 5. 찜하기 클릭
 6. 바로가기 클릭
 7. 상품 클릭
 8. 링크(url) 복사 후 정답에 붙여넣기 후 제출</t>
    </r>
  </si>
  <si>
    <t>겨울이불 소미다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</si>
  <si>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소미* 고*도 면100% 겨*이불 바*오워* 풍*한 *스필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소미다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</si>
  <si>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소미다</t>
  </si>
  <si>
    <t>https://smartstore.naver.com/somidastore/products/12770150008</t>
  </si>
  <si>
    <t>풍성한 겨울이불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</si>
  <si>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소미* 고*도 면100% 겨*이불 바*오워* 풍*한 *스필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소미다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</si>
  <si>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https://m.search.naver.com/search.naver?sm=mtp_hty.top&amp;where=m&amp;query=%EA%B2%A8%EC%9A%B8%EC%9D%B4%EB%B6%88&amp;ackey=lyldrip1</t>
  </si>
  <si>
    <t>겨울이불 고밀도 구스필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</si>
  <si>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소미* 고*도 면100% 겨*이불 바*오워* 풍*한 *스필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소미다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</si>
  <si>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https://msearch.shopping.naver.com/search/all?query=%EA%B2%A8%EC%9A%B8%EC%9D%B4%EB%B6%88&amp;vertical=search</t>
  </si>
  <si>
    <t>겨울이불 풍성한 면100%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</si>
  <si>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소미* 고*도 면100% 겨*이불 바*오워* 풍*한 *스필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소미다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</si>
  <si>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737개</t>
  </si>
  <si>
    <t>겨울이불 바이오워싱 구스필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</si>
  <si>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소미* 고*도 면100% 겨*이불 바*오워* 풍*한 *스필
 ( '광고' 클릭 절대 금지 )
 ▶판매처 : 소미다
 5. 찜하기 클릭
 6. 바로가기 클릭
 7. 상품 클릭
 8. 링크(url) 복사 후 정답에 붙여넣기 후 제출</t>
    </r>
  </si>
  <si>
    <t>https://m.smartstore.naver.com/somidastore/products/12770150008</t>
  </si>
  <si>
    <t>슬로건타올 락페스티벌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</si>
  <si>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[락*스티벌*량슬로*타올제*] 콘서*, *크샵, 동*회 응원타* 주*제작 100x20 스웨*드 300장이상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</si>
  <si>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슬로건타올 소량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</si>
  <si>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[락*스티벌*량슬로*타올제*] 콘서*, *크샵, 동*회 응원타* 주*제작 100x20 스웨*드 300장이상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</si>
  <si>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https://m.search.naver.com/search.naver?sm=mtp_hty.top&amp;where=m&amp;query=%ED%83%80%EC%98%AC&amp;ackey=fhkc1yzv</t>
  </si>
  <si>
    <t>슬로건타올 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</si>
  <si>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[락*스티벌*량슬로*타올제*] 콘서*, *크샵, 동*회 응원타* 주*제작 100x20 스웨*드 300장이상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</si>
  <si>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https://msearch.shopping.naver.com/search/all?query=%ED%83%80%EC%98%AC&amp;vertical=search</t>
  </si>
  <si>
    <t>슬로건타올 콘서트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</si>
  <si>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[락*스티벌*량슬로*타올제*] 콘서*, *크샵, 동*회 응원타* 주*제작 100x20 스웨*드 300장이상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</si>
  <si>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334개</t>
  </si>
  <si>
    <t>슬로건타올 워크샵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</si>
  <si>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[락*스티벌*량슬로*타올제*] 콘서*, *크샵, 동*회 응원타* 주*제작 100x20 스웨*드 300장이상
 ( '광고' 클릭 절대 금지 )
 ▶판매처 : 나인스타아트
 5. 찜하기 클릭
 6. 바로가기 클릭 
 7. 상품 클릭
 8. 링크(url) 복사 후 정답에 붙여넣기 후 제출</t>
    </r>
  </si>
  <si>
    <t>리클라이너 디오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</si>
  <si>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</si>
  <si>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리클라이너 디오 모션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</si>
  <si>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</si>
  <si>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https://m.search.naver.com/search.naver?sm=mtp_hty.top&amp;where=m&amp;query=%EB%A6%AC%ED%81%B4%EB%9D%BC%EC%9D%B4%EB%84%88&amp;ackey=bnl43wlu</t>
  </si>
  <si>
    <t>리클라이너 디오 패브릭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</si>
  <si>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</si>
  <si>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https://msearch.shopping.naver.com/search/all?query=%EB%A6%AC%ED%81%B4%EB%9D%BC%EC%9D%B4%EB%84%88&amp;vertical=search</t>
  </si>
  <si>
    <t>리클라이너 디오 4인용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</si>
  <si>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</si>
  <si>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1,220개</t>
  </si>
  <si>
    <t>리클라이너 디오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</si>
  <si>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[무*배송] 세*홈 *오 모션 슬*이딩 패브* 리*라이* 소* 아*보리, 4*용
 ( '광고' 클릭 절대 금지 )
 ▶판매처 : 세이홈 - SAYHOME
 5. 찜하기 클릭
 6. 바로가기 클릭
 7. 상품 클릭
 8. 링크(url) 복사 후 정답에 붙여넣기 후 제출</t>
    </r>
  </si>
  <si>
    <t>https://m.smartstore.naver.com/say-home/products/11744470676</t>
  </si>
  <si>
    <t>차량용방향제 추천 곰돌이 도아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</si>
  <si>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곰*이 *량용*향제 추* 다크*롬 블*체리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주식회사 도아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</si>
  <si>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주식회사 도아</t>
  </si>
  <si>
    <t>https://smartstore.naver.com/doaco/products/12682296394</t>
  </si>
  <si>
    <t>차량용방향제 추천 다크크롬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</si>
  <si>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곰*이 *량용*향제 추* 다크*롬 블*체리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주식회사 도아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</si>
  <si>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https://m.search.naver.com/search.naver?sm=mtp_hty.top&amp;where=m&amp;query=%EC%B0%A8%EB%9F%89%EC%9A%A9%EB%B0%A9%ED%96%A5%EC%A0%9C%EC%B6%94%EC%B2%9C&amp;ackey=0pqst5z0</t>
  </si>
  <si>
    <t>차량용방향제 추천 다크크롬 블랙체리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</si>
  <si>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곰*이 *량용*향제 추* 다크*롬 블*체리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주식회사 도아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</si>
  <si>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https://msearch.shopping.naver.com/search/all?query=%EC%B0%A8%EB%9F%89%EC%9A%A9%EB%B0%A9%ED%96%A5%EC%A0%9C%EC%B6%94%EC%B2%9C&amp;vertical=search</t>
  </si>
  <si>
    <t>차량용방향제 추천 다크크롬 도아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</si>
  <si>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곰*이 *량용*향제 추* 다크*롬 블*체리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주식회사 도아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</si>
  <si>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907개</t>
  </si>
  <si>
    <t>차량용방향제 추천 도아 곰돌이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</si>
  <si>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곰*이 *량용*향제 추* 다크*롬 블*체리
 ( '광고' 클릭 절대 금지 )
 ▶판매처 : 주식회사 도아
 5. 찜하기 클릭
 6. 바로가기 클릭
 7. 상품 클릭
 8. 링크(url) 복사 후 정답에 붙여넣기 후 제출</t>
    </r>
  </si>
  <si>
    <t>https://m.smartstore.naver.com/doaco/products/12682296394</t>
  </si>
  <si>
    <t>유기농 밀크씨슬 1000mg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</si>
  <si>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</si>
  <si>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</si>
  <si>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</si>
  <si>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유기농 밀크씨슬 1000mg 30정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</si>
  <si>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</si>
  <si>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403개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</si>
  <si>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</si>
  <si>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화장대 파로마 소이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</si>
  <si>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</si>
  <si>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</si>
  <si>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</si>
  <si>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639개</t>
  </si>
  <si>
    <t>옷장 라자가구 빅 1200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</si>
  <si>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</si>
  <si>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라자가구 빅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</si>
  <si>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</si>
  <si>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</si>
  <si>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</si>
  <si>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280개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</si>
  <si>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라**구 위드 빅 1**0 슬라이딩 옷장 행거형 j*195
 ( '광고' 클릭 절대 금지 )
 ▶판매처 : 라자가구 스토어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</si>
  <si>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</si>
  <si>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위드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</si>
  <si>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</si>
  <si>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</si>
  <si>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</si>
  <si>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312개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</si>
  <si>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라*가구 *드 키* 모노 *문 옷* 1000
 ( '광고' 클릭 절대 금지 )
 ▶판매처 : 라자가구 스토어
 5. 찜하기 클릭
 6. 바로가기 클릭
 7. 상품 클릭
 8. 링크(url) 복사 후 정답에 붙여넣기 후 제출</t>
    </r>
  </si>
  <si>
    <t>침대 파로마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</si>
  <si>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까* 빅 슬라*딩 수납침* *레임 Q UCU056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파로마 온라인
</t>
    </r>
    <r>
      <rPr>
        <sz val="0"/>
        <color theme="1"/>
        <rFont val="Arial"/>
      </rPr>
      <t xml:space="preserve">
5. 올화이트 색상을 선택해주세요.
 6.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</si>
  <si>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파로마 온라인</t>
  </si>
  <si>
    <t>https://search.shopping.naver.com/catalog/49681487628</t>
  </si>
  <si>
    <t>침대 까사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</si>
  <si>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까* 빅 슬라*딩 수납침* *레임 Q UCU056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파로마 온라인
</t>
    </r>
    <r>
      <rPr>
        <sz val="0"/>
        <color theme="1"/>
        <rFont val="Arial"/>
      </rPr>
      <t xml:space="preserve">
5. 올화이트 색상을 선택해주세요.
 6.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</si>
  <si>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https://m.search.naver.com/search.naver?sm=mtp_hty.top&amp;where=m&amp;query=%EC%B9%A8%EB%8C%80&amp;ackey=m2gto7b6</t>
  </si>
  <si>
    <t>침대 슬라이딩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</si>
  <si>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까* 빅 슬라*딩 수납침* *레임 Q UCU056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파로마 온라인
</t>
    </r>
    <r>
      <rPr>
        <sz val="0"/>
        <color theme="1"/>
        <rFont val="Arial"/>
      </rPr>
      <t xml:space="preserve">
5. 올화이트 색상을 선택해주세요.
 6.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</si>
  <si>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파로마 프레임 Q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</si>
  <si>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까* 빅 슬라*딩 수납침* *레임 Q UCU056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파로마 온라인
</t>
    </r>
    <r>
      <rPr>
        <sz val="0"/>
        <color theme="1"/>
        <rFont val="Arial"/>
      </rPr>
      <t xml:space="preserve">
5. 올화이트 색상을 선택해주세요.
 6.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</si>
  <si>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490개</t>
  </si>
  <si>
    <t>침대 파로마 UCU056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</si>
  <si>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*로마 까* 빅 슬라*딩 수납침* *레임 Q UCU056
 ▶판매처 : 파로마 온라인
5. 올화이트 색상을 선택해주세요.
 6. 찜하기 클릭
 7. 바로가기 클릭
 8. 상품 클릭
 9. 링크(url) 복사 후 정답에 붙여넣기 후 제출</t>
  </si>
  <si>
    <t>https://m.smartstore.naver.com/paroma_on/products/10560176927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</si>
  <si>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</si>
  <si>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LED벽시계 와이파이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</si>
  <si>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</si>
  <si>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LED벽시계 플라이토 전자달력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</si>
  <si>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</si>
  <si>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LED벽시계 플라이토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</si>
  <si>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</si>
  <si>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324개</t>
  </si>
  <si>
    <t>LED벽시계 플라이토 백라이트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</si>
  <si>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플*이토 와*파이 *시계 인*리어 전자달* 집*이 사*실 LED시* 백라*트 터닝 *랫
( '광고' 클릭 절대 금지 )
 ▶판매처 : 제이앤와이컴퍼니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</si>
  <si>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</si>
  <si>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루나리스 FM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</si>
  <si>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</si>
  <si>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https://m.search.naver.com/search.naver?sm=mtp_hty.top&amp;where=m&amp;query=%EB%A3%A8%EB%82%98%EB%A6%AC%EC%8A%A4&amp;ackey=6r8p7he5</t>
  </si>
  <si>
    <t>루나리스 54CM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</si>
  <si>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</si>
  <si>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루나리스 전자달력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</si>
  <si>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</si>
  <si>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144개</t>
  </si>
  <si>
    <t>미션 수행하며,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상품을 클릭 해주세요.
국산 루*리스 노*딕 FM 전* 수신 LED 벽시* 54cm 전*달* 사*실 개업*물
( '광고' 클릭 절대 금지 )
 ▶판매처 : 제이앤와이컴퍼니
 5. 찜하기 클릭
 6. 바로가기 클릭
 7. 상품 클릭
 8. 링크(url) 복사 후 정답에 붙여넣기 후 제출</t>
  </si>
  <si>
    <t>다이어트사료 3KG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</si>
  <si>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나*라*이어* 3kg 2종 저*방 저*로리 강*지 다*어트 사료 *장염 리*스드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</si>
  <si>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딩고나투라</t>
  </si>
  <si>
    <t>https://brand.naver.com/dingonatura/products/10542877525</t>
  </si>
  <si>
    <t>다이어트사료 3KG 2종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</si>
  <si>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나*라*이어* 3kg 2종 저*방 저*로리 강*지 다*어트 사료 *장염 리*스드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</si>
  <si>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https://m.search.naver.com/search.naver?sm=mtp_hty.top&amp;where=m&amp;query=%EB%8B%A4%EC%9D%B4%EC%96%B4%ED%8A%B8%EC%82%AC%EB%A3%8C&amp;ackey=so7s4g76</t>
  </si>
  <si>
    <t>다이어트사료 3KG 저지방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</si>
  <si>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나*라*이어* 3kg 2종 저*방 저*로리 강*지 다*어트 사료 *장염 리*스드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</si>
  <si>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https://msearch.shopping.naver.com/search/all?query=%EB%8B%A4%EC%9D%B4%EC%96%B4%ED%8A%B8%EC%82%AC%EB%A3%8C&amp;vertical=search</t>
  </si>
  <si>
    <t>다이어트사료 3KG 저칼로리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</si>
  <si>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나*라*이어* 3kg 2종 저*방 저*로리 강*지 다*어트 사료 *장염 리*스드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</si>
  <si>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84개</t>
  </si>
  <si>
    <t>다이어트사료 췌장염</t>
  </si>
  <si>
    <t>미션 수행하며,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상품을 클릭 해주세요.
나*라*이어* 3kg 2종 저*방 저*로리 강*지 다*어트 사료 *장염 리*스드
( '광고' 클릭 절대 금지 )
 ▶판매처 : 딩고나투라
 5. 찜하기 클릭
 6. 바로가기 클릭
 7. 상품 클릭
 8. 링크(url) 복사 후 정답에 붙여넣기 후 제출</t>
  </si>
  <si>
    <t>https://m.brand.naver.com/dingonatura/products/10542877525</t>
  </si>
  <si>
    <t>강아지습식사료 5종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</si>
  <si>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나*라*이어트 400g 5종 *아지*식사* 하*포*러제* 다*어트*료 피*앤베*스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</si>
  <si>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https://brand.naver.com/dingonatura/products/7289497188</t>
  </si>
  <si>
    <t>강아지습식사료 하이포알러제닉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</si>
  <si>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나*라*이어트 400g 5종 *아지*식사* 하*포*러제* 다*어트*료 피*앤베*스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</si>
  <si>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https://m.search.naver.com/search.naver?sm=mtp_hty.top&amp;where=m&amp;query=%EA%B0%95%EC%95%84%EC%A7%80%EC%82%AC%EB%A3%8C&amp;ackey=1tjoyzig</t>
  </si>
  <si>
    <t>강아지습식사료 베지스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</si>
  <si>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나*라*이어트 400g 5종 *아지*식사* 하*포*러제* 다*어트*료 피*앤베*스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</si>
  <si>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https://msearch.shopping.naver.com/search/all?query=%EA%B0%95%EC%95%84%EC%A7%80%EC%82%AC%EB%A3%8C&amp;vertical=search</t>
  </si>
  <si>
    <t>강아지사료피쉬앤베지스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</si>
  <si>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나*라*이어트 400g 5종 *아지*식사* 하*포*러제* 다*어트*료 피*앤베*스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</si>
  <si>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152개</t>
  </si>
  <si>
    <t>강아지사료 습식 5종</t>
  </si>
  <si>
    <t>미션 수행하며,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상품을 클릭 해주세요.
나*라*이어트 400g 5종 *아지*식사* 하*포*러제* 다*어트*료 피*앤베*스
( '광고' 클릭 절대 금지 )
 ▶판매처 : 딩고나투라
 5. 찜하기 클릭
 6. 바로가기 클릭
 7. 상품 클릭
 8. 링크(url) 복사 후 정답에 붙여넣기 후 제출</t>
  </si>
  <si>
    <t>https://m.brand.naver.com/dingonatura/products/7289497188</t>
  </si>
  <si>
    <t>고양이사료샘플 400g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</si>
  <si>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나투*다*어* 캣 400g 2종 *양이 사료 *플 다*어트 유*너리 *성화 *킨앤*지*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</si>
  <si>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https://brand.naver.com/dingonatura/products/12454419393</t>
  </si>
  <si>
    <t>고양이사료샘플 다이어트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</si>
  <si>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나투*다*어* 캣 400g 2종 *양이 사료 *플 다*어트 유*너리 *성화 *킨앤*지*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</si>
  <si>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https://m.search.naver.com/search.naver?sm=mtp_hty.top&amp;where=m&amp;query=%EA%B3%A0%EC%96%91%EC%9D%B4%EC%82%AC%EB%A3%8C%EC%83%98%ED%94%8C&amp;ackey=fby29v73</t>
  </si>
  <si>
    <t>고양이사료샘플 유리너리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</si>
  <si>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나투*다*어* 캣 400g 2종 *양이 사료 *플 다*어트 유*너리 *성화 *킨앤*지*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</si>
  <si>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https://msearch.shopping.naver.com/search/all?query=%EA%B3%A0%EC%96%91%EC%9D%B4%EC%82%AC%EB%A3%8C%EC%83%98%ED%94%8C&amp;vertical=search</t>
  </si>
  <si>
    <t>고양이사료 유리너리 2종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</si>
  <si>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나투*다*어* 캣 400g 2종 *양이 사료 *플 다*어트 유*너리 *성화 *킨앤*지*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</si>
  <si>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61개</t>
  </si>
  <si>
    <t>고양이사료 다이어트 2종</t>
  </si>
  <si>
    <t>미션 수행하며,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상품을 클릭 해주세요.
나투*다*어* 캣 400g 2종 *양이 사료 *플 다*어트 유*너리 *성화 *킨앤*지*
( '광고' 클릭 절대 금지 )
 ▶판매처 : 딩고나투라
 5. 찜하기 클릭
 6. 바로가기 클릭
 7. 상품 클릭
 8. 링크(url) 복사 후 정답에 붙여넣기 후 제출</t>
  </si>
  <si>
    <t>https://m.brand.naver.com/dingonatura/products/12454419393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</si>
  <si>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</si>
  <si>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쇼핑백 제작 초고속 맞춤제작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</si>
  <si>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</si>
  <si>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쇼핑백 제작 200매 소량 관공서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</si>
  <si>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</si>
  <si>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</si>
  <si>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362개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</si>
  <si>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200매 소* 쇼*백제* 맞춤*작 빠른 *이가* 초*속 7일 관*서 *원 치*
 ( '광고' 클릭 절대 금지 )
 ▶판매처 : 인쇄공장
 5. 찜하기 클릭
 6. 바로가기 클릭
 7. 상품 클릭
 8. 링크(url) 복사 후 정답에 붙여넣기 후 제출</t>
    </r>
  </si>
  <si>
    <t>자석 전단지 1000매 배민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</si>
  <si>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</si>
  <si>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자석 전단지 1000매 음식점 부동산 전단지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</si>
  <si>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</si>
  <si>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https://m.search.naver.com/search.naver?sm=mtp_hty.top&amp;where=m&amp;query=%EC%9E%90%EC%84%9D+%EC%A0%84%EB%8B%A8%EC%A7%80&amp;ackey=mejfp7vt</t>
  </si>
  <si>
    <t>자석 전단지 소량제작 홍보지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</si>
  <si>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</si>
  <si>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자석 전단지 종이자석 1000매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</si>
  <si>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</si>
  <si>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200개</t>
  </si>
  <si>
    <t>자석 전단지 소량제작 종이자석 홍보지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</si>
  <si>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종*자석 전*지 소*제작 홍보* 음*점 *동산 전* 1000매 배*
 ( '광고' 클릭 절대 금지 )
 ▶판매처 : 다잇다인쇄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</si>
  <si>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770x950mm 그*포장*스 대* 아*단프* 30호 *버스 미*품 액*배송 작*패킹*자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아트단프라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</si>
  <si>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그림포장박스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</si>
  <si>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770x950mm 그*포장*스 대* 아*단프* 30호 *버스 미*품 액*배송 작*패킹*자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아트단프라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</si>
  <si>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https://m.search.naver.com/search.naver?sm=mtp_hty.top&amp;where=m&amp;query=%ED%8F%AC%EC%9E%A5%EB%B0%95%EC%8A%A4&amp;ackey=vicqxfnz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</si>
  <si>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770x950mm 그*포장*스 대* 아*단프* 30호 *버스 미*품 액*배송 작*패킹*자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아트단프라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</si>
  <si>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https://msearch.shopping.naver.com/search/all?query=%ED%8F%AC%EC%9E%A5%EB%B0%95%EC%8A%A4&amp;vertical=search</t>
  </si>
  <si>
    <t>그림포장박스 액자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</si>
  <si>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770x950mm 그*포장*스 대* 아*단프* 30호 *버스 미*품 액*배송 작*패킹*자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아트단프라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</si>
  <si>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219개</t>
  </si>
  <si>
    <t>그림포장박스 미술품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</si>
  <si>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770x950mm 그*포장*스 대* 아*단프* 30호 *버스 미*품 액*배송 작*패킹*자
 ( '광고' 클릭 절대 금지 )
 ▶판매처 : 아트단프라
 5. 찜하기 클릭
 6. 바로가기 클릭
 7. 상품 클릭
 8. 링크(url) 복사 후 정답에 붙여넣기 후 제출</t>
    </r>
  </si>
  <si>
    <t>화장대 네추럴 좌형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</si>
  <si>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모*카 르* 틈새 화*대 *툴 일*형 네추*_좌*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</si>
  <si>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모디카</t>
  </si>
  <si>
    <t>https://smartstore.naver.com/modica/products/12070063544</t>
  </si>
  <si>
    <t>화장대 일체형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</si>
  <si>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모*카 르* 틈새 화*대 *툴 일*형 네추*_좌*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</si>
  <si>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https://m.search.naver.com/search.naver?sm=mtp_hty.top&amp;where=m&amp;query=%ED%99%94%EC%9E%A5%EB%8C%80&amp;ackey=hz08fs61</t>
  </si>
  <si>
    <t>화장대 르엔 좌형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</si>
  <si>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모*카 르* 틈새 화*대 *툴 일*형 네추*_좌*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</si>
  <si>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화장대 르엔 네추럴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</si>
  <si>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모*카 르* 틈새 화*대 *툴 일*형 네추*_좌*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</si>
  <si>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129개</t>
  </si>
  <si>
    <t>화장대 스툴 일체형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</si>
  <si>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모*카 르* 틈새 화*대 *툴 일*형 네추*_좌*
 ( '광고' 클릭 절대 금지 )
 ▶판매처 : 모디카
 5. 찜하기 클릭
 6. 바로가기 클릭
 7. 상품 클릭
 8. 링크(url) 복사 후 정답에 붙여넣기 후 제출</t>
    </r>
  </si>
  <si>
    <t>https://m.smartstore.naver.com/modica/products/12070063544</t>
  </si>
  <si>
    <t>양갈비 유일품종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</si>
  <si>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블랙**램 유일*종 숄더랙 양*비 양고기 프**랙 검은머리양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검은머리양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</si>
  <si>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검은머리양</t>
  </si>
  <si>
    <t>https://smartstore.naver.com/bhlam/products/11357060825</t>
  </si>
  <si>
    <t>양갈비 블랙헤드램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</si>
  <si>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블랙**램 유일*종 숄더랙 양*비 양고기 프**랙 검은머리양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검은머리양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</si>
  <si>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https://m.search.naver.com/search.naver?sm=mtp_hty.top&amp;where=m&amp;query=%EC%96%91%EA%B0%88%EB%B9%84&amp;ackey=vvym9jc2</t>
  </si>
  <si>
    <t>양갈비 검은머리양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</si>
  <si>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블랙**램 유일*종 숄더랙 양*비 양고기 프**랙 검은머리양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검은머리양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</si>
  <si>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https://msearch.shopping.naver.com/search/all?query=%EC%96%91%EA%B0%88%EB%B9%84&amp;vertical=search</t>
  </si>
  <si>
    <t>양갈비 블랙헤드램 숄더랙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</si>
  <si>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블랙**램 유일*종 숄더랙 양*비 양고기 프**랙 검은머리양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검은머리양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</si>
  <si>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110개</t>
  </si>
  <si>
    <t>양갈비 블랙헤드램 프렌치랙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</si>
  <si>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블랙**램 유일*종 숄더랙 양*비 양고기 프**랙 검은머리양
 ( '광고' 클릭 절대 금지 )
 ▶판매처 : 검은머리양
 5. 찜하기 클릭
 6. 바로가기 클릭
 7. 상품 클릭
 8. 링크(url) 복사 후 정답에 붙여넣기 후 제출</t>
    </r>
  </si>
  <si>
    <t>https://m.smartstore.naver.com/bhlam/products/11357060825</t>
  </si>
  <si>
    <t>저상형침대 캔바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</si>
  <si>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*바 E0등* LED 저*형 침* 프레* SS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</si>
  <si>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https://smartstore.naver.com/furnionehome/products/12601769452</t>
  </si>
  <si>
    <t>저상형침대 캔바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</si>
  <si>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*바 E0등* LED 저*형 침* 프레* SS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</si>
  <si>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https://m.search.naver.com/search.naver?sm=mtp_hty.top&amp;where=m&amp;query=%EC%A0%80%EC%83%81%ED%98%95%EC%B9%A8%EB%8C%80&amp;ackey=ssg291lc</t>
  </si>
  <si>
    <t>저상형침대 캔바 LED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</si>
  <si>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*바 E0등* LED 저*형 침* 프레* SS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</si>
  <si>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https://msearch.shopping.naver.com/search/all?query=%EC%A0%80%EC%83%81%ED%98%95%EC%B9%A8%EB%8C%80&amp;vertical=search</t>
  </si>
  <si>
    <t>저상형침대 캔바 SS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</si>
  <si>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*바 E0등* LED 저*형 침* 프레* SS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</si>
  <si>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145개</t>
  </si>
  <si>
    <t>저상형침대 캔바 E0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</si>
  <si>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소* *바 E0등* LED 저*형 침* 프레* SS
 ( '광고' 클릭 절대 금지 )
 ▶판매처 : 온라인 브랜드가구
 5. 찜하기 클릭
 6. 바로가기 클릭
 7. 상품 클릭
 8. 링크(url) 복사 후 정답에 붙여넣기 후 제출</t>
    </r>
  </si>
  <si>
    <t>https://m.smartstore.naver.com/furnionehome/products/12601769452</t>
  </si>
  <si>
    <t>침대 본넬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</si>
  <si>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</si>
  <si>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</si>
  <si>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</si>
  <si>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</si>
  <si>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2,441개</t>
  </si>
  <si>
    <t>침대 프라임 본넬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</si>
  <si>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보루**하우스 프*임 LED 슈퍼싱글 수**대 본넬 매트리스
 ( '광고' 클릭 절대 금지 )
 ▶판매처 : 퍼니처 브랜드몰
 5. 찜하기 클릭
 6. 바로가기 클릭
 7. 상품 클릭
 8. 링크(url) 복사 후 정답에 붙여넣기 후 제출</t>
    </r>
  </si>
  <si>
    <t>발열조끼 오와이오 OYO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</si>
  <si>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오*이오 *YO USB *열조끼 *조베*리 포함 *울 패딩 열* 히팅*스* 방한 *열 캠핑 골* 등*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오와이오웨더웨어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</si>
  <si>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오와이오웨더웨어</t>
  </si>
  <si>
    <t>https://smartstore.naver.com/oyo-ww/products/12829260911</t>
  </si>
  <si>
    <t>후드베스트 오와이오 OYO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</si>
  <si>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오*이오 *YO USB *열조끼 *조베*리 포함 *울 패딩 열* 히팅*스* 방한 *열 캠핑 골* 등*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오와이오웨더웨어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</si>
  <si>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https://m.search.naver.com/search.naver?sm=mtp_hty.top&amp;where=m&amp;query=%EB%B0%9C%EC%97%B4%EC%A1%B0%EB%81%BC&amp;ackey=tnq3viwf</t>
  </si>
  <si>
    <t>경량패딩조끼 오와이오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</si>
  <si>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오*이오 *YO USB *열조끼 *조베*리 포함 *울 패딩 열* 히팅*스* 방한 *열 캠핑 골* 등*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오와이오웨더웨어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</si>
  <si>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https://msearch.shopping.naver.com/search/all?query=%EB%B0%9C%EC%97%B4%EC%A1%B0%EB%81%BC&amp;vertical=search</t>
  </si>
  <si>
    <t>경량베스트 오와이오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</si>
  <si>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오*이오 *YO USB *열조끼 *조베*리 포함 *울 패딩 열* 히팅*스* 방한 *열 캠핑 골* 등*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오와이오웨더웨어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</si>
  <si>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53개</t>
  </si>
  <si>
    <t>패딩베스트 오와이오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</si>
  <si>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오*이오 *YO USB *열조끼 *조베*리 포함 *울 패딩 열* 히팅*스* 방한 *열 캠핑 골* 등*
 ( '광고' 클릭 절대 금지 )
 ▶판매처 : 오와이오웨더웨어
 5. 찜하기 클릭
 6. 바로가기 클릭
 7. 상품 클릭
 8. 링크(url) 복사 후 정답에 붙여넣기 후 제출</t>
    </r>
  </si>
  <si>
    <t>https://m.smartstore.naver.com/oyo-ww/products/12829260911</t>
  </si>
  <si>
    <t>플레이트 접시 타볼라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</si>
  <si>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타볼* 에 스*리아 샐*드 *레이트 접* 홈파* 크*스마*파*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테이블 스토리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</si>
  <si>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테이블 스토리</t>
  </si>
  <si>
    <t>https://smartstore.naver.com/tablenstory/products/12068008284</t>
  </si>
  <si>
    <t>플레이트 접시 스토리아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</si>
  <si>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타볼* 에 스*리아 샐*드 *레이트 접* 홈파* 크*스마*파*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테이블 스토리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</si>
  <si>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https://m.search.naver.com/search.naver?sm=mtp_hty.top&amp;where=m&amp;query=%ED%94%8C%EB%A0%88%EC%9D%B4%ED%8A%B8+%EC%A0%91%EC%8B%9C&amp;ackey=y1xoawzx</t>
  </si>
  <si>
    <t>플레이트 접시 샐러드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</si>
  <si>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타볼* 에 스*리아 샐*드 *레이트 접* 홈파* 크*스마*파*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테이블 스토리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</si>
  <si>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https://msearch.shopping.naver.com/search/all?query=%ED%94%8C%EB%A0%88%EC%9D%B4%ED%8A%B8%20%EC%A0%91%EC%8B%9C&amp;vertical=search</t>
  </si>
  <si>
    <t>플레이트 접시 크리스마스파티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</si>
  <si>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타볼* 에 스*리아 샐*드 *레이트 접* 홈파* 크*스마*파*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테이블 스토리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</si>
  <si>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135개</t>
  </si>
  <si>
    <t>플레이트 접시 홈파티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</si>
  <si>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타볼* 에 스*리아 샐*드 *레이트 접* 홈파* 크*스마*파*
 ( '광고' 클릭 절대 금지 )
 ▶판매처 : 테이블 스토리
 5. 찜하기 클릭
 6. 바로가기 클릭
 7. 상품 클릭
 8. 링크(url) 복사 후 정답에 붙여넣기 후 제출</t>
    </r>
  </si>
  <si>
    <t>https://m.smartstore.naver.com/tablenstory/products/12068008284</t>
  </si>
  <si>
    <t>강아지위생미용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</si>
  <si>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NX1200 *아지 고*이 *바닥 바리* 발 털 클*퍼 반*견 애견 *분 위* 미용*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</si>
  <si>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닉센nixen</t>
  </si>
  <si>
    <t>https://smartstore.naver.com/nixen/products/5254337456</t>
  </si>
  <si>
    <t>고양이위생이발기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</si>
  <si>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NX1200 *아지 고*이 *바닥 바리* 발 털 클*퍼 반*견 애견 *분 위* 미용*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</si>
  <si>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https://m.search.naver.com/search.naver?sm=mtp_hty.top&amp;where=m&amp;query=%EB%B0%98%EB%A0%A4%EB%8F%99%EB%AC%BC+%EB%B0%94%EB%A6%AC%EA%B9%A1&amp;ackey=nl0gu5on</t>
  </si>
  <si>
    <t>강아지위생바리깡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</si>
  <si>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NX1200 *아지 고*이 *바닥 바리* 발 털 클*퍼 반*견 애견 *분 위* 미용*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</si>
  <si>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https://msearch.shopping.naver.com/search/all?query=%EB%B0%98%EB%A0%A4%EB%8F%99%EB%AC%BC%20%EB%B0%94%EB%A6%AC%EA%B9%A1&amp;vertical=search</t>
  </si>
  <si>
    <t>강아지위생미용기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</si>
  <si>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닉* NX1200 *아지 고*이 *바닥 바리* 발 털 클*퍼 반*견 애견 *분 위* 미용*
 ( '광고' 클릭 절대 금지 )
 ▶판매처 : 닉센nixen
 5. 찜하기 클릭
 6. 바로가기 클릭
 7. 상품 클릭
 8. 링크(url) 복사 후 정답에 붙여넣기 후 제출</t>
    </r>
  </si>
  <si>
    <t>https://m.smartstore.naver.com/nixen/products/5254337456</t>
  </si>
  <si>
    <t>653개</t>
  </si>
  <si>
    <t>강아지바리깡 닉센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</si>
  <si>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강*지 *리깡 *양이 *용기 진공 *입 털*소기 셀프미* 이*기 6in1 *리퍼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</si>
  <si>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https://smartstore.naver.com/nixen/products/11792543270</t>
  </si>
  <si>
    <t>강아지바리깡 진공 흡입 털청소기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</si>
  <si>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강*지 *리깡 *양이 *용기 진공 *입 털*소기 셀프미* 이*기 6in1 *리퍼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</si>
  <si>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강아지바리깡 진공 흡입 털청소기 셀프미용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</si>
  <si>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강*지 *리깡 *양이 *용기 진공 *입 털*소기 셀프미* 이*기 6in1 *리퍼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</si>
  <si>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고양이바리깡 진공 흡입 털청소기 셀프미용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</si>
  <si>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강*지 *리깡 *양이 *용기 진공 *입 털*소기 셀프미* 이*기 6in1 *리퍼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</si>
  <si>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261개</t>
  </si>
  <si>
    <t>고양이바리깡 진공 흡입 털청소기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</si>
  <si>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닉* 강*지 *리깡 *양이 *용기 진공 *입 털*소기 셀프미* 이*기 6in1 *리퍼
 ( '광고' 클릭 절대 금지 )
 ▶판매처 : 닉센nixen
 5. 찜하기 클릭
 6. 바로가기 클릭
 7. 상품 클릭
 8. 링크(url) 복사 후 정답에 붙여넣기 후 제출</t>
    </r>
  </si>
  <si>
    <t>https://m.smartstore.naver.com/nixen/products/11792543270</t>
  </si>
  <si>
    <t>고양이정수기 무선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</si>
  <si>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강*지 *양이 정수* 무선 *동 급*기 음수* 펫 반*견 *수기 물 *터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</si>
  <si>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https://smartstore.naver.com/nixen/products/10298795156</t>
  </si>
  <si>
    <t>고양이정수기 자동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</si>
  <si>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강*지 *양이 정수* 무선 *동 급*기 음수* 펫 반*견 *수기 물 *터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</si>
  <si>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https://m.search.naver.com/search.naver?sm=mtp_hty.top&amp;where=m&amp;query=%EA%B3%A0%EC%96%91%EC%9D%B4%EC%9A%A9%ED%92%88&amp;ackey=tv2tvm7k</t>
  </si>
  <si>
    <t>고양이정수기 급수기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</si>
  <si>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강*지 *양이 정수* 무선 *동 급*기 음수* 펫 반*견 *수기 물 *터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</si>
  <si>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https://msearch.shopping.naver.com/search/all?query=%EA%B3%A0%EC%96%91%EC%9D%B4%EC%9A%A9%ED%92%88&amp;vertical=search</t>
  </si>
  <si>
    <t>고양이정수기 음수대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</si>
  <si>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강*지 *양이 정수* 무선 *동 급*기 음수* 펫 반*견 *수기 물 *터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</si>
  <si>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846개</t>
  </si>
  <si>
    <t>고양이정수기 물 필터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</si>
  <si>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닉* 강*지 *양이 정수* 무선 *동 급*기 음수* 펫 반*견 *수기 물 *터
 ( '광고' 클릭 절대 금지 )
 ▶판매처 : 닉센nixen
 5. 찜하기 클릭
 6. 바로가기 클릭
 7. 상품 클릭
 8. 링크(url) 복사 후 정답에 붙여넣기 후 제출</t>
    </r>
  </si>
  <si>
    <t>https://m.smartstore.naver.com/nixen/products/10298795156</t>
  </si>
  <si>
    <t>슈퍼싱글침대 프라임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</si>
  <si>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</si>
  <si>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슈퍼싱글침대 수납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</si>
  <si>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</si>
  <si>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슈퍼싱글침대 본넬 매트리스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</si>
  <si>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</si>
  <si>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슈퍼싱글침대 프라임 메트리스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</si>
  <si>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</si>
  <si>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2,442개</t>
  </si>
  <si>
    <t>슈퍼싱글침대 LED 프라임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</si>
  <si>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보루**하우스 프*임 LED 슈퍼싱글 수**대 본넬 매트리스
 ( '광고' 클릭 절대 금지 )
 ▶판매처 : 퍼니처 브랜드몰
 5. 찜하기 클릭
 6. 바로가기 클릭
 7. 상품 클릭
 8. 링크(url) 복사 후 정답에 붙여넣기 후 제출</t>
    </r>
  </si>
  <si>
    <t>바라클라바청풍문등산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</si>
  <si>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</si>
  <si>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https://smartstore.naver.com/bluewind-korea/products/6878738802</t>
  </si>
  <si>
    <t>바라클라바 등산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</si>
  <si>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</si>
  <si>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https://m.search.naver.com/search.naver?sm=mtp_hty.top&amp;where=m&amp;query=%EB%B0%94%EB%9D%BC%ED%81%B4%EB%9D%BC%EB%B0%94&amp;ackey=gsv9bz8b</t>
  </si>
  <si>
    <t>바라클라바 청풍문 스키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</si>
  <si>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</si>
  <si>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https://msearch.shopping.naver.com/search/all?query=%EB%B0%94%EB%9D%BC%ED%81%B4%EB%9D%BC%EB%B0%94&amp;vertical=search</t>
  </si>
  <si>
    <t>바라클라바 스키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</si>
  <si>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</si>
  <si>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494개</t>
  </si>
  <si>
    <t>바라클라바 방한 바라클라바 넥워머 등산 스키 골프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</si>
  <si>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핫*넣는 *울 방* 바*클라* 넥*머 *프 등산 *키
 ( '광고' 클릭 절대 금지 )
 ▶판매처 : 청풍문-bluewind
 5. 찜하기 클릭
 6. 바로가기 클릭 
 7. 상품 클릭
 8. 링크(url) 복사 후 정답에 붙여넣기 후 제출</t>
    </r>
  </si>
  <si>
    <t>https://m.smartstore.naver.com/bluewind-korea/products/6878738802</t>
  </si>
  <si>
    <t>러닝마스크 청풍문 자외선차단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</si>
  <si>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 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</si>
  <si>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청풍문 자외선차단 하프런 마스크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</si>
  <si>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 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</si>
  <si>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https://m.search.naver.com/search.naver?sm=mtp_hty.top&amp;where=m&amp;query=%EC%8A%A4%ED%8F%AC%EC%B8%A0%EB%A7%88%EC%8A%A4%ED%81%AC&amp;ackey=c6xq3d4b</t>
  </si>
  <si>
    <t>러닝마스크 스포츠 러닝 마스크 하프런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</si>
  <si>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 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</si>
  <si>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https://msearch.shopping.naver.com/search/all?query=%EC%8A%A4%ED%8F%AC%EC%B8%A0%EB%A7%88%EC%8A%A4%ED%81%AC&amp;vertical=search</t>
  </si>
  <si>
    <t>러닝마스크 스포츠 러닝 하프런 마스크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</si>
  <si>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 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</si>
  <si>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330개</t>
  </si>
  <si>
    <t>러닝마스크 스포츠 러닝 자외선차단 하프런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</si>
  <si>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*외선*단 스포* 러닝 마*크 *전거 골* 마스* 브레*프* 하프* 마*크
 ( '광고' 클릭 절대 금지 )
 ▶판매처 : 청풍문-bluewind
 5. 찜하기 클릭
 6. 바로가기 클릭
 7. 상품 클릭
 8. 링크(url) 복사 후 정답에 붙여넣기 후 제출</t>
    </r>
  </si>
  <si>
    <t>어린이치약 불소 고불소 주니어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</si>
  <si>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닥*메디K *소 어린* 치* 자*유래 초*학생 유* 아기 *즈 고*소 주*어 60g,4개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닥스메디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</si>
  <si>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닥스메디</t>
  </si>
  <si>
    <t>https://brand.naver.com/docsmedi/products/5779584078</t>
  </si>
  <si>
    <t>어린이치약 고불소 어린이치약 주니어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</si>
  <si>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닥*메디K *소 어린* 치* 자*유래 초*학생 유* 아기 *즈 고*소 주*어 60g,4개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닥스메디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</si>
  <si>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https://m.search.naver.com/search.naver?sm=mtp_hty.top&amp;where=m&amp;query=%EC%B9%98%EC%95%BD&amp;ackey=fty8ezzi</t>
  </si>
  <si>
    <t>어린이치약 초등학생 불소 치약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</si>
  <si>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닥*메디K *소 어린* 치* 자*유래 초*학생 유* 아기 *즈 고*소 주*어 60g,4개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닥스메디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</si>
  <si>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어린이치약 초등학생 불소 치약 주니어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</si>
  <si>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닥*메디K *소 어린* 치* 자*유래 초*학생 유* 아기 *즈 고*소 주*어 60g,4개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닥스메디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</si>
  <si>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344개</t>
  </si>
  <si>
    <t>어린이치약 고불소 초등학생 어린이 치약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</si>
  <si>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닥*메디K *소 어린* 치* 자*유래 초*학생 유* 아기 *즈 고*소 주*어 60g,4개
 ( '광고' 클릭 절대 금지 )
 ▶판매처 : 닥스메디
 5. 찜하기 클릭
 6. 바로가기 클릭
 7. 상품 클릭
 8. 링크(url) 복사 후 정답에 붙여넣기 후 제출</t>
    </r>
  </si>
  <si>
    <t>https://m.brand.naver.com/docsmedi/products/5779584078</t>
  </si>
  <si>
    <t>닥스메디 상쾌한 치약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</si>
  <si>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닥스*디2X *몸 케어 치* 임*부 천연 *로폴*스 *소 시린* 충치 구*제거, 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닥스메디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</si>
  <si>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https://brand.naver.com/docsmedi/products/5465317730</t>
  </si>
  <si>
    <t>닥스메디 상쾌한 치약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</si>
  <si>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닥스*디2X *몸 케어 치* 임*부 천연 *로폴*스 *소 시린* 충치 구*제거, 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닥스메디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</si>
  <si>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잇몸치약 임산부 충치 구취제거 천연 불소 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</si>
  <si>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닥스*디2X *몸 케어 치* 임*부 천연 *로폴*스 *소 시린* 충치 구*제거, 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닥스메디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</si>
  <si>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닥스메디 안전한 치약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</si>
  <si>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닥스*디2X *몸 케어 치* 임*부 천연 *로폴*스 *소 시린* 충치 구*제거, 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닥스메디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</si>
  <si>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286개</t>
  </si>
  <si>
    <t>닥스메디 상쾌한 치약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</si>
  <si>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닥스*디2X *몸 케어 치* 임*부 천연 *로폴*스 *소 시린* 충치 구*제거, 4개
 ( '광고' 클릭 절대 금지 )
 ▶판매처 : 닥스메디
 5. 찜하기 클릭
 6. 바로가기 클릭
 7. 상품 클릭
 8. 링크(url) 복사 후 정답에 붙여넣기 후 제출</t>
    </r>
  </si>
  <si>
    <t>https://m.brand.naver.com/docsmedi/products/5465317730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</si>
  <si>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</si>
  <si>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</si>
  <si>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</si>
  <si>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멀칭비닐 EL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</si>
  <si>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</si>
  <si>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122개</t>
  </si>
  <si>
    <t>멀칭비닐 724</t>
  </si>
  <si>
    <t>수납침대 파로마 C형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</si>
  <si>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</si>
  <si>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https://search.shopping.naver.com/catalog/21998360254</t>
  </si>
  <si>
    <t>수납침대 C형 프레임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</si>
  <si>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</si>
  <si>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https://m.search.naver.com/search.naver?sm=mtp_hty.top&amp;where=m&amp;query=%EC%B9%A8%EB%8C%80&amp;ackey=je6p32gs</t>
  </si>
  <si>
    <t>수납침대 C형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</si>
  <si>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</si>
  <si>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수납침대 C형 SS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</si>
  <si>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</si>
  <si>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369개</t>
  </si>
  <si>
    <t>수납침대 C형 ISG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</si>
  <si>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파*마 이* 카* LED C형 *납 침대 프*임 *S I*G041
 ▶판매처 : 온라인 브랜드 가구
 5. 찜하기 클릭
 6. 바로가기 클릭
 7. 상품 클릭
 8. 링크(url) 복사 후 정답에 붙여넣기 후 제출</t>
  </si>
  <si>
    <t>https://m.smartstore.naver.com/furnionehome/products/4813700269</t>
  </si>
  <si>
    <t>장어 자연산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</si>
  <si>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자*산 손질 바*장* 국* 붕장* 캠핑 장*구* 아*고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</si>
  <si>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https://smartstore.naver.com/badapoomm/products/4983963020</t>
  </si>
  <si>
    <t>장어 바다장어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</si>
  <si>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자*산 손질 바*장* 국* 붕장* 캠핑 장*구* 아*고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</si>
  <si>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https://m.search.naver.com/search.naver?sm=mtp_hty.top&amp;where=m&amp;query=%ED%95%B4%EC%82%B0%EB%AC%BC&amp;ackey=fe6g9m22</t>
  </si>
  <si>
    <t>장어 국산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</si>
  <si>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자*산 손질 바*장* 국* 붕장* 캠핑 장*구* 아*고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</si>
  <si>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장어 붕장어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</si>
  <si>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자*산 손질 바*장* 국* 붕장* 캠핑 장*구* 아*고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</si>
  <si>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682개</t>
  </si>
  <si>
    <t>장어 캠핑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</si>
  <si>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통* 자*산 손질 바*장* 국* 붕장* 캠핑 장*구* 아*고 1kg
 ( '광고' 클릭 절대 금지 )
 ▶판매처 : 바다의품격
 5. 찜하기 클릭
 6. 바로가기 클릭
 7. 상품 클릭
 8. 링크(url) 복사 후 정답에 붙여넣기 후 제출</t>
    </r>
  </si>
  <si>
    <t>https://m.smartstore.naver.com/badapoomm/products/4983963020</t>
  </si>
  <si>
    <t>하프쉘 석화 통영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</si>
  <si>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*굴 각* 삼*체 반각* 하*셀 *핑용 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</si>
  <si>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하프쉘 석화 캠핑용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</si>
  <si>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*굴 각* 삼*체 반각* 하*셀 *핑용 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</si>
  <si>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https://m.search.naver.com/search.naver?sm=mtp_hty.top&amp;where=m&amp;query=%ED%95%98%ED%94%84%EC%85%80&amp;ackey=l8bq6eve</t>
  </si>
  <si>
    <t>하프쉘 석화 각굴 삼배체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</si>
  <si>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*굴 각* 삼*체 반각* 하*셀 *핑용 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</si>
  <si>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https://msearch.shopping.naver.com/search/all?query=%ED%95%98%ED%94%84%EC%85%80&amp;vertical=search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</si>
  <si>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*굴 각* 삼*체 반각* 하*셀 *핑용 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</si>
  <si>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1,153개</t>
  </si>
  <si>
    <t>각굴 캠핑용 반각굴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</si>
  <si>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석* 통영 *굴 각* 삼*체 반각* 하*셀 *핑용 구*
 ( '광고' 클릭 절대 금지 )
 ▶판매처 : 바다의품격
 5. 찜하기 클릭
 6. 바로가기 클릭
 7. 상품 클릭
 8. 링크(url) 복사 후 정답에 붙여넣기 후 제출</t>
    </r>
  </si>
  <si>
    <t>경추베개 옆으로 자는 옆잠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</si>
  <si>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닥*스파* 경*베개 *북목 일*목 목*스크 옆*로자* 옆* 코*이 숙면 *게 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닥터스파인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</si>
  <si>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닥터스파인</t>
  </si>
  <si>
    <t>https://smartstore.naver.com/wilder_shop/products/8424779015</t>
  </si>
  <si>
    <t>경추베개 닥터스파인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</si>
  <si>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닥*스파* 경*베개 *북목 일*목 목*스크 옆*로자* 옆* 코*이 숙면 *게 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닥터스파인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</si>
  <si>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https://m.search.naver.com/search.naver?sm=mtp_hty.top&amp;where=m&amp;query=%EA%B2%BD%EC%B6%94%EB%B2%A0%EA%B0%9C&amp;ackey=qn2fimsw</t>
  </si>
  <si>
    <t>경추베개 닥터스파인 코골이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</si>
  <si>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닥*스파* 경*베개 *북목 일*목 목*스크 옆*로자* 옆* 코*이 숙면 *게 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닥터스파인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</si>
  <si>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https://msearch.shopping.naver.com/search/all?query=%EA%B2%BD%EC%B6%94%EB%B2%A0%EA%B0%9C&amp;vertical=search</t>
  </si>
  <si>
    <t>경추베개 닥터스파인 옆잠 코골이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</si>
  <si>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닥*스파* 경*베개 *북목 일*목 목*스크 옆*로자* 옆* 코*이 숙면 *게 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닥터스파인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</si>
  <si>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1,822개</t>
  </si>
  <si>
    <t>경추베개 닥터스파인 경추베개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</si>
  <si>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닥*스파* 경*베개 *북목 일*목 목*스크 옆*로자* 옆* 코*이 숙면 *게 S
 ( '광고' 클릭 절대 금지 )
 ▶판매처 : 닥터스파인
 5. 찜하기 클릭
 6. 바로가기 클릭 
 7. 상품 클릭
 8. 링크(url) 복사 후 정답에 붙여넣기 후 제출</t>
    </r>
  </si>
  <si>
    <t>https://m.smartstore.naver.com/wilder_shop/products/8424779015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</si>
  <si>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굴 *철 최*급 석* 깐* *척 생*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</si>
  <si>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석화 상급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</si>
  <si>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굴 *철 최*급 석* 깐* *척 생*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</si>
  <si>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https://m.search.naver.com/search.naver?sm=mtp_hty.top&amp;where=m&amp;query=%ED%95%B4%EC%82%B0%EB%AC%BC&amp;ackey=232dtw3y</t>
  </si>
  <si>
    <t>깐굴상급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</si>
  <si>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굴 *철 최*급 석* 깐* *척 생*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</si>
  <si>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세척굴상급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</si>
  <si>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굴 *철 최*급 석* 깐* *척 생*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</si>
  <si>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2,219개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</si>
  <si>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통* 굴 *철 최*급 석* 깐* *척 생* 1kg
 ( '광고' 클릭 절대 금지 )
 ▶판매처 : 바다의품격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</si>
  <si>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가*비 제* 세척 *단 홍가*비 1kg 캠* 조개*이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</si>
  <si>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가*비 제* 세척 *단 홍가*비 1kg 캠* 조개*이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</si>
  <si>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홍가리비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</si>
  <si>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가*비 제* 세척 *단 홍가*비 1kg 캠* 조개*이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</si>
  <si>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가*비 제* 세척 *단 홍가*비 1kg 캠* 조개*이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</si>
  <si>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5,280개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</si>
  <si>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통* 가*비 제* 세척 *단 홍가*비 1kg 캠* 조개*이 찜
 ( '광고' 클릭 절대 금지 )
 ▶판매처 : 바다의품격
 5. 찜하기 클릭
 6. 바로가기 클릭
 7. 상품 클릭
 8. 링크(url) 복사 후 정답에 붙여넣기 후 제출</t>
    </r>
  </si>
  <si>
    <t>온열변기커버 방수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</si>
  <si>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</si>
  <si>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온열변기커버 직판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</si>
  <si>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</si>
  <si>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온열변기커버 생활방수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</si>
  <si>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</si>
  <si>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</si>
  <si>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986개</t>
  </si>
  <si>
    <t>온열변기커버 운상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</si>
  <si>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(제*직판) *상 온시* WS-1000 따*한 온*변기*버 생*방수
( '광고' 클릭 절대 금지 )
 ▶판매처 : 운상
 5. 찜하기 클릭
 6. 바로가기 클릭
 7. 상품 클릭
 8. 링크(url) 복사 후 정답에 붙여넣기 후 제출</t>
    </r>
  </si>
  <si>
    <t>원목침대 파로마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</si>
  <si>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</si>
  <si>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https://search.shopping.naver.com/catalog/52188000634</t>
  </si>
  <si>
    <t>원목침대 비엘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</si>
  <si>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</si>
  <si>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https://m.search.naver.com/search.naver?sm=mtp_hty.top&amp;where=m&amp;query=%EC%B9%A8%EB%8C%80&amp;ackey=3aumjev3</t>
  </si>
  <si>
    <t>원목침대 4서랍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</si>
  <si>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</si>
  <si>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원목침대 비엘 LED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</si>
  <si>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</si>
  <si>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594개</t>
  </si>
  <si>
    <t>원목침대 파로마비엘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</si>
  <si>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파로* 비* LED *목 4서랍 수* 침*프레* SS(슈*싱글) 내*럴
 ▶판매처 : 온라인 브랜드 가구
 5. 찜하기 클릭
 6. 바로가기 클릭
 7. 상품 클릭
 8. 링크(url) 복사 후 정답에 붙여넣기 후 제출</t>
  </si>
  <si>
    <t>https://m.smartstore.naver.com/furnionehome/products/5074342757</t>
  </si>
  <si>
    <t>책장 파로마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</si>
  <si>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피츠 *디 5단 1200 A *픈책* PAC031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</si>
  <si>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https://search.shopping.naver.com/catalog/22277225623</t>
  </si>
  <si>
    <t>책장 피츠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</si>
  <si>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피츠 *디 5단 1200 A *픈책* PAC031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</si>
  <si>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https://m.search.naver.com/search.naver?sm=mtp_hty.top&amp;where=m&amp;query=%EC%B1%85%EC%9E%A5&amp;ackey=mah5qnx0</t>
  </si>
  <si>
    <t>책장 댄디 5단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</si>
  <si>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피츠 *디 5단 1200 A *픈책* PAC031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</si>
  <si>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책장 1200 A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</si>
  <si>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피츠 *디 5단 1200 A *픈책* PAC031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</si>
  <si>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337개</t>
  </si>
  <si>
    <t>책장 PAC031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</si>
  <si>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파로* 피츠 *디 5단 1200 A *픈책* PAC031
 ▶판매처 : 온라인 브랜드 가구
 5. 찜하기 클릭
 6. 바로가기 클릭
 7. 상품 클릭
 8. 링크(url) 복사 후 정답에 붙여넣기 후 제출</t>
  </si>
  <si>
    <t>https://m.smartstore.naver.com/furnionehome/products/4854271633</t>
  </si>
  <si>
    <t>침대 파로마 이즈 카이 LED C형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</si>
  <si>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</si>
  <si>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파로마 이즈 카이 LED 수납 침대 프레임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</si>
  <si>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</si>
  <si>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파로마 이즈 카이 수납 침대 프레임 SS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</si>
  <si>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</si>
  <si>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파로마 이즈 카이 수납 침대 프레임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</si>
  <si>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</si>
  <si>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파로마 이즈 카이</t>
  </si>
  <si>
    <t>옷장 파로마 이프 스텔라 터치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</si>
  <si>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이프 *텔라 *치 800 옷* F*T1001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</si>
  <si>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https://search.shopping.naver.com/catalog/46173010625</t>
  </si>
  <si>
    <t>옷장 파로마 이프 스텔라 800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</si>
  <si>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이프 *텔라 *치 800 옷* F*T1001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</si>
  <si>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https://m.search.naver.com/search.naver?sm=mtp_hty.top&amp;where=m&amp;query=%EC%98%B7%EC%9E%A5&amp;ackey=0519448r</t>
  </si>
  <si>
    <t>옷장 파로마 이프 스텔라 옷장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</si>
  <si>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이프 *텔라 *치 800 옷* F*T1001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</si>
  <si>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옷장 파로마 이프 스텔라 터치 800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</si>
  <si>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이프 *텔라 *치 800 옷* F*T1001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</si>
  <si>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307개</t>
  </si>
  <si>
    <t>옷장 파로마 이프 스텔라 터치 옷장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</si>
  <si>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파로* 이프 *텔라 *치 800 옷* F*T1001
 ▶판매처 : 파로마 온라인
 5. 찜하기 클릭
 6. 바로가기 클릭
 7. 상품 클릭
 8. 링크(url) 복사 후 정답에 붙여넣기 후 제출</t>
  </si>
  <si>
    <t>https://m.smartstore.naver.com/paroma_on/products/9835144002</t>
  </si>
  <si>
    <t>옷장 파로마 서랍옷장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</si>
  <si>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*즈 클래* 롱* 800 서*옷장 IFT004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</si>
  <si>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https://search.shopping.naver.com/catalog/37075542618</t>
  </si>
  <si>
    <t>옷장 파로마 롱바 800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</si>
  <si>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*즈 클래* 롱* 800 서*옷장 IFT004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</si>
  <si>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옷장 파로마 롱바 서랍옷장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</si>
  <si>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*즈 클래* 롱* 800 서*옷장 IFT004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</si>
  <si>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옷장 파로마 이즈 클래스 롱바 800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</si>
  <si>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*즈 클래* 롱* 800 서*옷장 IFT004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</si>
  <si>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옷장 파로마 이즈 클래스 서랍옷장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</si>
  <si>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*로마 *즈 클래* 롱* 800 서*옷장 IFT004
 ▶판매처 : 온라인 브랜드 가구
 5. 찜하기 클릭
 6. 바로가기 클릭
 7. 상품 클릭
 8. 링크(url) 복사 후 정답에 붙여넣기 후 제출</t>
  </si>
  <si>
    <t>https://m.smartstore.naver.com/furnionehome/products/5016875194</t>
  </si>
  <si>
    <t>소파 파로마 아쿠아패브릭 아이보리 3인용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</si>
  <si>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*프 로* 조* 아*아패*릭 소* 스*미포* 아이*리, 3*용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</si>
  <si>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https://search.shopping.naver.com/catalog/54025805454</t>
  </si>
  <si>
    <t>소파 파로마 아쿠아패브릭 스툴미포함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</si>
  <si>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*프 로* 조* 아*아패*릭 소* 스*미포* 아이*리, 3*용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</si>
  <si>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https://m.search.naver.com/search.naver?sm=mtp_hty.top&amp;where=m&amp;query=%EC%86%8C%ED%8C%8C&amp;ackey=ktnoeko4</t>
  </si>
  <si>
    <t>소파 파로마 이프 로니 조야 아쿠아패브릭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</si>
  <si>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*프 로* 조* 아*아패*릭 소* 스*미포* 아이*리, 3*용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</si>
  <si>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https://msearch.shopping.naver.com/search/all?query=%EC%86%8C%ED%8C%8C&amp;vertical=search</t>
  </si>
  <si>
    <t>소파 파로마 아쿠아패브릭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</si>
  <si>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*프 로* 조* 아*아패*릭 소* 스*미포* 아이*리, 3*용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</si>
  <si>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172개</t>
  </si>
  <si>
    <t>소파 파로마 아쿠아패브릭 아이보리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</si>
  <si>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파로* *프 로* 조* 아*아패*릭 소* 스*미포* 아이*리, 3*용
 ▶판매처 : 파로마 온라인
 5. 찜하기 클릭
 6. 바로가기 클릭
 7. 상품 클릭
 8. 링크(url) 복사 후 정답에 붙여넣기 후 제출</t>
  </si>
  <si>
    <t>https://m.smartstore.naver.com/paroma_on/products/9800186960</t>
  </si>
  <si>
    <t>원목침대 파로마 비엘 LED 슈퍼싱글 내추럴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</si>
  <si>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</si>
  <si>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원목침대 파로마 4서랍 수납 슈퍼싱글 내추럴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</si>
  <si>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</si>
  <si>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원목침대 파로마 4서랍 수납 침대프레임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</si>
  <si>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</si>
  <si>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수납침대 파로마 4서랍 수납 침대프레임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</si>
  <si>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</si>
  <si>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600개</t>
  </si>
  <si>
    <t>수납침대 파로마 침대프레임  4서랍 수납</t>
  </si>
  <si>
    <t>구강유산균 30정 1개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</si>
  <si>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이*비오* *강유*균 1g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 (판매처 뒤 "N pay+"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</si>
  <si>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닥터이지케어랩</t>
  </si>
  <si>
    <t>https://search.shopping.naver.com/catalog/51929285679</t>
  </si>
  <si>
    <t>구강유산균 1g 30정 1개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</si>
  <si>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이*비오* *강유*균 1g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 (판매처 뒤 "N pay+"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</si>
  <si>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https://m.search.naver.com/search.naver?sm=mtp_hty.top&amp;where=m&amp;query=%EA%B5%AC%EA%B0%95%EC%9C%A0%EC%82%B0%EA%B7%A0&amp;ackey=n4m32ypq</t>
  </si>
  <si>
    <t>구강유산균 이지비오랄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</si>
  <si>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이*비오* *강유*균 1g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 (판매처 뒤 "N pay+"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</si>
  <si>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https://msearch.shopping.naver.com/search/all?query=%EA%B5%AC%EA%B0%95%EC%9C%A0%EC%82%B0%EA%B7%A0&amp;vertical=search</t>
  </si>
  <si>
    <t>구강유산균 1개 이지비오랄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</si>
  <si>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이*비오* *강유*균 1g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 (판매처 뒤 "N pay+"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</si>
  <si>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구강유산균 30정 이지비오랄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</si>
  <si>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이*비오* *강유*균 1g x 30정 1개
 ▶판매처 : 닥터이지케어랩 (판매처 뒤 "N pay+" 표시가 있는 상품을 클릭해주세요.)
 5. 찜하기 클릭
 6. 바로가기 클릭
 7. 상품 클릭
 8. 링크(url) 복사 후 정답에 붙여넣기 후 제출</t>
  </si>
  <si>
    <t>https://m.smartstore.naver.com/dreg-carelab/products/10838691586</t>
  </si>
  <si>
    <t>구강유산균 6개월 이지비오랄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</si>
  <si>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[6*월] *지비*랄 특* 구강·*몸 유*균 180정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서울대 치의학박사 OOOO · 임상 28년 노하우 적용 &gt;</t>
    </r>
    <r>
      <rPr>
        <sz val="0"/>
        <color rgb="FFFF0000"/>
        <rFont val="Arial"/>
      </rPr>
      <t xml:space="preserve"> 4</t>
    </r>
    <r>
      <rPr>
        <sz val="0"/>
        <color theme="1"/>
        <rFont val="Arial"/>
      </rPr>
      <t>글자
* 정답란에 띄어쓰기 없이 입력 후 제출해주세요</t>
    </r>
  </si>
  <si>
    <t>성분배합</t>
  </si>
  <si>
    <t>https://dregcarelab.co.kr/product/detail.html?product_no=21&amp;cate_no=24&amp;display_group=1&amp;cafe_mkt=naver_ks&amp;mkt_in=Y&amp;ghost_mall_id=naver&amp;ref=naver_open&amp;NaPm=ct%3Dmfam9548%7Cci%3D429db9343f2de48be25b89a546725725298e77dc%7Ctr%3Dslsl%7Csn%3D11594404%7Chk%3D00d0b54910c2fa698e25627b7026d15b013a5bf9</t>
  </si>
  <si>
    <t>자사몰</t>
  </si>
  <si>
    <t>구강유산균 6개월 이지비오랄 180정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</si>
  <si>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[6*월] *지비*랄 특* 구강·*몸 유*균 180정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서울대 치의학박사 OOOO · 임상 28년 노하우 적용 &gt;</t>
    </r>
    <r>
      <rPr>
        <sz val="0"/>
        <color rgb="FFFF0000"/>
        <rFont val="Arial"/>
      </rPr>
      <t xml:space="preserve"> 4</t>
    </r>
    <r>
      <rPr>
        <sz val="0"/>
        <color theme="1"/>
        <rFont val="Arial"/>
      </rPr>
      <t>글자
* 정답란에 띄어쓰기 없이 입력 후 제출해주세요</t>
    </r>
  </si>
  <si>
    <t>https://m.search.naver.com/search.naver?sm=mtp_hty.top&amp;where=m&amp;query=%EA%B5%AC%EA%B0%95%EC%9C%A0%EC%82%B0%EA%B7%A0&amp;ackey=1nktfaq9</t>
  </si>
  <si>
    <t>구강유산균 180정 이지비오랄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</si>
  <si>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[6*월] *지비*랄 특* 구강·*몸 유*균 180정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서울대 치의학박사 OOOO · 임상 28년 노하우 적용 &gt;</t>
    </r>
    <r>
      <rPr>
        <sz val="0"/>
        <color rgb="FFFF0000"/>
        <rFont val="Arial"/>
      </rPr>
      <t xml:space="preserve"> 4</t>
    </r>
    <r>
      <rPr>
        <sz val="0"/>
        <color theme="1"/>
        <rFont val="Arial"/>
      </rPr>
      <t>글자
* 정답란에 띄어쓰기 없이 입력 후 제출해주세요</t>
    </r>
  </si>
  <si>
    <t>구강유산균 이지비오랄 6개월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</si>
  <si>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[6*월] *지비*랄 특* 구강·*몸 유*균 180정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서울대 치의학박사 OOOO · 임상 28년 노하우 적용 &gt;</t>
    </r>
    <r>
      <rPr>
        <sz val="0"/>
        <color rgb="FFFF0000"/>
        <rFont val="Arial"/>
      </rPr>
      <t xml:space="preserve"> 4</t>
    </r>
    <r>
      <rPr>
        <sz val="0"/>
        <color theme="1"/>
        <rFont val="Arial"/>
      </rPr>
      <t>글자
* 정답란에 띄어쓰기 없이 입력 후 제출해주세요</t>
    </r>
  </si>
  <si>
    <t>알파CD 100%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</si>
  <si>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</si>
  <si>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https://smartstore.naver.com/dreg-carelab/products/12102616838</t>
  </si>
  <si>
    <t>알파CD 식이섬유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</si>
  <si>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</si>
  <si>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https://m.search.naver.com/search.naver?sm=mtp_hty.top&amp;where=m&amp;query=%EC%95%8C%ED%8C%8CCD&amp;ackey=1nktfaq9</t>
  </si>
  <si>
    <t>알파CD 닥터이지 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</si>
  <si>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</si>
  <si>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알파CD 닥터이지 60정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</si>
  <si>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</si>
  <si>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262개</t>
  </si>
  <si>
    <t>알파CD 이너핏 60정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</si>
  <si>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알*CD 순*100% 지*흡*배출 닥*이* 이*핏 알파*디 식*섬유 쾌* 60정, 3개
 ( '광고' 클릭 절대 금지 )
 ▶판매처 : 닥터이지케어랩
 5. 찜하기 클릭
 6. 바로가기 클릭
 7. 상품 클릭
 8. 링크(url) 복사 후 정답에 붙여넣기 후 제출</t>
    </r>
  </si>
  <si>
    <t>https://m.smartstore.naver.com/dreg-carelab/products/12102616838</t>
  </si>
  <si>
    <t>컬리케일 닥터이지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</si>
  <si>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[1개*]유기*곱슬*일 닥*이지*리뮨 오*닉컬*케* 60정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맛·냄새 걱정 없이 OOO으로 깔끔하게 &gt;</t>
    </r>
    <r>
      <rPr>
        <sz val="0"/>
        <color rgb="FFFF0000"/>
        <rFont val="Arial"/>
      </rPr>
      <t xml:space="preserve"> 3</t>
    </r>
    <r>
      <rPr>
        <sz val="0"/>
        <color theme="1"/>
        <rFont val="Arial"/>
      </rPr>
      <t>글자
* 정답란에 띄어쓰기 없이 입력 후 제출해주세요</t>
    </r>
  </si>
  <si>
    <t>정제형</t>
  </si>
  <si>
    <t>https://dregcarelab.co.kr/product/detail.html?product_no=51&amp;cate_no=24&amp;display_group=1&amp;cafe_mkt=naver_ks&amp;mkt_in=Y&amp;ghost_mall_id=naver&amp;ref=naver_open&amp;NaPm=ct%3Dmfp2rv94%7Cci%3D66d8ce5fdc6a1768b6290104e238699fe5aa8880%7Ctr%3Dslsl%7Csn%3D11594404%7Chk%3D897bf764bd64bbac85607087989b6cd426a10592</t>
  </si>
  <si>
    <t>컬리케일 닥터이지 1개월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</si>
  <si>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[1개*]유기*곱슬*일 닥*이지*리뮨 오*닉컬*케* 60정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맛·냄새 걱정 없이 OOO으로 깔끔하게 &gt;</t>
    </r>
    <r>
      <rPr>
        <sz val="0"/>
        <color rgb="FFFF0000"/>
        <rFont val="Arial"/>
      </rPr>
      <t xml:space="preserve"> 3</t>
    </r>
    <r>
      <rPr>
        <sz val="0"/>
        <color theme="1"/>
        <rFont val="Arial"/>
      </rPr>
      <t>글자
* 정답란에 띄어쓰기 없이 입력 후 제출해주세요</t>
    </r>
  </si>
  <si>
    <t>https://m.search.naver.com/search.naver?sm=mtp_hty.top&amp;where=m&amp;query=%EC%BB%AC%EB%A6%AC%EC%BC%80%EC%9D%BC&amp;ackey=5fn6unms</t>
  </si>
  <si>
    <t>컬리케일 1개월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</si>
  <si>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[1개*]유기*곱슬*일 닥*이지*리뮨 오*닉컬*케* 60정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맛·냄새 걱정 없이 OOO으로 깔끔하게 &gt;</t>
    </r>
    <r>
      <rPr>
        <sz val="0"/>
        <color rgb="FFFF0000"/>
        <rFont val="Arial"/>
      </rPr>
      <t xml:space="preserve"> 3</t>
    </r>
    <r>
      <rPr>
        <sz val="0"/>
        <color theme="1"/>
        <rFont val="Arial"/>
      </rPr>
      <t>글자
* 정답란에 띄어쓰기 없이 입력 후 제출해주세요</t>
    </r>
  </si>
  <si>
    <t>https://msearch.shopping.naver.com/search/all?query=%EC%BB%AC%EB%A6%AC%EC%BC%80%EC%9D%BC&amp;vertical=search</t>
  </si>
  <si>
    <t>컬리케일 닥터이지 60정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</si>
  <si>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[1개*]유기*곱슬*일 닥*이지*리뮨 오*닉컬*케* 60정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맛·냄새 걱정 없이 OOO으로 깔끔하게 &gt;</t>
    </r>
    <r>
      <rPr>
        <sz val="0"/>
        <color rgb="FFFF0000"/>
        <rFont val="Arial"/>
      </rPr>
      <t xml:space="preserve"> 3</t>
    </r>
    <r>
      <rPr>
        <sz val="0"/>
        <color theme="1"/>
        <rFont val="Arial"/>
      </rPr>
      <t>글자
* 정답란에 띄어쓰기 없이 입력 후 제출해주세요</t>
    </r>
  </si>
  <si>
    <t>캣그라스 보리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</si>
  <si>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잘*란 캣*라스*분 냥*아지 야*그라* 귀* 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냥냥아지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</si>
  <si>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냥냥아지</t>
  </si>
  <si>
    <t>https://smartstore.naver.com/nnag/products/4609195964</t>
  </si>
  <si>
    <t>캣그라스 화분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</si>
  <si>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잘*란 캣*라스*분 냥*아지 야*그라* 귀* 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냥냥아지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</si>
  <si>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https://m.search.naver.com/search.naver?sm=mtp_hty.top&amp;where=m&amp;query=%EC%BA%A3%EA%B7%B8%EB%9D%BC%EC%8A%A4&amp;ackey=rdpn4ilq</t>
  </si>
  <si>
    <t>캣그라스 귀리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</si>
  <si>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잘*란 캣*라스*분 냥*아지 야*그라* 귀* 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냥냥아지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</si>
  <si>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https://msearch.shopping.naver.com/search/all?query=%EC%BA%A3%EA%B7%B8%EB%9D%BC%EC%8A%A4&amp;vertical=search</t>
  </si>
  <si>
    <t>캣그라스 화분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</si>
  <si>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잘*란 캣*라스*분 냥*아지 야*그라* 귀* 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냥냥아지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</si>
  <si>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347개</t>
  </si>
  <si>
    <t>잘 자라는 캣그라스 화분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</si>
  <si>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잘*란 캣*라스*분 냥*아지 야*그라* 귀* *리
 ( '광고' 클릭 절대 금지 )
 ▶판매처 : 냥냥아지
 5. 찜하기 클릭
 6. 바로가기 클릭
 7. 상품 클릭
 8. 링크(url) 복사 후 정답에 붙여넣기 후 제출</t>
    </r>
  </si>
  <si>
    <t>https://m.smartstore.naver.com/nnag/products/4609195964</t>
  </si>
  <si>
    <t>모달잠옷 뜨왈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</si>
  <si>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뜨* 모달*옷 홈*어 *하의 세* 2col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MD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</si>
  <si>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MD 몰</t>
  </si>
  <si>
    <t>https://smartstore.naver.com/merchandisermall/products/12645249342</t>
  </si>
  <si>
    <t>모달잠옷 상하의 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</si>
  <si>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뜨* 모달*옷 홈*어 *하의 세* 2col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MD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</si>
  <si>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https://m.search.naver.com/search.naver?sm=mtp_hty.top&amp;where=m&amp;query=%EB%AA%A8%EB%8B%AC%EC%9E%A0%EC%98%B7&amp;ackey=n4n6ux75</t>
  </si>
  <si>
    <t>모달잠옷 2col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</si>
  <si>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뜨* 모달*옷 홈*어 *하의 세* 2col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MD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</si>
  <si>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https://msearch.shopping.naver.com/search/all?query=%EB%AA%A8%EB%8B%AC%EC%9E%A0%EC%98%B7&amp;vertical=search</t>
  </si>
  <si>
    <t>모달잠옷 세트 뜨왈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</si>
  <si>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뜨* 모달*옷 홈*어 *하의 세* 2col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MD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</si>
  <si>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106개</t>
  </si>
  <si>
    <t>모달잠옷 2col 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</si>
  <si>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뜨* 모달*옷 홈*어 *하의 세* 2col
 ( '광고' 클릭 절대 금지 )
 ▶판매처 : MD 몰
 5. 찜하기 클릭
 6. 바로가기 클릭
 7. 상품 클릭
 8. 링크(url) 복사 후 정답에 붙여넣기 후 제출</t>
    </r>
  </si>
  <si>
    <t>https://m.smartstore.naver.com/merchandisermall/products/12645249342</t>
  </si>
  <si>
    <t>저분자 콜라겐 라이필 3박스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</si>
  <si>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*라겐 비오*맥스 신*아 라*필 어린 저*자 3.5g x 150포 3박스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</si>
  <si>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저분자 콜라겐 신민아 콜라겐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</si>
  <si>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*라겐 비오*맥스 신*아 라*필 어린 저*자 3.5g x 150포 3박스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</si>
  <si>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저분자 콜라겐 더마 어린 저분자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</si>
  <si>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*라겐 비오*맥스 신*아 라*필 어린 저*자 3.5g x 150포 3박스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</si>
  <si>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저분자 콜라겐 비오틴맥스 신민아 라이필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</si>
  <si>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*라겐 비오*맥스 신*아 라*필 어린 저*자 3.5g x 150포 3박스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</si>
  <si>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458개</t>
  </si>
  <si>
    <t>저분자 콜라겐 비오틴맥스 3박스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</si>
  <si>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라이* 더마 *라겐 비오*맥스 신*아 라*필 어린 저*자 3.5g x 150포 3박스
 ( '광고' 클릭 절대 금지 )
 ▶판매처 : 마넬리 코스메틱
 5. 찜하기 클릭
 6. 바로가기 클릭
 7. 상품 클릭
 8. 링크(url) 복사 후 정답에 붙여넣기 후 제출</t>
    </r>
  </si>
  <si>
    <t>저분자 콜라겐 비오틴 6병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</si>
  <si>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더마 저분* 콜*겐 시*니처 173달톤 *저분* 비오틴 신*아 어린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</si>
  <si>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더마 저분* 콜*겐 시*니처 173달톤 *저분* 비오틴 신*아 어린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</si>
  <si>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저분자 콜라겐 시그니처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</si>
  <si>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더마 저분* 콜*겐 시*니처 173달톤 *저분* 비오틴 신*아 어린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</si>
  <si>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저분자 콜라겐 173달톤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</si>
  <si>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더마 저분* 콜*겐 시*니처 173달톤 *저분* 비오틴 신*아 어린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</si>
  <si>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448개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</si>
  <si>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라*필 더마 저분* 콜*겐 시*니처 173달톤 *저분* 비오틴 신*아 어린 6병 24주
 ( '광고' 클릭 절대 금지 )
 ▶판매처 : 마넬리 코스메틱
 5. 찜하기 클릭
 6. 바로가기 클릭
 7. 상품 클릭
 8. 링크(url) 복사 후 정답에 붙여넣기 후 제출</t>
    </r>
  </si>
  <si>
    <t>미션 수행하며,
리워드 즉시 적립 받으세요!
1. 하단 [검색어 복사하기] 버튼을 클릭 하고, 키워드를 복사해주세요.
2. [힌트 보기] 버튼을 클릭해서 구글에 접속해주세요.
3. 복사된 키워드를 검색 창에 붙여 넣고 검색해주세요.
4. 아래 상품을 클릭 해주세요.
홈*영 프**엄 논슬립 나무 옷*이 원목 니트 긴목 옷*게 10P 세트
 ( '광고' 클릭 절대 금지 )
 ▶판매처 : 홈앤영
 5. 상세페이지 하단 구매 추가정보에서 상품번호 뒤 5자리를
 아래 정답란에 입력 후 제출해주세요.</t>
  </si>
  <si>
    <t>옷걸이 긴목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</si>
  <si>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</si>
  <si>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</si>
  <si>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</si>
  <si>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홈*영 프**엄 논슬립 나무 옷*이 원목 니트 긴목 옷*게 10P 세트
 ( '광고' 클릭 절대 금지 )
 ▶판매처 : 홈앤영
 5. 찜하기 클릭
 6. 바로가기 클릭
 7. 상품 클릭
 8. 링크(url) 복사 후 정답에 붙여넣기 후 제출</t>
    </r>
  </si>
  <si>
    <t>식물등 꿀빠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</si>
  <si>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꿀빠 *그린 식*등 플*커프* 눈*심*지 led식*등 바형 60cm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</si>
  <si>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식물전파사 공식몰</t>
  </si>
  <si>
    <t>https://smartstore.naver.com/plantlight/products/10973486007</t>
  </si>
  <si>
    <t>식물등 전파사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</si>
  <si>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꿀빠 *그린 식*등 플*커프* 눈*심*지 led식*등 바형 60cm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</si>
  <si>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https://m.search.naver.com/search.naver?sm=mtp_hty.top&amp;where=m&amp;query=%EC%8B%9D%EB%AC%BC%EB%93%B1&amp;ackey=sblb35i1</t>
  </si>
  <si>
    <t>식물등 딥그린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</si>
  <si>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꿀빠 *그린 식*등 플*커프* 눈*심*지 led식*등 바형 60cm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</si>
  <si>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https://msearch.shopping.naver.com/search/all?query=%EC%8B%9D%EB%AC%BC%EB%93%B1&amp;vertical=search</t>
  </si>
  <si>
    <t>식물등 플리커프리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</si>
  <si>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꿀빠 *그린 식*등 플*커프* 눈*심*지 led식*등 바형 60cm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</si>
  <si>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식물등 눈부심방지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</si>
  <si>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식*전파* 꿀빠 *그린 식*등 플*커프* 눈*심*지 led식*등 바형 60cm
 ( '광고' 클릭 절대 금지 )
 ▶판매처 : 식물전파사 공식몰
 5. 찜하기 클릭
 6. 바로가기 클릭 
 7. 상품 클릭
 8. 링크(url) 복사 후 정답에 붙여넣기 후 제출</t>
    </r>
  </si>
  <si>
    <t>https://m.smartstore.naver.com/plantlight/products/10973486007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</si>
  <si>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햇*바 *물등 선*3개*체형 자*타이* LED식*등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</si>
  <si>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https://smartstore.naver.com/plantlight/products/6859553148</t>
  </si>
  <si>
    <t>식물등 햇살바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</si>
  <si>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햇*바 *물등 선*3개*체형 자*타이* LED식*등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</si>
  <si>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https://m.search.naver.com/search.naver?sm=mtp_hty.top&amp;where=m&amp;query=%EC%8B%9D%EB%AC%BC%EB%93%B1&amp;ackey=e2vjuz02</t>
  </si>
  <si>
    <t>식물등 선반3개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</si>
  <si>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햇*바 *물등 선*3개*체형 자*타이* LED식*등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</si>
  <si>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식물등 일체형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</si>
  <si>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햇*바 *물등 선*3개*체형 자*타이* LED식*등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</si>
  <si>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761개</t>
  </si>
  <si>
    <t>식물등 자동타이머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</si>
  <si>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식*전파* 햇*바 *물등 선*3개*체형 자*타이* LED식*등
( '광고' 클릭 절대 금지 )
 ▶판매처 : 식물전파사 공식몰
 5. 찜하기 클릭
 6. 바로가기 클릭
 7. 상품 클릭
 8. 링크(url) 복사 후 정답에 붙여넣기 후 제출</t>
    </r>
  </si>
  <si>
    <t>https://m.smartstore.naver.com/plantlight/products/6859553148</t>
  </si>
  <si>
    <t>주방수납장 GA045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</si>
  <si>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</si>
  <si>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</si>
  <si>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https://m.search.naver.com/search.naver?sm=mtp_hty.top&amp;where=m&amp;query=%EB%A0%8C%EC%A7%80%EB%8C%80&amp;ackey=b4savo7u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</si>
  <si>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</si>
  <si>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https://msearch.shopping.naver.com/search/all?query=%EB%A0%8C%EC%A7%80%EB%8C%80&amp;vertical=search</t>
  </si>
  <si>
    <t>주방수납장 데코 인출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</si>
  <si>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</si>
  <si>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412개</t>
  </si>
  <si>
    <t>퀸침대 파로마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</si>
  <si>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</si>
  <si>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</si>
  <si>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https://m.search.naver.com/search.naver?sm=mtp_hty.top&amp;where=m&amp;query=%ED%80%B8%EC%B9%A8%EB%8C%80&amp;ackey=vvym9jc2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</si>
  <si>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</si>
  <si>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https://msearch.shopping.naver.com/search/all?query=%ED%80%B8%EC%B9%A8%EB%8C%80&amp;vertical=search</t>
  </si>
  <si>
    <t>퀸침대 소프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</si>
  <si>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</si>
  <si>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퀸침대 수납 서랍형 3서랍 led 프레임 파로마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</si>
  <si>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소프 led 인싸 3서랍 퀸*대 수납 서*형 프*임
 ( '광고' 클릭 절대 금지 )
 ▶판매처 : 온라인 브랜드가구
 5. 찜하기 클릭
 6. 바로가기 클릭
 7. 상품 클릭
 8. 링크(url) 복사 후 정답에 붙여넣기 후 제출</t>
    </r>
  </si>
  <si>
    <t>섬유탈취제 패브릭퍼퓸</t>
  </si>
  <si>
    <t>미션 수행하며,
리워드 즉시 적립 받으세요!
1. 하단 [검색어 복사하기] 버튼을 클릭 하고, 키워드를 복사해주세요.
2. [힌트 보기] 버튼을 클릭해서 구글에 접속해주세요.
3. 복사된 키워드를 검색 창에 붙여 넣고 검색해주세요.
4. 아래 상품을 클릭 해주세요.
라*블리* 룸 *유향수 섬*탈취* 향* 룸*프*이 침구*취 패*릭퍼* 100ml
( '광고' 클릭 절대 금지 )
 ▶판매처 : 라이블리 브리즈 ROOM
 5. 상세페이지 하단 구매 추가정보에서 상품번호 뒤 5자리를
 아래 정답란에 입력 후 제출해주세요.</t>
  </si>
  <si>
    <t>라이블리 브리즈 ROOM</t>
  </si>
  <si>
    <t>https://smartstore.naver.com/lively-breeze-room/products/6053490927</t>
  </si>
  <si>
    <t>섬유탈취제 침구탈취</t>
  </si>
  <si>
    <t>미션 수행하며,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상품을 클릭 해주세요.
라*블리* 룸 *유향수 섬*탈취* 향* 룸*프*이 침구*취 패*릭퍼* 100ml
( '광고' 클릭 절대 금지 )
 ▶판매처 : 라이블리 브리즈 ROOM
 5. 상세페이지 하단 구매 추가정보에서 상품번호 뒤 5자리를
 아래 정답란에 입력 후 제출해주세요.</t>
  </si>
  <si>
    <t>https://m.search.naver.com/search.naver?sm=mtp_hty.top&amp;where=m&amp;query=%EC%84%AC%EC%9C%A0%ED%83%88%EC%B7%A8%EC%A0%9C&amp;ackey=4ab3vzei</t>
  </si>
  <si>
    <t>섬유탈취제 향균</t>
  </si>
  <si>
    <t>https://msearch.shopping.naver.com/search/all?query=%EC%84%AC%EC%9C%A0%ED%83%88%EC%B7%A8%EC%A0%9C&amp;vertical=search</t>
  </si>
  <si>
    <t>섬유탈취제 라이블리즈</t>
  </si>
  <si>
    <t>238개</t>
  </si>
  <si>
    <t>섬유탈취제 라이블 향수</t>
  </si>
  <si>
    <t>미션 수행하며,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상품을 클릭 해주세요.
라*블리* 룸 *유향수 섬*탈취* 향* 룸*프*이 침구*취 패*릭퍼* 100ml
( '광고' 클릭 절대 금지 )
 ▶판매처 : 라이블리 브리즈 ROOM
 5. 찜하기 클릭
 6. 바로가기 클릭
 7. 상품 클릭
 8. 링크(url) 복사 후 정답에 붙여넣기 후 제출</t>
  </si>
  <si>
    <t>https://m.smartstore.naver.com/lively-breeze-room/products/6053490927</t>
  </si>
  <si>
    <t>코코넛밀크 세비아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</si>
  <si>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세비* *코넛*크 *타데 *코 코코* 딸*맛, 290ml, 12개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아로쥬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</si>
  <si>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아로쥬</t>
  </si>
  <si>
    <t>https://m.smartstore.naver.com/aroju/products/12727606781</t>
  </si>
  <si>
    <t>코코넛밀크 나타데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</si>
  <si>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세비* *코넛*크 *타데 *코 코코* 딸*맛, 290ml, 12개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아로쥬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</si>
  <si>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https://m.search.naver.com/search.naver?sm=mtp_hty.top&amp;where=m&amp;query=%EC%BD%94%EC%BD%94%EB%84%9B%EB%B0%80%ED%81%AC&amp;ackey=yklvl7jx</t>
  </si>
  <si>
    <t>코코넛밀크 딸기맛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</si>
  <si>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세비* *코넛*크 *타데 *코 코코* 딸*맛, 290ml, 12개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아로쥬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</si>
  <si>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https://msearch.shopping.naver.com/search/all?query=%EC%BD%94%EC%BD%94%EB%84%9B%EB%B0%80%ED%81%AC&amp;vertical=search</t>
  </si>
  <si>
    <t>코코넛밀크 딸기맛 12개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</si>
  <si>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세비* *코넛*크 *타데 *코 코코* 딸*맛, 290ml, 12개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아로쥬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</si>
  <si>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50개</t>
  </si>
  <si>
    <t>코코넛밀크 코코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</si>
  <si>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세비* *코넛*크 *타데 *코 코코* 딸*맛, 290ml, 12개
 ( '광고' 클릭 절대 금지 )
 ▶판매처 : 아로쥬
 5. 찜하기 클릭
 6. 바로가기 클릭
 7. 상품 클릭
 8. 링크(url) 복사 후 정답에 붙여넣기 후 제출</t>
    </r>
  </si>
  <si>
    <t>마사지시트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</si>
  <si>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마*지시* 일*용 커* 20매 바른*스 생*방수 에스틱* 침*커버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</si>
  <si>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케이리얼 마스크</t>
  </si>
  <si>
    <t>https://search.shopping.naver.com/catalog/53878101643</t>
  </si>
  <si>
    <t>마사지시트 에스테틱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</si>
  <si>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마*지시* 일*용 커* 20매 바른*스 생*방수 에스틱* 침*커버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</si>
  <si>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https://m.search.naver.com/search.naver?sm=mtp_hty.top&amp;where=m&amp;query=%EC%B9%A8%EB%8C%80%EC%8B%9C%ED%8A%B8&amp;ackey=p2lc3ma5</t>
  </si>
  <si>
    <t>마사지시트 20매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</si>
  <si>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마*지시* 일*용 커* 20매 바른*스 생*방수 에스틱* 침*커버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</si>
  <si>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https://msearch.shopping.naver.com/search/all?query=%EC%B9%A8%EB%8C%80%EC%8B%9C%ED%8A%B8&amp;vertical=search</t>
  </si>
  <si>
    <t>마사지시트 일회용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</si>
  <si>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마*지시* 일*용 커* 20매 바른*스 생*방수 에스틱* 침*커버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</si>
  <si>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208개</t>
  </si>
  <si>
    <t>마사지시트 생활방수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</si>
  <si>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마*지시* 일*용 커* 20매 바른*스 생*방수 에스틱* 침*커버
 ▶판매처 : 케이리얼 마스크
 5. 찜하기 클릭
 6. 바로가기 클릭
 7. 상품 클릭
 8. 링크(url) 복사 후 정답에 붙여넣기 후 제출</t>
  </si>
  <si>
    <t>https://m.smartstore.naver.com/krealmask/products/11368416262</t>
  </si>
  <si>
    <t>병원침대시트 일회용 커버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</si>
  <si>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병*침*시트 *회용 *버 20매, 바*텍스 생활방* 요양*원 *의원 베개*트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</si>
  <si>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https://search.shopping.naver.com/catalog/53903526534</t>
  </si>
  <si>
    <t>병원침대시트 일회용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</si>
  <si>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병*침*시트 *회용 *버 20매, 바*텍스 생활방* 요양*원 *의원 베개*트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</si>
  <si>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병원침대시트 20매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</si>
  <si>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병*침*시트 *회용 *버 20매, 바*텍스 생활방* 요양*원 *의원 베개*트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</si>
  <si>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병원침대시트 생활방수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</si>
  <si>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병*침*시트 *회용 *버 20매, 바*텍스 생활방* 요양*원 *의원 베개*트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</si>
  <si>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206개</t>
  </si>
  <si>
    <t>병원침대시트 요양병원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</si>
  <si>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병*침*시트 *회용 *버 20매, 바*텍스 생활방* 요양*원 *의원 베개*트
 ▶판매처 : 케이리얼 마스크
 5. 찜하기 클릭
 6. 바로가기 클릭
 7. 상품 클릭
 8. 링크(url) 복사 후 정답에 붙여넣기 후 제출</t>
  </si>
  <si>
    <t>https://m.smartstore.naver.com/krealmask/products/11304992474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</si>
  <si>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구글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</si>
  <si>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</si>
  <si>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https://m.search.naver.com/search.naver?sm=mtp_hty.top&amp;where=m&amp;query=%EC%98%A4%ED%94%84%EB%84%88&amp;ackey=y45th8xl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</si>
  <si>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</si>
  <si>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</si>
  <si>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515개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</si>
  <si>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전동 와*오프너 *동 오*너 와*따개 코르* 병*기 각*
 ( '광고' 클릭 절대 금지 )
 ▶판매처 : 더카인드
 5. 찜하기 클릭
 6. 바로가기 클릭
 7. 상품 클릭
 8. 링크(url) 복사 후 정답에 붙여넣기 후 제출</t>
    </r>
  </si>
  <si>
    <t>불멍무드등 다이아몬드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</si>
  <si>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*이아*드 무드* 불* LED 무선 *상 취*등 오*라 크*스마* 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</si>
  <si>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불멍무드등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</si>
  <si>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*이아*드 무드* 불* LED 무선 *상 취*등 오*라 크*스마* 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</si>
  <si>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불멍무드등 무선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</si>
  <si>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*이아*드 무드* 불* LED 무선 *상 취*등 오*라 크*스마* 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</si>
  <si>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불멍무드등 탁상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</si>
  <si>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*이아*드 무드* 불* LED 무선 *상 취*등 오*라 크*스마* 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</si>
  <si>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199개</t>
  </si>
  <si>
    <t>불멍무드등 취침등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</si>
  <si>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[땡*리] *이아*드 무드* 불* LED 무선 *상 취*등 오*라 크*스마* 소*
 ( '광고' 클릭 절대 금지 )
 ▶판매처 : 빛내는 사람들
 5. 찜하기 클릭
 6. 바로가기 클릭
 7. 상품 클릭
 8. 링크(url) 복사 후 정답에 붙여넣기 후 제출</t>
    </r>
  </si>
  <si>
    <t>불멍무드등 캔들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</si>
  <si>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캔* 촛불 *멍 무드*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</si>
  <si>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불멍무드등 촛불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</si>
  <si>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캔* 촛불 *멍 무드*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</si>
  <si>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불멍무드등 탁상 취침등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</si>
  <si>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캔* 촛불 *멍 무드*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</si>
  <si>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불멍무드등 크리스마스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</si>
  <si>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캔* 촛불 *멍 무드*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</si>
  <si>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203개</t>
  </si>
  <si>
    <t>불멍무드등 골드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</si>
  <si>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L*D 캔* 촛불 *멍 무드* 탁상 취*등 크*스*스 골*S 10cm
 ( '광고' 클릭 절대 금지 )
 ▶판매처 : 빛내는 사람들
 5. 찜하기 클릭
 6. 바로가기 클릭
 7. 상품 클릭
 8. 링크(url) 복사 후 정답에 붙여넣기 후 제출</t>
    </r>
  </si>
  <si>
    <t>장아찌 안전한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</si>
  <si>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</si>
  <si>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장아찌 신선한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</si>
  <si>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</si>
  <si>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https://m.search.naver.com/search.naver?sm=mtp_hty.top&amp;where=m&amp;query=%EC%9E%A5%EC%95%84%EC%B0%8C&amp;ackey=gzm4igbd</t>
  </si>
  <si>
    <t>장아찌 간단한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</si>
  <si>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</si>
  <si>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장아찌 300g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</si>
  <si>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</si>
  <si>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341개</t>
  </si>
  <si>
    <t>장아찌 신선한 300g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</si>
  <si>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슈*와사* 태* 고*냉이 잎 장*찌 300g
 ( '광고' 클릭 절대 금지 )
 ▶판매처 : 슈퍼와사비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</si>
  <si>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</si>
  <si>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</si>
  <si>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https://m.search.naver.com/search.naver?sm=mtp_hty.top&amp;where=m&amp;query=%EC%87%BC%ED%95%91%EB%B0%B1+%EC%A0%9C%EC%9E%91&amp;ackey=8kwgjsmg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</si>
  <si>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</si>
  <si>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</si>
  <si>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427개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</si>
  <si>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소량 쇼*백 로* 인쇄 *문 제작 *원 관공* 행사 *이 가* 200매 *매-A
 ( '광고' 클릭 절대 금지 )
 ▶판매처 : 다잇다인쇄
 5. 찜하기 클릭
 6. 바로가기 클릭
 7. 상품 클릭
 8. 링크(url) 복사 후 정답에 붙여넣기 후 제출</t>
    </r>
  </si>
  <si>
    <t>리포좀비타민 60ML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</si>
  <si>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나*클 *포좀 비타*C *러스 *연 60ml 스*레이* 리*조말 비*민C 500mg 아*5mg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나노클NANOCLE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</si>
  <si>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나노클NANOCLE</t>
  </si>
  <si>
    <t>https://smartstore.naver.com/nanocle/products/12013809621</t>
  </si>
  <si>
    <t>리포좀비타민 스프레이형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</si>
  <si>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나*클 *포좀 비타*C *러스 *연 60ml 스*레이* 리*조말 비*민C 500mg 아*5mg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나노클NANOCLE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</si>
  <si>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https://m.search.naver.com/search.naver?sm=mtp_hty.top&amp;where=m&amp;query=%EB%A6%AC%ED%8F%AC%EC%A2%80%EB%B9%84%ED%83%80%EB%AF%BCc&amp;ackey=8vy5o2cz</t>
  </si>
  <si>
    <t>리포좀비타민 5mg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</si>
  <si>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나*클 *포좀 비타*C *러스 *연 60ml 스*레이* 리*조말 비*민C 500mg 아*5mg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나노클NANOCLE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</si>
  <si>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https://msearch.shopping.naver.com/search/all?query=%EB%A6%AC%ED%8F%AC%EC%A2%80%EB%B9%84%ED%83%80%EB%AF%BCc&amp;vertical=search</t>
  </si>
  <si>
    <t>리포좀비타민 항암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</si>
  <si>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나*클 *포좀 비타*C *러스 *연 60ml 스*레이* 리*조말 비*민C 500mg 아*5mg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나노클NANOCLE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</si>
  <si>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리포좀비타민 항암 항산화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</si>
  <si>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나*클 *포좀 비타*C *러스 *연 60ml 스*레이* 리*조말 비*민C 500mg 아*5mg
 ( '광고' 클릭 절대 금지 )
 ▶판매처 : 나노클NANOCLE
 5. 찜하기 클릭
 6. 바로가기 클릭
 7. 상품 클릭
 8. 링크(url) 복사 후 정답에 붙여넣기 후 제출</t>
    </r>
  </si>
  <si>
    <t>https://m.smartstore.naver.com/nanocle/products/12013809621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</si>
  <si>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*사 빅 *라이딩 수납*대 프*임 SS UCU051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</si>
  <si>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https://search.shopping.naver.com/catalog/49503065620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</si>
  <si>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*사 빅 *라이딩 수납*대 프*임 SS UCU051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</si>
  <si>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파로마 까사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</si>
  <si>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*사 빅 *라이딩 수납*대 프*임 SS UCU051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</si>
  <si>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*사 빅 *라이딩 수납*대 프*임 SS UCU051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</si>
  <si>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120개</t>
  </si>
  <si>
    <t>침대 UCU051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</si>
  <si>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파*마 *사 빅 *라이딩 수납*대 프*임 SS UCU051
 ▶판매처 : 파로마 온라인
 5. 찜하기 클릭
 6. 바로가기 클릭
 7. 상품 클릭
 8. 링크(url) 복사 후 정답에 붙여넣기 후 제출</t>
  </si>
  <si>
    <t>https://m.smartstore.naver.com/paroma_on/products/12427834528</t>
  </si>
  <si>
    <t>옷장 파로마 소이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</si>
  <si>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</si>
  <si>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</si>
  <si>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파로마 소이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</si>
  <si>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</si>
  <si>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파로마 소이 YUR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</si>
  <si>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</si>
  <si>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158개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</si>
  <si>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소* 1200 슬*이딩 *장 행*형 Y*R058
 ( '광고' 클릭 절대 금지 )
 ▶판매처 : 온라인 브랜드 가구
 5. 찜하기 클릭
 6. 바로가기 클릭
 7. 상품 클릭
 8. 링크(url) 복사 후 정답에 붙여넣기 후 제출</t>
    </r>
  </si>
  <si>
    <t>침대 프레임 라자가구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</si>
  <si>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스* *상형 *목침* SS 프레* sw001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</si>
  <si>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https://smartstore.naver.com/rajastore/products/5098760911</t>
  </si>
  <si>
    <t>침대 프레임 위드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</si>
  <si>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스* *상형 *목침* SS 프레* sw001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</si>
  <si>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https://m.search.naver.com/search.naver?sm=mtp_hty.top&amp;where=m&amp;query=%EC%B9%A8%EB%8C%80%ED%94%84%EB%A0%88%EC%9E%84&amp;ackey=zpc434iu</t>
  </si>
  <si>
    <t>침대 프레임 스완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</si>
  <si>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스* *상형 *목침* SS 프레* sw001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</si>
  <si>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https://msearch.shopping.naver.com/search/all?query=%EC%B9%A8%EB%8C%80%ED%94%84%EB%A0%88%EC%9E%84&amp;vertical=search</t>
  </si>
  <si>
    <t>침대 프레임 SW001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</si>
  <si>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스* *상형 *목침* SS 프레* sw001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</si>
  <si>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186개</t>
  </si>
  <si>
    <t>침대 프레임001 원목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</si>
  <si>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라*가구 *드 스* *상형 *목침* SS 프레* sw001
 ( '광고' 클릭 절대 금지 )
 ▶판매처 : 라자가구 스토어
 5. 찜하기 클릭
 6. 바로가기 클릭
 7. 상품 클릭
 8. 링크(url) 복사 후 정답에 붙여넣기 후 제출</t>
    </r>
  </si>
  <si>
    <t>https://m.smartstore.naver.com/rajastore/products/5098760911</t>
  </si>
  <si>
    <t>식물등스탠다드형 4단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</si>
  <si>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식**파사 라**타워 식물등 플리**리 led식물등 스탠드형 4단 165cm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</si>
  <si>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https://smartstore.naver.com/plantlight/products/12606945866</t>
  </si>
  <si>
    <t>식물등 라이트타워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</si>
  <si>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식**파사 라**타워 식물등 플리**리 led식물등 스탠드형 4단 165cm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</si>
  <si>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식**파사 라**타워 식물등 플리**리 led식물등 스탠드형 4단 165cm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</si>
  <si>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식물등전파사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</si>
  <si>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식**파사 라**타워 식물등 플리**리 led식물등 스탠드형 4단 165cm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</si>
  <si>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식물등165cm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</si>
  <si>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식**파사 라**타워 식물등 플리**리 led식물등 스탠드형 4단 165cm
 ( '광고' 클릭 절대 금지 )
 ▶판매처 : 식물전파사 공식몰
 5. 찜하기 클릭
 6. 바로가기 클릭 
 7. 상품 클릭
 8. 링크(url) 복사 후 정답에 붙여넣기 후 제출</t>
    </r>
  </si>
  <si>
    <t>https://m.smartstore.naver.com/plantlight/products/12606945866</t>
  </si>
  <si>
    <t>식물등 빛타민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</si>
  <si>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식물**사 빛타민 식*등 전구 18w 식물**D par**타입 E26소켓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</si>
  <si>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https://smartstore.naver.com/plantlight/products/8952938760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</si>
  <si>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식물**사 빛타민 식*등 전구 18w 식물**D par**타입 E26소켓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</si>
  <si>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https://m.search.naver.com/search.naver?sm=mtp_hty.top&amp;where=m&amp;query=%EC%8B%9D%EB%AC%BC%EB%93%B1&amp;ackey=vvym9jc2</t>
  </si>
  <si>
    <t>식물등 par38 타입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</si>
  <si>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식물**사 빛타민 식*등 전구 18w 식물**D par**타입 E26소켓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</si>
  <si>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식물등 18w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</si>
  <si>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식물**사 빛타민 식*등 전구 18w 식물**D par**타입 E26소켓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</si>
  <si>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식물등 빛타민 전구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</si>
  <si>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식물**사 데스크 식물등 led**등 책상 인**어 플랜테리어
 ( '광고' 클릭 절대 금지 )
 ▶판매처 : 식물전파사 공식몰
 5. 찜하기 클릭
 6. 바로가기 클릭
 7. 상품 클릭
 8. 링크(url) 복사 후 정답에 붙여넣기 후 제출</t>
    </r>
  </si>
  <si>
    <t>https://m.smartstore.naver.com/plantlight/products/8952938760</t>
  </si>
  <si>
    <t>식물등전파사 40w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</si>
  <si>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폴*등 *물등 40W 식*LED *명 생* 성장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</si>
  <si>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https://smartstore.naver.com/plantlight/products/8735573963</t>
  </si>
  <si>
    <t>식물등전파사 폴드등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</si>
  <si>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폴*등 *물등 40W 식*LED *명 생* 성장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</si>
  <si>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폴*등 *물등 40W 식*LED *명 생* 성장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</si>
  <si>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식물등전파사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</si>
  <si>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폴*등 *물등 40W 식*LED *명 생* 성장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</si>
  <si>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445개</t>
  </si>
  <si>
    <t>식물등전파사 생장성장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</si>
  <si>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식*전파* 폴*등 *물등 40W 식*LED *명 생* 성장
 ( '광고' 클릭 절대 금지 )
 ▶판매처 : 식물전파사 공식몰
 5. 찜하기 클릭
 6. 바로가기 클릭 
 7. 상품 클릭
 8. 링크(url) 복사 후 정답에 붙여넣기 후 제출</t>
    </r>
  </si>
  <si>
    <t>https://m.smartstore.naver.com/plantlight/products/8735573963</t>
  </si>
  <si>
    <t>헤나염색약 골든포션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</si>
  <si>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</si>
  <si>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</si>
  <si>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https://m.search.naver.com/search.naver?sm=mtp_hty.top&amp;where=m&amp;query=%EC%97%BC%EC%83%89%EC%95%BD&amp;ackey=6i2gnwg9</t>
  </si>
  <si>
    <t>헤나염색약 염색약 가루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</si>
  <si>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</si>
  <si>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https://msearch.shopping.naver.com/search/all?query=%EC%97%BC%EC%83%89%EC%95%BD&amp;vertical=search</t>
  </si>
  <si>
    <t>헤나염색약 인도농장 직송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</si>
  <si>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</si>
  <si>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171개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</si>
  <si>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인*농장 *송 골*포션 천* 헤나 *색약 가* 로소*아 2.75%
 ( '광고' 클릭 절대 금지 )
 ▶판매처 : 헤어스페셜
 5. 찜하기 클릭
 6. 바로가기 클릭 
 7. 상품 클릭
 8. 링크(url) 복사 후 정답에 붙여넣기 후 제출</t>
    </r>
  </si>
  <si>
    <t>비발디파크렌탈샵 리프트권 타임패스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</si>
  <si>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대명 *발디*크 스*장 *탈샵 리*트권 장* 렌탈 *키 보* 대여 타*패스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</si>
  <si>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비발디파크렌탈샵 리프트권 타임패스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</si>
  <si>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대명 *발디*크 스*장 *탈샵 리*트권 장* 렌탈 *키 보* 대여 타*패스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</si>
  <si>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비발디파크렌탈샵 대명 비발디파크 리프트권 타임패스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</si>
  <si>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대명 *발디*크 스*장 *탈샵 리*트권 장* 렌탈 *키 보* 대여 타*패스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</si>
  <si>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비발디파크렌탈샵 대명 비발디파크 리프트권 타임패스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</si>
  <si>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대명 *발디*크 스*장 *탈샵 리*트권 장* 렌탈 *키 보* 대여 타*패스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</si>
  <si>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비발디파크렌탈샵 타임패스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</si>
  <si>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홍* 대명 *발디*크 스*장 *탈샵 리*트권 장* 렌탈 *키 보* 대여 타*패스 패*지
 ( '광고' 클릭 절대 금지 )
 ▶판매처 : 비발디파크렌탈샵스키야놀자
 5. 찜하기 클릭
 6. 바로가기 클릭 
 7. 상품 클릭
 8. 링크(url) 복사 후 정답에 붙여넣기 후 제출</t>
    </r>
  </si>
  <si>
    <t>강아지눈영양제 60g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</si>
  <si>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페*츠 *아지 눈 *양제 눈*자국 고양* 황*인 더맑* 루*인 *내장 *양제 60g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페런츠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</si>
  <si>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페런츠</t>
  </si>
  <si>
    <t>https://smartstore.naver.com/perents/products/12521958526</t>
  </si>
  <si>
    <t>강아지눈영양제 60g 눈물자국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</si>
  <si>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페*츠 *아지 눈 *양제 눈*자국 고양* 황*인 더맑* 루*인 *내장 *양제 60g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페런츠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</si>
  <si>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https://m.search.naver.com/search.naver?sm=mtp_hty.top&amp;where=m&amp;query=%EA%B0%95%EC%95%84%EC%A7%80%EC%98%81%EC%96%91%EC%A0%9C&amp;ackey=4uckubcz</t>
  </si>
  <si>
    <t>강아지눈영양제 백내장 60g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</si>
  <si>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페*츠 *아지 눈 *양제 눈*자국 고양* 황*인 더맑* 루*인 *내장 *양제 60g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페런츠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</si>
  <si>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https://msearch.shopping.naver.com/search/all?query=%EA%B0%95%EC%95%84%EC%A7%80%EC%98%81%EC%96%91%EC%A0%9C&amp;vertical=search</t>
  </si>
  <si>
    <t>강아지눈영양제 눈물자국 백내장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</si>
  <si>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페*츠 *아지 눈 *양제 눈*자국 고양* 황*인 더맑* 루*인 *내장 *양제 60g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페런츠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</si>
  <si>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강아지눈영양제 60g 눈물자국 백내장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</si>
  <si>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페*츠 *아지 눈 *양제 눈*자국 고양* 황*인 더맑* 루*인 *내장 *양제 60g
 ( '광고' 클릭 절대 금지 )
 ▶판매처 : 페런츠
 5. 찜하기 클릭
 6. 바로가기 클릭 
 7. 상품 클릭
 8. 링크(url) 복사 후 정답에 붙여넣기 후 제출</t>
    </r>
  </si>
  <si>
    <t>https://m.smartstore.naver.com/perents/products/12521958526</t>
  </si>
  <si>
    <t>강아지눈물영양제 60g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</si>
  <si>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페*츠 *아지 눈 *양제 눈*자국 고양* 황*인 더맑* 루*인 *내장 *양제 60g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페런츠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</si>
  <si>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강아지눈물영양제 루테인 60g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</si>
  <si>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페*츠 *아지 눈 *양제 눈*자국 고양* 황*인 더맑* 루*인 *내장 *양제 60g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페런츠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</si>
  <si>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강아지눈물영양제 백내장 60g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</si>
  <si>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페*츠 *아지 눈 *양제 눈*자국 고양* 황*인 더맑* 루*인 *내장 *양제 60g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페런츠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</si>
  <si>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강아지눈물영양제 자국 60g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</si>
  <si>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페*츠 *아지 눈 *양제 눈*자국 고양* 황*인 더맑* 루*인 *내장 *양제 60g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페런츠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</si>
  <si>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강아지눈물영양제 백내장 루테인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</si>
  <si>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페*츠 *아지 눈 *양제 눈*자국 고양* 황*인 더맑* 루*인 *내장 *양제 60g
 ( '광고' 클릭 절대 금지 )
 ▶판매처 : 페런츠
 5. 찜하기 클릭
 6. 바로가기 클릭 
 7. 상품 클릭
 8. 링크(url) 복사 후 정답에 붙여넣기 후 제출</t>
    </r>
  </si>
  <si>
    <t>리클라이너 세이홈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</si>
  <si>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</si>
  <si>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리클라이너 세이홈 4인용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</si>
  <si>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</si>
  <si>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리클라이너 모션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</si>
  <si>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</si>
  <si>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리클라이너 4인용 패브릭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</si>
  <si>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</si>
  <si>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1,221개</t>
  </si>
  <si>
    <t>리클라이너 디오 아이보리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</si>
  <si>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[무*배송] 세*홈 *오 모션 슬*이딩 패브* 리*라이* 소* 아*보리, 4*용
 ( '광고' 클릭 절대 금지 )
 ▶판매처 : 세이홈 - SAYHOME
 5. 찜하기 클릭
 6. 바로가기 클릭
 7. 상품 클릭
 8. 링크(url) 복사 후 정답에 붙여넣기 후 제출</t>
    </r>
  </si>
  <si>
    <t>쇼핑백 제작 200매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</si>
  <si>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</si>
  <si>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</si>
  <si>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쇼핑백 제작 초고속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</si>
  <si>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</si>
  <si>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쇼핑백 제작 맞춤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</si>
  <si>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</si>
  <si>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빠른 쇼핑백 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</si>
  <si>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200매 소* 쇼*백제* 맞춤*작 빠른 *이가* 초*속 7일 관*서 *원 치*
 ( '광고' 클릭 절대 금지 )
 ▶판매처 : 인쇄공장
 5. 찜하기 클릭
 6. 바로가기 클릭
 7. 상품 클릭
 8. 링크(url) 복사 후 정답에 붙여넣기 후 제출</t>
    </r>
  </si>
  <si>
    <t>자석 전단지 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</si>
  <si>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</si>
  <si>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자석 전단지 홍보지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</si>
  <si>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</si>
  <si>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자석 전단지 음식점 홍보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</si>
  <si>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</si>
  <si>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</si>
  <si>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자석 전단지 1000매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</si>
  <si>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종*자석 전*지 소*제작 홍보* 음*점 *동산 전* 1000매 배*
 ( '광고' 클릭 절대 금지 )
 ▶판매처 : 다잇다인쇄
 5. 찜하기 클릭
 6. 바로가기 클릭 
 7. 상품 클릭
 8. 링크(url) 복사 후 정답에 붙여넣기 후 제출</t>
    </r>
  </si>
  <si>
    <t>환갑꽃바구니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</si>
  <si>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구글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환갑*바구니 칠순 *순잔치 센*피스 꽃배달 당*배달 *곡꽃집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</si>
  <si>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환갑꽃바구니 마곡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</si>
  <si>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환갑*바구니 칠순 *순잔치 센*피스 꽃배달 당*배달 *곡꽃집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</si>
  <si>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환갑꽃바구니 잔치 배달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</si>
  <si>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환갑*바구니 칠순 *순잔치 센*피스 꽃배달 당*배달 *곡꽃집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</si>
  <si>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환갑꽃바구니 꽃집 배달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</si>
  <si>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환갑*바구니 칠순 *순잔치 센*피스 꽃배달 당*배달 *곡꽃집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</si>
  <si>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353개</t>
  </si>
  <si>
    <t>환갑꽃바구니 센터피스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</si>
  <si>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환갑*바구니 칠순 *순잔치 센*피스 꽃배달 당*배달 *곡꽃집
 ( '광고' 클릭 절대 금지 )
 ▶판매처 : 꽃한모금
 5. 찜하기 클릭
 6. 바로가기 클릭
 7. 상품 클릭
 8. 링크(url) 복사 후 정답에 붙여넣기 후 제출</t>
    </r>
  </si>
  <si>
    <t>호텔프로포즈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</si>
  <si>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구글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*울 호* 프**즈 이*트 *그니엘 *장 *장식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</si>
  <si>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서울 호텔프로포즈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</si>
  <si>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*울 호* 프**즈 이*트 *그니엘 *장 *장식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</si>
  <si>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호텔프로포즈 시그니엘 이벤트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</si>
  <si>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*울 호* 프**즈 이*트 *그니엘 *장 *장식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</si>
  <si>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호텔프로포즈 출장 꽃장식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</si>
  <si>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*울 호* 프**즈 이*트 *그니엘 *장 *장식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</si>
  <si>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304개</t>
  </si>
  <si>
    <t>서울 호텔프로포즈 이벤트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</si>
  <si>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*울 호* 프**즈 이*트 *그니엘 *장 *장식
 ( '광고' 클릭 절대 금지 )
 ▶판매처 : 꽃한모금
 5. 찜하기 클릭
 6. 바로가기 클릭
 7. 상품 클릭
 8. 링크(url) 복사 후 정답에 붙여넣기 후 제출</t>
    </r>
  </si>
  <si>
    <t>유기농 비오틴 추천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</si>
  <si>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</si>
  <si>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</si>
  <si>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https://m.search.naver.com/search.naver?sm=mtp_hty.top&amp;where=m&amp;query=%EB%B9%84%EC%98%A4%ED%8B%B4+%EC%B6%94%EC%B2%9C&amp;ackey=cwmhczwe</t>
  </si>
  <si>
    <t>비오틴 추천 500mg 60정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</si>
  <si>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</si>
  <si>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</si>
  <si>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394개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</si>
  <si>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셀* 유*농 *오틴 500mg x 60* 1개
 ▶판매처 : 셀가 (판매처 뒤 "공식" 표시가 있는 상품을 클릭해주세요.)
 5. 찜하기 클릭
 6. 바로가기 클릭
 7. 상품 클릭
 8. 링크(url) 복사 후 정답에 붙여넣기 후 제출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</si>
  <si>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</si>
  <si>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</si>
  <si>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유기농 밀크씨슬 30정 셀가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</si>
  <si>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</si>
  <si>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</si>
  <si>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404개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</si>
  <si>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</si>
  <si>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화장대 입식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</si>
  <si>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</si>
  <si>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화장대 틈새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</si>
  <si>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</si>
  <si>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</si>
  <si>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638개</t>
  </si>
  <si>
    <t>옷장 행거형 1200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</si>
  <si>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</si>
  <si>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</si>
  <si>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빅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</si>
  <si>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</si>
  <si>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슬라이딩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</si>
  <si>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</si>
  <si>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jy195 1200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</si>
  <si>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라**구 위드 빅 1**0 슬라이딩 옷장 행거형 j*195
 ( '광고' 클릭 절대 금지 )
 ▶판매처 : 라자가구 스토어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</si>
  <si>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</si>
  <si>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</si>
  <si>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모노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</si>
  <si>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</si>
  <si>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키큰 양문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</si>
  <si>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</si>
  <si>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라*가구 *드 키* 모노 *문 옷* 1000
 ( '광고' 클릭 절대 금지 )
 ▶판매처 : 라자가구 스토어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</si>
  <si>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까* 빅 슬라*딩 수납침* *레임 Q UCU056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파로마 온라인
</t>
    </r>
    <r>
      <rPr>
        <sz val="0"/>
        <color theme="1"/>
        <rFont val="Arial"/>
      </rPr>
      <t xml:space="preserve">
5. 올화이트 색상을 선택해주세요.
 6.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</si>
  <si>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UCU056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</si>
  <si>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까* 빅 슬라*딩 수납침* *레임 Q UCU056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파로마 온라인
</t>
    </r>
    <r>
      <rPr>
        <sz val="0"/>
        <color theme="1"/>
        <rFont val="Arial"/>
      </rPr>
      <t xml:space="preserve">
5. 올화이트 색상을 선택해주세요.
 6.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</si>
  <si>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슬라이딩 프레임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</si>
  <si>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까* 빅 슬라*딩 수납침* *레임 Q UCU056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파로마 온라인
</t>
    </r>
    <r>
      <rPr>
        <sz val="0"/>
        <color theme="1"/>
        <rFont val="Arial"/>
      </rPr>
      <t xml:space="preserve">
5. 올화이트 색상을 선택해주세요.
 6.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</si>
  <si>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Q 빅 프레임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</si>
  <si>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까* 빅 슬라*딩 수납침* *레임 Q UCU056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파로마 온라인
</t>
    </r>
    <r>
      <rPr>
        <sz val="0"/>
        <color theme="1"/>
        <rFont val="Arial"/>
      </rPr>
      <t xml:space="preserve">
5. 올화이트 색상을 선택해주세요.
 6.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</si>
  <si>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까사 프레임</t>
  </si>
  <si>
    <t>방한 바라클라바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</si>
  <si>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</si>
  <si>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겨울 바라클라바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</si>
  <si>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</si>
  <si>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https://m.search.naver.com/search.naver?sm=mtp_hty.top&amp;where=m&amp;query=%EB%84%A5%EC%9B%8C%EB%A8%B8&amp;ackey=c1qs5ac7</t>
  </si>
  <si>
    <t>바라클라바 방한 워머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</si>
  <si>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</si>
  <si>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https://msearch.shopping.naver.com/search/all?query=%EB%84%A5%EC%9B%8C%EB%A8%B8&amp;vertical=search</t>
  </si>
  <si>
    <t>바라클라바 워머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</si>
  <si>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</si>
  <si>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바라클라바 겨울 워머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</si>
  <si>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핫*넣는 *울 방* 바*클라* 넥*머 *프 등산 *키
 ( '광고' 클릭 절대 금지 )
 ▶판매처 : 청풍문-bluewind
 5. 찜하기 클릭
 6. 바로가기 클릭 
 7. 상품 클릭
 8. 링크(url) 복사 후 정답에 붙여넣기 후 제출</t>
    </r>
  </si>
  <si>
    <t>냉동 귀뚜라미 크레스티드게코 파충류 먹이용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</si>
  <si>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냉* 귀*라미 냉뚜* 크*스*드게* 도마* 파*류 먹이 *이용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</si>
  <si>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냉동 귀뚜라미 크레스티드게코 파충류 먹이용 20G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</si>
  <si>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냉* 귀*라미 냉뚜* 크*스*드게* 도마* 파*류 먹이 *이용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</si>
  <si>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https://m.search.naver.com/search.naver?sm=mtp_hty.top&amp;where=m&amp;query=%EB%83%89%EB%8F%99+%EA%B7%80%EB%9A%9C%EB%9D%BC%EB%AF%B8&amp;ackey=0ol41b90</t>
  </si>
  <si>
    <t>냉동 귀뚜라미 도마뱀 파충류 먹이용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</si>
  <si>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냉* 귀*라미 냉뚜* 크*스*드게* 도마* 파*류 먹이 *이용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</si>
  <si>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냉동 귀뚜라미 도마뱀 파충류 먹이용 20g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</si>
  <si>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냉* 귀*라미 냉뚜* 크*스*드게* 도마* 파*류 먹이 *이용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</si>
  <si>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6개</t>
  </si>
  <si>
    <t>냉동 귀뚜라미 도마뱀 파충류 먹이용 120마리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</si>
  <si>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냉* 귀*라미 냉뚜* 크*스*드게* 도마* 파*류 먹이 *이용 중 20g 약 120*리
 ( '광고' 클릭 절대 금지 )
 ▶판매처 : 랩티케어
 5. 찜하기 클릭
 6. 바로가기 클릭 
 7. 상품 클릭
 8. 링크(url) 복사 후 정답에 붙여넣기 후 제출</t>
    </r>
  </si>
  <si>
    <t>수제청 멜리아우어 과일청 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</si>
  <si>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멜*아우* 수*청 *일청 선*세트 650g *몬 자몽 청* 패*후르* 생강 답*품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</t>
    </r>
    <r>
      <rPr>
        <sz val="0"/>
        <color rgb="FFFF0000"/>
        <rFont val="Arial"/>
      </rPr>
      <t xml:space="preserve"> </t>
    </r>
    <r>
      <rPr>
        <sz val="0"/>
        <color theme="1"/>
        <rFont val="Arial"/>
      </rPr>
      <t>▶판매처 :</t>
    </r>
    <r>
      <rPr>
        <sz val="0"/>
        <color rgb="FFFF0000"/>
        <rFont val="Arial"/>
      </rPr>
      <t xml:space="preserve"> Melihour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</si>
  <si>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수제청 멜리아우어 레몬 자몽 청귤 패션후르츠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</si>
  <si>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멜*아우* 수*청 *일청 선*세트 650g *몬 자몽 청* 패*후르* 생강 답*품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</t>
    </r>
    <r>
      <rPr>
        <sz val="0"/>
        <color rgb="FFFF0000"/>
        <rFont val="Arial"/>
      </rPr>
      <t xml:space="preserve"> </t>
    </r>
    <r>
      <rPr>
        <sz val="0"/>
        <color theme="1"/>
        <rFont val="Arial"/>
      </rPr>
      <t>▶판매처 :</t>
    </r>
    <r>
      <rPr>
        <sz val="0"/>
        <color rgb="FFFF0000"/>
        <rFont val="Arial"/>
      </rPr>
      <t xml:space="preserve"> Melihour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</si>
  <si>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https://m.search.naver.com/search.naver?sm=mtp_hty.top&amp;where=m&amp;query=%EA%B3%BC%EC%9D%BC%EC%B2%AD&amp;ackey=8d68gc8u</t>
  </si>
  <si>
    <t>수제청 멜리아우어 생강 답례품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</si>
  <si>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멜*아우* 수*청 *일청 선*세트 650g *몬 자몽 청* 패*후르* 생강 답*품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</t>
    </r>
    <r>
      <rPr>
        <sz val="0"/>
        <color rgb="FFFF0000"/>
        <rFont val="Arial"/>
      </rPr>
      <t xml:space="preserve"> </t>
    </r>
    <r>
      <rPr>
        <sz val="0"/>
        <color theme="1"/>
        <rFont val="Arial"/>
      </rPr>
      <t>▶판매처 :</t>
    </r>
    <r>
      <rPr>
        <sz val="0"/>
        <color rgb="FFFF0000"/>
        <rFont val="Arial"/>
      </rPr>
      <t xml:space="preserve"> Melihour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</si>
  <si>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https://msearch.shopping.naver.com/search/all?query=%EA%B3%BC%EC%9D%BC%EC%B2%AD&amp;vertical=search</t>
  </si>
  <si>
    <t>수제청 멜리아우어 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</si>
  <si>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멜*아우* 수*청 *일청 선*세트 650g *몬 자몽 청* 패*후르* 생강 답*품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</t>
    </r>
    <r>
      <rPr>
        <sz val="0"/>
        <color rgb="FFFF0000"/>
        <rFont val="Arial"/>
      </rPr>
      <t xml:space="preserve"> </t>
    </r>
    <r>
      <rPr>
        <sz val="0"/>
        <color theme="1"/>
        <rFont val="Arial"/>
      </rPr>
      <t>▶판매처 :</t>
    </r>
    <r>
      <rPr>
        <sz val="0"/>
        <color rgb="FFFF0000"/>
        <rFont val="Arial"/>
      </rPr>
      <t xml:space="preserve"> Melihour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</si>
  <si>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616개</t>
  </si>
  <si>
    <t>수제청 멜리아우어 패션후르츠 답례품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</si>
  <si>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멜*아우* 수*청 *일청 선*세트 650g *몬 자몽 청* 패*후르* 생강 답*품
 ( '광고' 클릭 절대 금지 )
 ▶판매처 : Melihour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</si>
  <si>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</si>
  <si>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디퓨저 1+1 사파리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</si>
  <si>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</si>
  <si>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https://m.search.naver.com/search.naver?sm=mtp_hty.top&amp;where=m&amp;query=%EB%94%94%ED%93%A8%EC%A0%80&amp;ackey=a2qnsx22</t>
  </si>
  <si>
    <t>디퓨저 사파리 500ml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</si>
  <si>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</si>
  <si>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https://msearch.shopping.naver.com/search/all?query=%EB%94%94%ED%93%A8%EC%A0%80&amp;vertical=search</t>
  </si>
  <si>
    <t>디퓨저 사파리 집들이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</si>
  <si>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</si>
  <si>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1+1 *미제 사*리 500ml 대용* 디*저 디퓨* 화장실 *들이 선물 *량용 실*방향*
 ( '광고' 클릭 절대 금지 )
 ▶판매처 : 선유아로마틱스향미제
 5. 찜하기 클릭
 6. 바로가기 클릭
 7. 상품 클릭
 8. 링크(url) 복사 후 정답에 붙여넣기 후 제출</t>
    </r>
  </si>
  <si>
    <t>방한 마스크 청풍문 자외선차단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</si>
  <si>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</si>
  <si>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https://smartstore.naver.com/bluewind-korea/products/5697723211</t>
  </si>
  <si>
    <t>방한 마스크 청풍문 겨울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</si>
  <si>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</si>
  <si>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https://m.search.naver.com/search.naver?sm=mtp_hty.top&amp;where=m&amp;query=%EB%B0%A9%ED%95%9C%EB%A7%88%EC%8A%A4%ED%81%AC&amp;ackey=yropnb2s</t>
  </si>
  <si>
    <t>방한 마스크 청풍문 자전거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</si>
  <si>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</si>
  <si>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https://msearch.shopping.naver.com/search/all?query=%EB%B0%A9%ED%95%9C%EB%A7%88%EC%8A%A4%ED%81%AC&amp;vertical=search</t>
  </si>
  <si>
    <t>방한 마스크 청풍문 골프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</si>
  <si>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</si>
  <si>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826개</t>
  </si>
  <si>
    <t>방한 마스크 청풍문 등산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</si>
  <si>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*한마스* 자*선차* 겨울 자*거 골프 *산 쉴드 *스크 2*러
 ( '광고' 클릭 절대 금지 )
 ▶판매처 : 청풍문-bluewind
 5. 찜하기 클릭
 6. 바로가기 클릭 
 7. 상품 클릭
 8. 링크(url) 복사 후 정답에 붙여넣기 후 제출</t>
    </r>
  </si>
  <si>
    <t>https://m.smartstore.naver.com/bluewind-korea/products/5697723211</t>
  </si>
  <si>
    <t>넥워머 청풍문 골프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</si>
  <si>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</si>
  <si>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넥워머 청풍문 등산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</si>
  <si>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</si>
  <si>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넥워머 청풍문 스키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</si>
  <si>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</si>
  <si>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넥워머 청풍문 바라클라바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</si>
  <si>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</si>
  <si>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핫*넣는 *울 방* 바*클라* 넥*머 *프 등산 *키
 ( '광고' 클릭 절대 금지 )
 ▶판매처 : 청풍문-bluewind
 5. 찜하기 클릭
 6. 바로가기 클릭 
 7. 상품 클릭
 8. 링크(url) 복사 후 정답에 붙여넣기 후 제출</t>
    </r>
  </si>
  <si>
    <t>아이폰17케이스 호작도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</si>
  <si>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호*도 G*im* GR*mm. *이폰 17 케*스 갤럭* 케이*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</si>
  <si>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https://smartstore.naver.com/grimm_grimm/products/12848199390</t>
  </si>
  <si>
    <t>아이폰17케이스 호작도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</si>
  <si>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호*도 G*im* GR*mm. *이폰 17 케*스 갤럭* 케이*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</si>
  <si>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https://m.search.naver.com/search.naver?sm=mtp_hty.top&amp;where=m&amp;query=%EC%95%84%EC%9D%B4%ED%8F%B017%EC%BC%80%EC%9D%B4%EC%8A%A4&amp;ackey=30wy6gfs</t>
  </si>
  <si>
    <t>아이폰17케이스 호작도 케이스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</si>
  <si>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호*도 G*im* GR*mm. *이폰 17 케*스 갤럭* 케이*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</si>
  <si>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https://msearch.shopping.naver.com/search/all?query=%EC%95%84%EC%9D%B4%ED%8F%B017%EC%BC%80%EC%9D%B4%EC%8A%A4&amp;vertical=search</t>
  </si>
  <si>
    <t>아이폰17케이스 호작도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</si>
  <si>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호*도 G*im* GR*mm. *이폰 17 케*스 갤럭* 케이*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</si>
  <si>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13개</t>
  </si>
  <si>
    <t>아이폰17케이스 호작도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</si>
  <si>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호*도 G*im* GR*mm. *이폰 17 케*스 갤럭* 케이*
 ( '광고' 클릭 절대 금지 )
 ▶판매처 : GRimm GRimm.
 5. 찜하기 클릭
 6. 바로가기 클릭 
 7. 상품 클릭
 8. 링크(url) 복사 후 정답에 붙여넣기 후 제출</t>
    </r>
  </si>
  <si>
    <t>https://m.smartstore.naver.com/grimm_grimm/products/12848199390</t>
  </si>
  <si>
    <t>산삼 10년근 10뿌리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</si>
  <si>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장뇌* 산*삼 *양산삼 *삼 10년* 파* 100g 총 10 50*리 내외 *담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도담산삼
</t>
    </r>
    <r>
      <rPr>
        <sz val="0"/>
        <color theme="1"/>
        <rFont val="Arial"/>
      </rPr>
      <t xml:space="preserve">
5. 올화이트 색상을 선택해주세요.
 6.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</si>
  <si>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https://search.shopping.naver.com/catalog/58079209526</t>
  </si>
  <si>
    <t>산삼 10년근 50뿌리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</si>
  <si>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장뇌* 산*삼 *양산삼 *삼 10년* 파* 100g 총 10 50*리 내외 *담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도담산삼
</t>
    </r>
    <r>
      <rPr>
        <sz val="0"/>
        <color theme="1"/>
        <rFont val="Arial"/>
      </rPr>
      <t xml:space="preserve">
5. 올화이트 색상을 선택해주세요.
 6.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</si>
  <si>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산삼 산양삼 10년근 50뿌리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</si>
  <si>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장뇌* 산*삼 *양산삼 *삼 10년* 파* 100g 총 10 50*리 내외 *담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도담산삼
</t>
    </r>
    <r>
      <rPr>
        <sz val="0"/>
        <color theme="1"/>
        <rFont val="Arial"/>
      </rPr>
      <t xml:space="preserve">
5. 올화이트 색상을 선택해주세요.
 6.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</si>
  <si>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산삼 산양산삼 10년근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</si>
  <si>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장뇌* 산*삼 *양산삼 *삼 10년* 파* 100g 총 10 50*리 내외 *담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도담산삼
</t>
    </r>
    <r>
      <rPr>
        <sz val="0"/>
        <color theme="1"/>
        <rFont val="Arial"/>
      </rPr>
      <t xml:space="preserve">
5. 올화이트 색상을 선택해주세요.
 6.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</si>
  <si>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333개</t>
  </si>
  <si>
    <t>산삼 장뇌삼 10년근 50뿌리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</si>
  <si>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장뇌* 산*삼 *양산삼 *삼 10년* 파* 100g 총 10 50*리 내외 *담
 ▶판매처 : 도담산삼
5. 올화이트 색상을 선택해주세요.
 6. 찜하기 클릭
 7. 바로가기 클릭
 8. 상품 클릭
 9. 링크(url) 복사 후 정답에 붙여넣기 후 제출</t>
  </si>
  <si>
    <t>https://m.smartstore.naver.com/minkukss/products/7357300130</t>
  </si>
  <si>
    <t>산삼 9년근 10뿌리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</si>
  <si>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산*삼 *뇌삼 8-9년* 파* 100g (총 10 ~ 50뿌* 내*)도담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</si>
  <si>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https://smartstore.naver.com/minkukss/products/9687508926</t>
  </si>
  <si>
    <t>산삼 9년근 50뿌리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</si>
  <si>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산*삼 *뇌삼 8-9년* 파* 100g (총 10 ~ 50뿌* 내*)도담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</si>
  <si>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9년근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</si>
  <si>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산*삼 *뇌삼 8-9년* 파* 100g (총 10 ~ 50뿌* 내*)도담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</si>
  <si>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산양삼 9년근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</si>
  <si>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산*삼 *뇌삼 8-9년* 파* 100g (총 10 ~ 50뿌* 내*)도담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</si>
  <si>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188개</t>
  </si>
  <si>
    <t>산삼 장뇌삼 9년근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</si>
  <si>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산* 산*삼 *뇌삼 8-9년* 파* 100g (총 10 ~ 50뿌* 내*)도담
 ( '광고' 클릭 절대 금지 )
 ▶판매처 : 도담산삼
 5. 찜하기 클릭
 6. 바로가기 클릭
 7. 상품 클릭
 8. 링크(url) 복사 후 정답에 붙여넣기 후 제출</t>
    </r>
  </si>
  <si>
    <t>https://m.smartstore.naver.com/minkukss/products/9687508926</t>
  </si>
  <si>
    <t>산삼 6년근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</si>
  <si>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장뇌* *양삼 산*산삼 6*근 *삼 100g (총 10 ~ 50뿌리 *외)도담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</si>
  <si>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https://smartstore.naver.com/minkukss/products/7357096072</t>
  </si>
  <si>
    <t>산삼 6년근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</si>
  <si>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장뇌* *양삼 산*산삼 6*근 *삼 100g (총 10 ~ 50뿌리 *외)도담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</si>
  <si>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6년근 10뿌리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</si>
  <si>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장뇌* *양삼 산*산삼 6*근 *삼 100g (총 10 ~ 50뿌리 *외)도담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</si>
  <si>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6년근 50뿌리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</si>
  <si>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장뇌* *양삼 산*산삼 6*근 *삼 100g (총 10 ~ 50뿌리 *외)도담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</si>
  <si>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파삼 6년근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</si>
  <si>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산* 장뇌* *양삼 산*산삼 6*근 *삼 100g (총 10 ~ 50뿌리 *외)도담
 ( '광고' 클릭 절대 금지 )
 ▶판매처 : 도담산삼
 5. 찜하기 클릭
 6. 바로가기 클릭
 7. 상품 클릭
 8. 링크(url) 복사 후 정답에 붙여넣기 후 제출</t>
    </r>
  </si>
  <si>
    <t>https://m.smartstore.naver.com/minkukss/products/7357096072</t>
  </si>
  <si>
    <t>산양삼 6년근 12뿌리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</si>
  <si>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*뇌삼 산*삼 *삼 산양*삼 6년* 12*리 정*설 추석 *모님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</si>
  <si>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https://smartstore.naver.com/minkukss/products/5831747566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</si>
  <si>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*뇌삼 산*삼 *삼 산양*삼 6년* 12*리 정*설 추석 *모님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</si>
  <si>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산양삼 6년근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</si>
  <si>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*뇌삼 산*삼 *삼 산양*삼 6년* 12*리 정*설 추석 *모님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</si>
  <si>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6년근 12뿌리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</si>
  <si>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*뇌삼 산*삼 *삼 산양*삼 6년* 12*리 정*설 추석 *모님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</si>
  <si>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148개</t>
  </si>
  <si>
    <t>장뇌삼 6년근 12뿌리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</si>
  <si>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*뇌삼 산*삼 *삼 산양*삼 6년* 12*리 정*설 추석 *모님 선물 *담
 ( '광고' 클릭 절대 금지 )
 ▶판매처 : 도담산삼
 5. 찜하기 클릭
 6. 바로가기 클릭
 7. 상품 클릭
 8. 링크(url) 복사 후 정답에 붙여넣기 후 제출</t>
    </r>
  </si>
  <si>
    <t>https://m.smartstore.naver.com/minkukss/products/5831747566</t>
  </si>
  <si>
    <t>산삼 7뿌리 정삼 설선물세트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</si>
  <si>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</si>
  <si>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https://smartstore.naver.com/minkukss/products/5461805175</t>
  </si>
  <si>
    <t>산삼 7뿌리 정삼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</si>
  <si>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</si>
  <si>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7뿌리 추석부모님선물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</si>
  <si>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</si>
  <si>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7뿌리 추석부모님선물 도담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</si>
  <si>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</si>
  <si>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443개</t>
  </si>
  <si>
    <t>산삼 산양산삼 추석부모님선물 도담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</si>
  <si>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산*삼 산양산* 산* 장*삼 *년근 7*리 정* 설선*세* 추**모*선물 도담
 ( '광고' 클릭 절대 금지 )
 ▶판매처 : 도담산삼
 5. 찜하기 클릭
 6. 바로가기 클릭
 7. 상품 클릭
 8. 링크(url) 복사 후 정답에 붙여넣기 후 제출</t>
    </r>
  </si>
  <si>
    <t>산삼 설 추석 부모님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</si>
  <si>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산삼 산양*삼 장뇌* 10*근 7뿌* 정삼 설 *석 부모*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</si>
  <si>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https://smartstore.naver.com/minkukss/products/5835104592</t>
  </si>
  <si>
    <t>산삼 설 추석 부모님 선물 도담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</si>
  <si>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산삼 산양*삼 장뇌* 10*근 7뿌* 정삼 설 *석 부모*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</si>
  <si>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산양삼 설 추석 부모님 선물 도담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</si>
  <si>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산삼 산양*삼 장뇌* 10*근 7뿌* 정삼 설 *석 부모*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</si>
  <si>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산양삼 설 추석 부모님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</si>
  <si>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산삼 산양*삼 장뇌* 10*근 7뿌* 정삼 설 *석 부모*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</si>
  <si>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328개</t>
  </si>
  <si>
    <t>장뇌삼 설 추석 부모님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</si>
  <si>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산*삼 산삼 산양*삼 장뇌* 10*근 7뿌* 정삼 설 *석 부모* 선물 *담
 ( '광고' 클릭 절대 금지 )
 ▶판매처 : 도담산삼
 5. 찜하기 클릭
 6. 바로가기 클릭
 7. 상품 클릭
 8. 링크(url) 복사 후 정답에 붙여넣기 후 제출</t>
    </r>
  </si>
  <si>
    <t>https://m.smartstore.naver.com/minkukss/products/5835104592</t>
  </si>
  <si>
    <t>led 벽시계 집들이 사무실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</si>
  <si>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</si>
  <si>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led 벽시계 집들이 백라이트 터닝 플랫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</si>
  <si>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</si>
  <si>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led 벽시계 집들이 사무실 LED 시계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</si>
  <si>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</si>
  <si>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led 벽시계 집들이 사무실 백라이트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</si>
  <si>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</si>
  <si>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led 벽시계 집들이 사무실 백라이트 플랫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</si>
  <si>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플*이토 와*파이 *시계 인*리어 전자달* 집*이 사*실 LED시* 백라*트 터닝 *랫
( '광고' 클릭 절대 금지 )
 ▶판매처 : 제이앤와이컴퍼니
 5. 찜하기 클릭
 6. 바로가기 클릭
 7. 상품 클릭
 8. 링크(url) 복사 후 정답에 붙여넣기 후 제출</t>
    </r>
  </si>
  <si>
    <t>루나리스 노르딕 FM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</si>
  <si>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</si>
  <si>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루나리스 노르딕 FM 전파 수신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</si>
  <si>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</si>
  <si>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루나리스 노르딕 FM 전파 수신 LED 벽시계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</si>
  <si>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</si>
  <si>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루나리스 노르딕 FM 54cm 전자달력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</si>
  <si>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</si>
  <si>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루나리스 노르딕 FM 54cm 전자달력 개업선물</t>
  </si>
  <si>
    <t>배도라지즙 배도라지에오 국내산 배도라지즙 30포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</si>
  <si>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*린 배*라지*오 국*산 배*라*즙 배* 110ml x 30포, 1*스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</si>
  <si>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뚜띠프루티</t>
  </si>
  <si>
    <t>https://smartstore.naver.com/tuttifrutti/products/5056444883</t>
  </si>
  <si>
    <t>배도라지즙 배도라지에오 국내산 배도라지즙 1박스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</si>
  <si>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*린 배*라지*오 국*산 배*라*즙 배* 110ml x 30포, 1*스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</si>
  <si>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https://m.search.naver.com/search.naver?sm=mtp_hty.top&amp;where=m&amp;query=%EB%B0%B0%EB%8F%84%EB%9D%BC%EC%A7%80%EC%A6%99&amp;ackey=ynqrmsze</t>
  </si>
  <si>
    <t>배도라지즙 배도라지에오 1박스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</si>
  <si>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*린 배*라지*오 국*산 배*라*즙 배* 110ml x 30포, 1*스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</si>
  <si>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배도라지즙 배도라지에오 30포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</si>
  <si>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*린 배*라지*오 국*산 배*라*즙 배* 110ml x 30포, 1*스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</si>
  <si>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608개</t>
  </si>
  <si>
    <t>배도라지즙 배도라지에오 110ml 30포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</si>
  <si>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뚜*프루* *린 배*라지*오 국*산 배*라*즙 배* 110ml x 30포, 1*스
 ( '광고' 클릭 절대 금지 )
 ▶판매처 : 뚜띠프루티
 5. 찜하기 클릭
 6. 바로가기 클릭
 7. 상품 클릭
 8. 링크(url) 복사 후 정답에 붙여넣기 후 제출</t>
    </r>
  </si>
  <si>
    <t>https://m.smartstore.naver.com/tuttifrutti/products/5056444883</t>
  </si>
  <si>
    <t>올리브오일 스틱 유기농 엑스트라버진 공복 올리브오일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</si>
  <si>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올토* 유*농 엑*트*버진 공* 올*브오* 스* 올리* 토*토 올*샷 210ml,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</si>
  <si>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https://smartstore.naver.com/tuttifrutti/products/12534338336</t>
  </si>
  <si>
    <t>올리브오일 스틱 유기농 엑스트라버진 토마토 올레샷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</si>
  <si>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올토* 유*농 엑*트*버진 공* 올*브오* 스* 올리* 토*토 올*샷 210ml,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</si>
  <si>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https://m.search.naver.com/search.naver?sm=mtp_hty.top&amp;where=m&amp;query=%EC%98%AC%EB%A6%AC%EB%B8%8C%EC%98%A4%EC%9D%BC%EC%8A%A4%ED%8B%B1&amp;ackey=dnpb4au7</t>
  </si>
  <si>
    <t>올리브오일 스틱 유기농 토마토 올레샷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</si>
  <si>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올토* 유*농 엑*트*버진 공* 올*브오* 스* 올리* 토*토 올*샷 210ml,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</si>
  <si>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https://msearch.shopping.naver.com/search/all?query=%EC%98%AC%EB%A6%AC%EB%B8%8C%EC%98%A4%EC%9D%BC%EC%8A%A4%ED%8B%B1&amp;vertical=search</t>
  </si>
  <si>
    <t>올리브오일 스틱 유기농 토마토 올레샷 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</si>
  <si>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올토* 유*농 엑*트*버진 공* 올*브오* 스* 올리* 토*토 올*샷 210ml,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</si>
  <si>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705개</t>
  </si>
  <si>
    <t>올리브오일 스틱 올토샷 엑스트라버진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</si>
  <si>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뚜*프루* 올토* 유*농 엑*트*버진 공* 올*브오* 스* 올리* 토*토 올*샷 210ml, 3개
 ( '광고' 클릭 절대 금지 )
 ▶판매처 : 뚜띠프루티
 5. 찜하기 클릭
 6. 바로가기 클릭 
 7. 상품 클릭
 8. 링크(url) 복사 후 정답에 붙여넣기 후 제출</t>
    </r>
  </si>
  <si>
    <t>https://m.smartstore.naver.com/tuttifrutti/products/12534338336</t>
  </si>
  <si>
    <t>제모크림 다리털 제모 겨드랑이 겨털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</si>
  <si>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터닝**트 꿀벌 제**림 셀프 왁싱 다*털 제모 겨**이 겨털 제모 250ml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내 피부의 터닝포인트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</si>
  <si>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내 피부의 터닝포인트</t>
  </si>
  <si>
    <t>https://smartstore.naver.com/gavochshop/products/11437527547</t>
  </si>
  <si>
    <t>제모크림 다리털 제모 250ml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</si>
  <si>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터닝**트 꿀벌 제**림 셀프 왁싱 다*털 제모 겨**이 겨털 제모 250ml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내 피부의 터닝포인트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</si>
  <si>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제모크림 터닝포인트 꿀벌 제모크림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</si>
  <si>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터닝**트 꿀벌 제**림 셀프 왁싱 다*털 제모 겨**이 겨털 제모 250ml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내 피부의 터닝포인트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</si>
  <si>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제모크림 터닝포인트 꿀벌 제모크림 셀프 왁싱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</si>
  <si>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터닝**트 꿀벌 제**림 셀프 왁싱 다*털 제모 겨**이 겨털 제모 250ml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내 피부의 터닝포인트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</si>
  <si>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604개</t>
  </si>
  <si>
    <t>제모크림 꿀벌 터닝포인트 250ml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</si>
  <si>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터닝**트 꿀벌 제**림 셀프 왁싱 다*털 제모 겨**이 겨털 제모 250ml
 ( '광고' 클릭 절대 금지 )
 ▶판매처 : 내 피부의 터닝포인트
 5. 찜하기 클릭
 6. 바로가기 클릭
 7. 상품 클릭
 8. 링크(url) 복사 후 정답에 붙여넣기 후 제출</t>
    </r>
  </si>
  <si>
    <t>https://m.smartstore.naver.com/gavochshop/products/11437527547</t>
  </si>
  <si>
    <t>자전거안장 저스핏 젤안장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</si>
  <si>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저*핏 *전거 안* 쿠션 *버 전*선 실내 *전거 젤*장 무통*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진아이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</si>
  <si>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진아이</t>
  </si>
  <si>
    <t>https://smartstore.naver.com/jinai/products/6214056431</t>
  </si>
  <si>
    <t>자전거안장 저스핏 무통증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</si>
  <si>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저*핏 *전거 안* 쿠션 *버 전*선 실내 *전거 젤*장 무통*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진아이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</si>
  <si>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https://m.search.naver.com/search.naver?sm=mtp_hty.top&amp;where=m&amp;query=%EC%9E%90%EC%A0%84%EA%B1%B0%EC%95%88%EC%9E%A5&amp;ackey=zj2h2758</t>
  </si>
  <si>
    <t>자전거안장 저스핏 안장 쿠션 커버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</si>
  <si>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저*핏 *전거 안* 쿠션 *버 전*선 실내 *전거 젤*장 무통*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진아이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</si>
  <si>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https://msearch.shopping.naver.com/search/all?query=%EC%9E%90%EC%A0%84%EA%B1%B0%EC%95%88%EC%9E%A5&amp;vertical=search</t>
  </si>
  <si>
    <t>자전거안장 저스핏 안장 쿠션 전립선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</si>
  <si>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저*핏 *전거 안* 쿠션 *버 전*선 실내 *전거 젤*장 무통*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진아이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</si>
  <si>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411개</t>
  </si>
  <si>
    <t>자전거안장 저스핏 안장 쿠션 실내 자전거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</si>
  <si>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저*핏 *전거 안* 쿠션 *버 전*선 실내 *전거 젤*장 무통*
 ( '광고' 클릭 절대 금지 )
 ▶판매처 : 진아이
 5. 찜하기 클릭
 6. 바로가기 클릭
 7. 상품 클릭
 8. 링크(url) 복사 후 정답에 붙여넣기 후 제출</t>
    </r>
  </si>
  <si>
    <t>https://m.smartstore.naver.com/jinai/products/6214056431</t>
  </si>
  <si>
    <t>EGF앰플 리포좀 탄력 부스터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</si>
  <si>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리*좀 *GF 앰* 탄력 *스터 세* 30ml *부장벽*복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프레티 (판매처 앞 립스틱 그림이 "없는" 상품을 클릭해주세요.)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</si>
  <si>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프레티</t>
  </si>
  <si>
    <t>https://smartstore.naver.com/prreti/products/11577228500</t>
  </si>
  <si>
    <t>EGF앰플 리포좀 탄력 부스터 30ml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</si>
  <si>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리*좀 *GF 앰* 탄력 *스터 세* 30ml *부장벽*복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프레티 (판매처 앞 립스틱 그림이 "없는" 상품을 클릭해주세요.)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</si>
  <si>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https://m.search.naver.com/search.naver?sm=mtp_hty.top&amp;where=m&amp;query=EGF%EC%95%B0%ED%94%8C&amp;ackey=cmyga2ag</t>
  </si>
  <si>
    <t>EGF앰플 리포좀 앰플 탄력 부스터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</si>
  <si>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리*좀 *GF 앰* 탄력 *스터 세* 30ml *부장벽*복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프레티 (판매처 앞 립스틱 그림이 "없는" 상품을 클릭해주세요.)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</si>
  <si>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https://msearch.shopping.naver.com/search/all?query=EGF%EC%95%B0%ED%94%8C&amp;vertical=search</t>
  </si>
  <si>
    <t>EGF앰플 리포좀 앰플 탄력 부스터 세럼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</si>
  <si>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리*좀 *GF 앰* 탄력 *스터 세* 30ml *부장벽*복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프레티 (판매처 앞 립스틱 그림이 "없는" 상품을 클릭해주세요.)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</si>
  <si>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60개</t>
  </si>
  <si>
    <t>EGF앰플 리포좀 앰플 탄력 부스터 세럼 30ml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</si>
  <si>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리*좀 *GF 앰* 탄력 *스터 세* 30ml *부장벽*복
 ( '광고' 클릭 절대 금지 )
 ▶판매처 : 프레티 (판매처 앞 립스틱 그림이 "없는" 상품을 클릭해주세요.)
 5. 찜하기 클릭
 6. 바로가기 클릭
 7. 상품 클릭
 8. 링크(url) 복사 후 정답에 붙여넣기 후 제출</t>
    </r>
  </si>
  <si>
    <t>https://m.smartstore.naver.com/prreti/products/11577228500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</si>
  <si>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</si>
  <si>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</si>
  <si>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</si>
  <si>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</si>
  <si>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131개</t>
  </si>
  <si>
    <t>12월 31일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</si>
  <si>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바*탈봄 리*좀글*타치* 리*존글*타치* 600mgX60정 3*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웰빙플러스유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</si>
  <si>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2월 세팅 완~ 2/1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</si>
  <si>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바*탈봄 리*좀글*타치* 리*존글*타치* 600mgX60정 3*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웰빙플러스유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</si>
  <si>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바*탈봄 리*좀글*타치* 리*존글*타치* 600mgX60정 3*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웰빙플러스유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</si>
  <si>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바*탈봄 리*좀글*타치* 리*존글*타치* 600mgX60정 3*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웰빙플러스유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</si>
  <si>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230개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</si>
  <si>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바*탈봄 리*좀글*타치* 리*존글*타치* 600mgX60정 3*
 ( '광고' 클릭 절대 금지 )
 ▶판매처 : 웰빙플러스유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</si>
  <si>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일*용 *치마 1000매 국산 *직포 업*용 *생 앞치* 식*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김가상점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</si>
  <si>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일*용 *치마 1000매 국산 *직포 업*용 *생 앞치* 식*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김가상점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</si>
  <si>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일*용 *치마 1000매 국산 *직포 업*용 *생 앞치* 식*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김가상점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</si>
  <si>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일*용 *치마 1000매 국산 *직포 업*용 *생 앞치* 식*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김가상점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</si>
  <si>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</si>
  <si>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일*용 *치마 1000매 국산 *직포 업*용 *생 앞치* 식*
 ( '광고' 클릭 절대 금지 )
 ▶판매처 : 김가상점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</si>
  <si>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</si>
  <si>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</si>
  <si>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주방수납장 3단 밥솥장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</si>
  <si>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</si>
  <si>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주방수납장 ga045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</si>
  <si>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</si>
  <si>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417개</t>
  </si>
  <si>
    <t>주방수납장 3단 인출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</si>
  <si>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</si>
  <si>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</si>
  <si>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슈퍼싱글 수납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</si>
  <si>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</si>
  <si>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슈퍼싱글 본넬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</si>
  <si>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</si>
  <si>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2,458개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</si>
  <si>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보루**하우스 프*임 LED 슈퍼싱글 수**대 본넬 매트리스
 ( '광고' 클릭 절대 금지 )
 ▶판매처 : 퍼니처 브랜드몰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</si>
  <si>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</si>
  <si>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</si>
  <si>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</si>
  <si>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</si>
  <si>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645개</t>
  </si>
  <si>
    <t>옷장 소이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</si>
  <si>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</t>
    </r>
    <r>
      <rPr>
        <sz val="0"/>
        <color rgb="FFFF0000"/>
        <rFont val="Arial"/>
      </rPr>
      <t xml:space="preserve"> *최저 표시가 없는 상품을 클릭 해주세요*
</t>
    </r>
    <r>
      <rPr>
        <sz val="0"/>
        <color theme="1"/>
        <rFont val="Arial"/>
      </rPr>
      <t xml:space="preserve">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</si>
  <si>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YUR058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</si>
  <si>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</t>
    </r>
    <r>
      <rPr>
        <sz val="0"/>
        <color rgb="FFFF0000"/>
        <rFont val="Arial"/>
      </rPr>
      <t xml:space="preserve"> *최저 표시가 없는 상품을 클릭 해주세요*
</t>
    </r>
    <r>
      <rPr>
        <sz val="0"/>
        <color theme="1"/>
        <rFont val="Arial"/>
      </rPr>
      <t xml:space="preserve">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</si>
  <si>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</t>
    </r>
    <r>
      <rPr>
        <sz val="0"/>
        <color rgb="FFFF0000"/>
        <rFont val="Arial"/>
      </rPr>
      <t xml:space="preserve"> *최저 표시가 없는 상품을 클릭 해주세요*
</t>
    </r>
    <r>
      <rPr>
        <sz val="0"/>
        <color theme="1"/>
        <rFont val="Arial"/>
      </rPr>
      <t xml:space="preserve">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</si>
  <si>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파로마 소이 슬라이딩 행거형 YUR058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</si>
  <si>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</t>
    </r>
    <r>
      <rPr>
        <sz val="0"/>
        <color rgb="FFFF0000"/>
        <rFont val="Arial"/>
      </rPr>
      <t xml:space="preserve"> *최저 표시가 없는 상품을 클릭 해주세요*
</t>
    </r>
    <r>
      <rPr>
        <sz val="0"/>
        <color theme="1"/>
        <rFont val="Arial"/>
      </rPr>
      <t xml:space="preserve">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</si>
  <si>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157개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</si>
  <si>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 *최저 표시가 없는 상품을 클릭 해주세요*
파*마 소* 1200 슬*이딩 *장 행*형 Y*R058
 ( '광고' 클릭 절대 금지 )
 ▶판매처 : 온라인 브랜드 가구
 5. 찜하기 클릭
 6. 바로가기 클릭
 7. 상품 클릭
 8. 링크(url) 복사 후 정답에 붙여넣기 후 제출</t>
    </r>
  </si>
  <si>
    <t>은반지 루프 샹달반지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</si>
  <si>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[H *oop C*ain] H *프 샹*반지 데*리 실버* S925 데*레아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데시레아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</si>
  <si>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데시레아</t>
  </si>
  <si>
    <t>https://smartstore.naver.com/desirea/products/12015924192</t>
  </si>
  <si>
    <t>은반지 루프 데일리 실버링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</si>
  <si>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[H *oop C*ain] H *프 샹*반지 데*리 실버* S925 데*레아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데시레아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</si>
  <si>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https://m.search.naver.com/search.naver?sm=mtp_hty.top&amp;where=m&amp;query=%EC%83%B9%EB%8B%AC%EB%B0%98%EC%A7%80&amp;ackey=acssfg6i</t>
  </si>
  <si>
    <t>은반지 데시레아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</si>
  <si>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[H *oop C*ain] H *프 샹*반지 데*리 실버* S925 데*레아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데시레아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</si>
  <si>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https://msearch.shopping.naver.com/search/all?query=%EC%83%B9%EB%8B%AC%EB%B0%98%EC%A7%80&amp;vertical=search</t>
  </si>
  <si>
    <t>은반지 H루프 실버링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</si>
  <si>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[H *oop C*ain] H *프 샹*반지 데*리 실버* S925 데*레아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데시레아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</si>
  <si>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190개</t>
  </si>
  <si>
    <t>은반지 H루프 데시레아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</si>
  <si>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[H *oop C*ain] H *프 샹*반지 데*리 실버* S925 데*레아
 ( '광고' 클릭 절대 금지 )
 ▶판매처 : 데시레아
 5. 찜하기 클릭
 6. 바로가기 클릭
 7. 상품 클릭
 8. 링크(url) 복사 후 정답에 붙여넣기 후 제출</t>
    </r>
  </si>
  <si>
    <t>https://m.smartstore.naver.com/desirea/products/12015924192</t>
  </si>
  <si>
    <t>화장대 화이트_좌형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</si>
  <si>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</si>
  <si>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https://smartstore.naver.com/modica/products/12070063720</t>
  </si>
  <si>
    <t>화장대 화이트 일체형 좌형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</si>
  <si>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</si>
  <si>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화장대 화이트 르엔 좌형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</si>
  <si>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</si>
  <si>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화장대 화이트 틈새 좌형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</si>
  <si>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</si>
  <si>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434개</t>
  </si>
  <si>
    <t>화장대 화이트 스툴 좌형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</si>
  <si>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모디* 르* 틈새 *장대 *툴 일*형 화*트_좌*
 ( '광고' 클릭 절대 금지 )
 ▶판매처 : 모디카
 5. 찜하기 클릭
 6. 바로가기 클릭
 7. 상품 클릭
 8. 링크(url) 복사 후 정답에 붙여넣기 후 제출</t>
    </r>
  </si>
  <si>
    <t>https://m.smartstore.naver.com/modica/products/12070063720</t>
  </si>
  <si>
    <t>러닝마스크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</si>
  <si>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 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</si>
  <si>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 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</si>
  <si>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청풍문 하프런 마스크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</si>
  <si>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 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</si>
  <si>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청풍문 하프런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</si>
  <si>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 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</si>
  <si>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340개</t>
  </si>
  <si>
    <t>러닝마스크 청풍문 스포츠 러닝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</si>
  <si>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*외선*단 스포* 러닝 마*크 *전거 골* 마스* 브레*프* 하프* 마*크
 ( '광고' 클릭 절대 금지 )
 ▶판매처 : 청풍문-bluewind
 5. 찜하기 클릭
 6. 바로가기 클릭
 7. 상품 클릭
 8. 링크(url) 복사 후 정답에 붙여넣기 후 제출</t>
    </r>
  </si>
  <si>
    <t>거실테이블 라자가구 위드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</si>
  <si>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라자가구 위드 1200 리프트업 거실 테이블 cw150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</si>
  <si>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라자가구 위드 1200 리프트업 거실 테이블 cw150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</si>
  <si>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https://m.search.naver.com/search.naver?sm=mtp_hty.top&amp;where=m&amp;query=%EA%B1%B0%EC%8B%A4%ED%85%8C%EC%9D%B4%EB%B8%94&amp;ackey=a4c9i3xi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</si>
  <si>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라자가구 위드 1200 리프트업 거실 테이블 cw150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</si>
  <si>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라자가구 위드 1200 리프트업 거실 테이블 cw150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</si>
  <si>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라자가구 위드 1200 리프트업 거실 테이블 cw150
 ▶판매처 : 라자가구 스토어
 5. 찜하기 클릭
 6. 바로가기 클릭
 7. 상품 클릭
 8. 링크(url) 복사 후 정답에 붙여넣기 후 제출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</si>
  <si>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</si>
  <si>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온열변기커버 온시트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</si>
  <si>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</si>
  <si>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</si>
  <si>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온열변기커버 온시트 생활방수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</si>
  <si>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</si>
  <si>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1,016개</t>
  </si>
  <si>
    <t>온열변기커버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</si>
  <si>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(제*직판) *상 온시* WS-1000 따*한 온*변기*버 생*방수
( '광고' 클릭 절대 금지 )
 ▶판매처 : 운상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</si>
  <si>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이*비오* *강유*균 1g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 (판매처 뒤 "N pay+"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</si>
  <si>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구강유산균 이지비오랄 30정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</si>
  <si>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이*비오* *강유*균 1g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 (판매처 뒤 "N pay+"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</si>
  <si>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구강유산균 이지비오랄 구강유산균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</si>
  <si>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이*비오* *강유*균 1g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 (판매처 뒤 "N pay+"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</si>
  <si>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구강유산균 이지비오랄 구강유산균 30정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</si>
  <si>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이*비오* *강유*균 1g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 (판매처 뒤 "N pay+"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</si>
  <si>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136개</t>
  </si>
  <si>
    <t>구강유산균 이지비오랄 180정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</si>
  <si>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[6*월] *지비*랄 특* 구강·*몸 유*균 180정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실온보관 OOOO 전용 용기 &amp; 안전 HACCP 인증 &gt;</t>
    </r>
    <r>
      <rPr>
        <sz val="0"/>
        <color rgb="FFFF0000"/>
        <rFont val="Arial"/>
      </rPr>
      <t xml:space="preserve"> 4</t>
    </r>
    <r>
      <rPr>
        <sz val="0"/>
        <color theme="1"/>
        <rFont val="Arial"/>
      </rPr>
      <t>글자
* 정답란에 띄어쓰기 없이 입력 후 제출해주세요</t>
    </r>
  </si>
  <si>
    <t>생유산균</t>
  </si>
  <si>
    <t>구강유산균 특허 이지비오랄 180정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</si>
  <si>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[6*월] *지비*랄 특* 구강·*몸 유*균 180정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실온보관 OOOO 전용 용기 &amp; 안전 HACCP 인증 &gt;</t>
    </r>
    <r>
      <rPr>
        <sz val="0"/>
        <color rgb="FFFF0000"/>
        <rFont val="Arial"/>
      </rPr>
      <t xml:space="preserve"> 4</t>
    </r>
    <r>
      <rPr>
        <sz val="0"/>
        <color theme="1"/>
        <rFont val="Arial"/>
      </rPr>
      <t>글자
* 정답란에 띄어쓰기 없이 입력 후 제출해주세요</t>
    </r>
  </si>
  <si>
    <t>구강유산균 특허 유산균 180정 이지비오랄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</si>
  <si>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[6*월] *지비*랄 특* 구강·*몸 유*균 180정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실온보관 OOOO 전용 용기 &amp; 안전 HACCP 인증 &gt;</t>
    </r>
    <r>
      <rPr>
        <sz val="0"/>
        <color rgb="FFFF0000"/>
        <rFont val="Arial"/>
      </rPr>
      <t xml:space="preserve"> 4</t>
    </r>
    <r>
      <rPr>
        <sz val="0"/>
        <color theme="1"/>
        <rFont val="Arial"/>
      </rPr>
      <t>글자
* 정답란에 띄어쓰기 없이 입력 후 제출해주세요</t>
    </r>
  </si>
  <si>
    <t>구강유산균 이지비오랄 180정 6개월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</si>
  <si>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[6*월] *지비*랄 특* 구강·*몸 유*균 180정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실온보관 OOOO 전용 용기 &amp; 안전 HACCP 인증 &gt;</t>
    </r>
    <r>
      <rPr>
        <sz val="0"/>
        <color rgb="FFFF0000"/>
        <rFont val="Arial"/>
      </rPr>
      <t xml:space="preserve"> 4</t>
    </r>
    <r>
      <rPr>
        <sz val="0"/>
        <color theme="1"/>
        <rFont val="Arial"/>
      </rPr>
      <t>글자
* 정답란에 띄어쓰기 없이 입력 후 제출해주세요</t>
    </r>
  </si>
  <si>
    <t>알파CD 식이섬유 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</si>
  <si>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</si>
  <si>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알파CD 식이섬유 60정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</si>
  <si>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</si>
  <si>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알파CD 지방흡착배출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</si>
  <si>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</si>
  <si>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알파CD 지방흡착배출 60정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</si>
  <si>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</si>
  <si>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266개</t>
  </si>
  <si>
    <t>알파CD 닥터이지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</si>
  <si>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알*CD 순*100% 지*흡*배출 닥*이* 이*핏 알파*디 식*섬유 쾌* 60정, 3개
 ( '광고' 클릭 절대 금지 )
 ▶판매처 : 닥터이지케어랩
 5. 찜하기 클릭
 6. 바로가기 클릭
 7. 상품 클릭
 8. 링크(url) 복사 후 정답에 붙여넣기 후 제출</t>
    </r>
  </si>
  <si>
    <t>컬리케일 60정 1개월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</si>
  <si>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[1개*]유기*곱슬*일 닥*이지*리뮨 오*닉컬*케* 60정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현직 OOO이 설계한 프리미엄 포뮬러. &gt;</t>
    </r>
    <r>
      <rPr>
        <sz val="0"/>
        <color rgb="FFFF0000"/>
        <rFont val="Arial"/>
      </rPr>
      <t xml:space="preserve"> 3</t>
    </r>
    <r>
      <rPr>
        <sz val="0"/>
        <color theme="1"/>
        <rFont val="Arial"/>
      </rPr>
      <t>글자
* 정답란에 띄어쓰기 없이 입력 후 제출해주세요</t>
    </r>
  </si>
  <si>
    <t>의료진</t>
  </si>
  <si>
    <t>컬리케일 곱슬케일 1개월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</si>
  <si>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[1개*]유기*곱슬*일 닥*이지*리뮨 오*닉컬*케* 60정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현직 OOO이 설계한 프리미엄 포뮬러. &gt;</t>
    </r>
    <r>
      <rPr>
        <sz val="0"/>
        <color rgb="FFFF0000"/>
        <rFont val="Arial"/>
      </rPr>
      <t xml:space="preserve"> 3</t>
    </r>
    <r>
      <rPr>
        <sz val="0"/>
        <color theme="1"/>
        <rFont val="Arial"/>
      </rPr>
      <t>글자
* 정답란에 띄어쓰기 없이 입력 후 제출해주세요</t>
    </r>
  </si>
  <si>
    <t>컬리케일 오가닉 1개월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</si>
  <si>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[1개*]유기*곱슬*일 닥*이지*리뮨 오*닉컬*케* 60정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현직 OOO이 설계한 프리미엄 포뮬러. &gt;</t>
    </r>
    <r>
      <rPr>
        <sz val="0"/>
        <color rgb="FFFF0000"/>
        <rFont val="Arial"/>
      </rPr>
      <t xml:space="preserve"> 3</t>
    </r>
    <r>
      <rPr>
        <sz val="0"/>
        <color theme="1"/>
        <rFont val="Arial"/>
      </rPr>
      <t>글자
* 정답란에 띄어쓰기 없이 입력 후 제출해주세요</t>
    </r>
  </si>
  <si>
    <t>컬리케일 오가닉 60정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</si>
  <si>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[1개*]유기*곱슬*일 닥*이지*리뮨 오*닉컬*케* 60정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현직 OOO이 설계한 프리미엄 포뮬러. &gt;</t>
    </r>
    <r>
      <rPr>
        <sz val="0"/>
        <color rgb="FFFF0000"/>
        <rFont val="Arial"/>
      </rPr>
      <t xml:space="preserve"> 3</t>
    </r>
    <r>
      <rPr>
        <sz val="0"/>
        <color theme="1"/>
        <rFont val="Arial"/>
      </rPr>
      <t>글자
* 정답란에 띄어쓰기 없이 입력 후 제출해주세요</t>
    </r>
  </si>
  <si>
    <t>캣그라스화분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</si>
  <si>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잘*란 캣*라스*분 냥*아지 야*그라* 귀* 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냥냥아지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</si>
  <si>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캣그라스 귀리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</si>
  <si>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잘*란 캣*라스*분 냥*아지 야*그라* 귀* 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냥냥아지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</si>
  <si>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캣그라스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</si>
  <si>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잘*란 캣*라스*분 냥*아지 야*그라* 귀* 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냥냥아지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</si>
  <si>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캣그라스 보리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</si>
  <si>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잘*란 캣*라스*분 냥*아지 야*그라* 귀* 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냥냥아지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</si>
  <si>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350개</t>
  </si>
  <si>
    <t>캣그라스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</si>
  <si>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잘*란 캣*라스*분 냥*아지 야*그라* 귀* *리
 ( '광고' 클릭 절대 금지 )
 ▶판매처 : 냥냥아지
 5. 찜하기 클릭
 6. 바로가기 클릭
 7. 상품 클릭
 8. 링크(url) 복사 후 정답에 붙여넣기 후 제출</t>
    </r>
  </si>
  <si>
    <t>슬로건타올 300장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</si>
  <si>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[락*스티벌*량슬로*타올제*] 콘서*, *크샵, 동*회 응원타* 주*제작 100x20 스웨*드 300장이상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</si>
  <si>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[락*스티벌*량슬로*타올제*] 콘서*, *크샵, 동*회 응원타* 주*제작 100x20 스웨*드 300장이상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</si>
  <si>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슬로건타올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</si>
  <si>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[락*스티벌*량슬로*타올제*] 콘서*, *크샵, 동*회 응원타* 주*제작 100x20 스웨*드 300장이상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</si>
  <si>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슬로건타올 스웨이드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</si>
  <si>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[락*스티벌*량슬로*타올제*] 콘서*, *크샵, 동*회 응원타* 주*제작 100x20 스웨*드 300장이상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</si>
  <si>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336개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</si>
  <si>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[락*스티벌*량슬로*타올제*] 콘서*, *크샵, 동*회 응원타* 주*제작 100x20 스웨*드 300장이상
 ( '광고' 클릭 절대 금지 )
 ▶판매처 : 나인스타아트
 5. 찜하기 클릭
 6. 바로가기 클릭 
 7. 상품 클릭
 8. 링크(url) 복사 후 정답에 붙여넣기 후 제출</t>
    </r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</si>
  <si>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"korpia0805.com"을 찾아주세요.
5. "부산,대구탐정사무소 - 탐정들의 영업비밀"을 클릭해주세요.
6. 사이트 방문 후 제일 하단으로 이동해주세요.
7. [ 힌트 ] 를 보고 정답을 찾아주세요.
8. 초성힌트 : [ 본사: 전북특별자치도 전주시 덕진구 OOO 1360-6, 415호 ]
정답 : &lt;3&gt;  글자
* 정답란에 - 포함하여 띄어쓰기 없이 입력 후 제출해주세요.</t>
  </si>
  <si>
    <t>만성동</t>
  </si>
  <si>
    <t>oEk</t>
  </si>
  <si>
    <t>미사역미용실 르 시끄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</si>
  <si>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4.[르시끄 하남미***]플레이스를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{ㅁㅅㄹ}
정답 : &lt;3&gt; 글자
* 정답란에 띄어쓰기 없이 입력 후 제출해주세요.</t>
  </si>
  <si>
    <t>르시끄 하남미***</t>
  </si>
  <si>
    <t>미사역 르 시끄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</si>
  <si>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4.[르시끄 하남미***]플레이스를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{ㄱㅇㄷㅅㄷ}
정답 : &lt;5&gt; 글자
* 정답란에 띄어쓰기 없이 입력 후 제출해주세요.</t>
  </si>
  <si>
    <t>르 시끄 하남미사역점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</si>
  <si>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4.[르시끄 하남미***]플레이스를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{ㅂㅁㄱㄹㄱㅇ}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</si>
  <si>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4.[**머스한의원 안양]플레이스를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{ㅍㅊㅎㅇㄱ}
정답 : &lt;5&gt; 글자
* 정답란에 띄어쓰기 없이 입력 후 제출해주세요.</t>
  </si>
  <si>
    <t>**머스한의원 안양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</si>
  <si>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4.[**머스한의원 울산]플레이스를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{ㄱㅂㄱㅇ}
정답 : &lt;4&gt; 글자
* 정답란에 띄어쓰기 없이 입력 후 제출해주세요.</t>
  </si>
  <si>
    <t>**머스한의원 울산</t>
  </si>
  <si>
    <t>광명 사랑니</t>
  </si>
  <si>
    <t>철산역 교정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</si>
  <si>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4.[대전아이폰수리센터 아이피*]플레이스를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{ㅂㄹㅁㄱㅇ}
정답 : &lt;5&gt; 글자
* 정답란에 띄어쓰기 없이 입력 후 제출해주세요.</t>
  </si>
  <si>
    <t>대전아이폰수리센터 아이피*</t>
  </si>
  <si>
    <t>https://m.place.naver.com/place/37992951/home?entry=pll</t>
  </si>
  <si>
    <t>남부터미널 휴메이크 서초점</t>
  </si>
  <si>
    <t>휴메이크 서초점 헬스장</t>
  </si>
  <si>
    <t>휴메이크 서초점 헬스</t>
  </si>
  <si>
    <t>휴메이크 서초점 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</si>
  <si>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{ㅎㄹㄷㄱㅇㅂㅁㅇ}
정답 : &lt;8&gt; 글자
* 정답란에 띄어쓰기 없이 입력 후 제출해주세요.</t>
  </si>
  <si>
    <t>효령대군이보묘역</t>
  </si>
  <si>
    <t>남부터미널헬스장 휴메이크</t>
  </si>
  <si>
    <t>01월 02일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</si>
  <si>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</si>
  <si>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</si>
  <si>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</si>
  <si>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</si>
  <si>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471개</t>
  </si>
  <si>
    <t>저분자 콜라겐 3.5g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</si>
  <si>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라*필 *마 콜라* *오틴*스 신*아 라*필 어린 저분* 3.5g x 150포 3*스
 ( '광고' 클릭 절대 금지 )
 ▶판매처 : 마넬리 코스메틱
 5. 찜하기 클릭
 6. 바로가기 클릭 
 7. 상품 클릭
 8. 링크(url) 복사 후 정답에 붙여넣기 후 제출</t>
    </r>
  </si>
  <si>
    <t>저분자 콜라겐 6병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</si>
  <si>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</si>
  <si>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</si>
  <si>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저분자 콜라겐 시그니처 6병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</si>
  <si>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</si>
  <si>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</si>
  <si>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467개</t>
  </si>
  <si>
    <t>저분자 콜라겐 더마 시그니처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</si>
  <si>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라이* 더마 *분자 콜*겐 시*니처 173*톤 초저*자 비오* 신*아 *린 6병 24주
 ( '광고' 클릭 절대 금지 )
 ▶판매처 : 마넬리 코스메틱
 5. 찜하기 클릭
 6. 바로가기 클릭 
 7. 상품 클릭
 8. 링크(url) 복사 후 정답에 붙여넣기 후 제출</t>
    </r>
  </si>
  <si>
    <t>노즈워크 장난감 뚱땅뚱땅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</si>
  <si>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뚱*뚱땅 *아*노즈*크 강*지분*불* 이*이장난*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</si>
  <si>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노즈워크 강아지장난감 뚱땅뚱땅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</si>
  <si>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뚱*뚱땅 *아*노즈*크 강*지분*불* 이*이장난*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</si>
  <si>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https://m.search.naver.com/search.naver?sm=mtp_hty.top&amp;where=m&amp;query=%EB%85%B8%EC%A6%88%EC%9B%8C%ED%81%AC&amp;ackey=i4x5wiu1</t>
  </si>
  <si>
    <t>노즈워크 분리불안 뚱땅뚱땅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</si>
  <si>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뚱*뚱땅 *아*노즈*크 강*지분*불* 이*이장난*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</si>
  <si>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노즈워크 분리불안장난감 뚱땅뚱땅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</si>
  <si>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뚱*뚱땅 *아*노즈*크 강*지분*불* 이*이장난*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</si>
  <si>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842개</t>
  </si>
  <si>
    <t>노즈워크 강아지 분리불안 뚱땅뚱땅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</si>
  <si>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뚱*뚱땅 *아*노즈*크 강*지분*불* 이*이장난*
 ( '광고' 클릭 절대 금지 )
 ▶판매처 : 뚱땅 뚱땅
 5. 찜하기 클릭
 6. 바로가기 클릭
 7. 상품 클릭
 8. 링크(url) 복사 후 정답에 붙여넣기 후 제출</t>
    </r>
  </si>
  <si>
    <t>퀸침대 led 인싸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</si>
  <si>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3*랍 퀸침대 수납 서*형 프레임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</si>
  <si>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퀸침대 led 인싸 서랍형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</si>
  <si>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3*랍 퀸침대 수납 서*형 프레임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</si>
  <si>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https://m.search.naver.com/search.naver?sm=mtp_hty.top&amp;where=m&amp;query=%ED%80%B8%EC%B9%A8%EB%8C%80&amp;ackey=i4x5wiu1</t>
  </si>
  <si>
    <t>퀸침대 led 인싸 수납형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</si>
  <si>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3*랍 퀸침대 수납 서*형 프레임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</si>
  <si>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3*랍 퀸침대 수납 서*형 프레임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</si>
  <si>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618개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</si>
  <si>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소프 led 인싸 3*랍 퀸침대 수납 서*형 프레임
 ( '광고' 클릭 절대 금지 )
 ▶판매처 : 온라인 브랜드 가구
 5. 찜하기 클릭
 6. 바로가기 클릭
 7. 상품 클릭
 8. 링크(url) 복사 후 정답에 붙여넣기 후 제출</t>
    </r>
  </si>
  <si>
    <t>옷걸이 10p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</si>
  <si>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</si>
  <si>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옷걸이 원목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</si>
  <si>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</si>
  <si>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https://m.search.naver.com/search.naver?sm=mtp_hty.top&amp;where=m&amp;query=%EC%98%B7%EA%B1%B8%EC%9D%B4&amp;ackey=i4x5wiu1</t>
  </si>
  <si>
    <t>옷걸이 니트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</si>
  <si>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</si>
  <si>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옷걸이 긴목 옷가게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</si>
  <si>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</si>
  <si>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477개</t>
  </si>
  <si>
    <t>옷걸이 프리미엄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</si>
  <si>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홈*영 프**엄 논슬립 나무 옷*이 원목 니트 긴목 옷*게 10P 세트
 ( '광고' 클릭 절대 금지 )
 ▶판매처 : 홈앤영
 5. 찜하기 클릭
 6. 바로가기 클릭
 7. 상품 클릭
 8. 링크(url) 복사 후 정답에 붙여넣기 후 제출</t>
    </r>
  </si>
  <si>
    <t>남아옷 주니어 상하복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</si>
  <si>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주*어 상*복 겨울 초**생 상**트 기모 키즈 옷 투*스 셋업 남아 형*룩 남자**복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오즈의방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</si>
  <si>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오즈의방</t>
  </si>
  <si>
    <t>https://smartstore.naver.com/ozbang/products/10640227034</t>
  </si>
  <si>
    <t>남아옷 초등학생 상하세트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</si>
  <si>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주*어 상*복 겨울 초**생 상**트 기모 키즈 옷 투*스 셋업 남아 형*룩 남자**복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오즈의방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</si>
  <si>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http://m.search.naver.com/search.naver?sm=mtp_hty.top&amp;where=m&amp;query=%EB%82%A8%EC%95%84%EC%98%B7&amp;ackey=i4x5wiu1</t>
  </si>
  <si>
    <t>남아옷 겨울 기모 형제룩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</si>
  <si>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주*어 상*복 겨울 초**생 상**트 기모 키즈 옷 투*스 셋업 남아 형*룩 남자**복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오즈의방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</si>
  <si>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https://msearch.shopping.naver.com/search/all?query=%EB%82%A8%EC%95%84%EC%98%B7&amp;vertical=search</t>
  </si>
  <si>
    <t>남아옷 투피스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</si>
  <si>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주*어 상*복 겨울 초**생 상**트 기모 키즈 옷 투*스 셋업 남아 형*룩 남자**복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오즈의방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</si>
  <si>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246개</t>
  </si>
  <si>
    <t>남아옷 형제룩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</si>
  <si>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주*어 상*복 겨울 초**생 상**트 기모 키즈 옷 투*스 셋업 남아 형*룩 남자**복
 ( '광고' 클릭 절대 금지 )
 ▶판매처 : 오즈의방
 5. 찜하기 클릭
 6. 바로가기 클릭
 7. 상품 클릭
 8. 링크(url) 복사 후 정답에 붙여넣기 후 제출</t>
    </r>
  </si>
  <si>
    <t>https://m.smartstore.naver.com/ozbang/products/10640227034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</si>
  <si>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</si>
  <si>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하프셀 생굴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</si>
  <si>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</si>
  <si>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https://m.search.naver.com/search.naver?sm=mtp_hty.top&amp;where=m&amp;query=%ED%95%98%ED%94%84%EC%85%80&amp;ackey=i4x5wiu1</t>
  </si>
  <si>
    <t>하프셀 각굴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</si>
  <si>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</si>
  <si>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하프셀 삼배체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</si>
  <si>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</si>
  <si>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1,194개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</si>
  <si>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석* 통영 생* 각굴 삼*체 반*굴 하*셀 캠*용 구이
 ( '광고' 클릭 절대 금지 )
 ▶판매처 : 바다의품격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</si>
  <si>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</si>
  <si>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</si>
  <si>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</si>
  <si>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굴 상급 김장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</si>
  <si>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</si>
  <si>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2,227개</t>
  </si>
  <si>
    <t>석화 상급 김장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</si>
  <si>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통영 굴 *철 최*급 석화 *굴 세척 생굴 1kg
 ( '광고' 클릭 절대 금지 )
 ▶판매처 : 바다의 품격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</si>
  <si>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</si>
  <si>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</si>
  <si>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</si>
  <si>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</si>
  <si>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5,305개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</si>
  <si>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통영 가*비 제철 세척 비단 홍**비 1kg 캠핑 조**이 찜
 ( '광고' 클릭 절대 금지 )
 ▶판매처 : 바다의품격
 5. 찜하기 클릭
 6. 바로가기 클릭
 7. 상품 클릭
 8. 링크(url) 복사 후 정답에 붙여넣기 후 제출</t>
    </r>
  </si>
  <si>
    <t>감말랭이 청도 반건시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</si>
  <si>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청도 반*시 감**이 씨없는 곶감 / 1kg 실*형 선**트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원시인농산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</si>
  <si>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원시인농산</t>
  </si>
  <si>
    <t>https://smartstore.naver.com/onecin/products/113463794</t>
  </si>
  <si>
    <t>감말랭이 청도 씨없는 곶감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</si>
  <si>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청도 반*시 감**이 씨없는 곶감 / 1kg 실*형 선**트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원시인농산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</si>
  <si>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https://m.search.naver.com/search.naver?sm=mtp_hty.top&amp;where=m&amp;query=%EA%B0%90%EB%A7%90%EB%9E%AD%EC%9D%B4&amp;ackey=i4x5wiu1</t>
  </si>
  <si>
    <t>감말랭이 곶감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</si>
  <si>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청도 반*시 감**이 씨없는 곶감 / 1kg 실*형 선**트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원시인농산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</si>
  <si>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https://msearch.shopping.naver.com/search/all?query=%EA%B0%90%EB%A7%90%EB%9E%AD%EC%9D%B4&amp;vertical=search</t>
  </si>
  <si>
    <t>감말랭이 곶감 씨없는 곶감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</si>
  <si>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청도 반*시 감**이 씨없는 곶감 / 1kg 실*형 선**트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원시인농산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</si>
  <si>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감말랭이 청도 씨없는 곶감 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</si>
  <si>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청도 반*시 감**이 씨없는 곶감 / 1kg 실*형 선**트
 ( '광고' 클릭 절대 금지 )
 ▶판매처 : 원시인농산
 5. 찜하기 클릭
 6. 바로가기 클릭
 7. 상품 클릭
 8. 링크(url) 복사 후 정답에 붙여넣기 후 제출</t>
    </r>
  </si>
  <si>
    <t>https://m.smartstore.naver.com/onecin/products/113463794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</si>
  <si>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4.[*이퍼 청담]플레이스를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{ㅇㄱㅈㄹㄷㅇㄱㄹ}
정답 : &lt;8&gt; 글자
* 정답란에 띄어쓰기 없이 입력 후 제출해주세요.</t>
  </si>
  <si>
    <t>압구정로데오거리</t>
  </si>
  <si>
    <t>*이퍼 청담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</si>
  <si>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4.[*이퍼 청담]플레이스를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{ㄷㅅㅇㅊㅎㅁㅇ}
정답 : &lt;7&gt; 글자
* 정답란에 띄어쓰기 없이 입력 후 제출해주세요.</t>
  </si>
  <si>
    <t>압구정로데오역 하이퍼 청담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</si>
  <si>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4.[*이퍼 청담]플레이스를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{ㄷㅅㄱㅇ}
정답 : &lt;4&gt; 글자
* 정답란에 띄어쓰기 없이 입력 후 제출해주세요.</t>
  </si>
  <si>
    <t>개금역 헬스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</si>
  <si>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4.[*루짐 PT/헬스 개금점]플레이스를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{ㅅㅂㅅ}
정답 : &lt;3&gt; 글자
* 정답란에 띄어쓰기 없이 입력 후 제출해주세요.</t>
  </si>
  <si>
    <t>남포동 커플마사지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</si>
  <si>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 남포동 마사지 타워힐테라피]플레이스를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{ㄷㄱㅅ}
정답 : &lt;3&gt; 글자
* 정답란에 띄어쓰기 없이 입력 후 제출해주세요.</t>
  </si>
  <si>
    <t>대각사</t>
  </si>
  <si>
    <t>*산 남포동 마사지 타워힐테라피</t>
  </si>
  <si>
    <t>https://m.place.naver.com/place/1137127775/home?entry=pll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</si>
  <si>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4.[프롤*]플레이스를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{ㄴㅌㄴㅁㄱㅇ}
정답 : &lt;6&gt; 글자
* 정답란에 띄어쓰기 없이 입력 후 제출해주세요.</t>
  </si>
  <si>
    <t>프롤*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</si>
  <si>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4.[프롤*]플레이스를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{ㅅㅅㄷㅅㄷ}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</si>
  <si>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4.[프롤*]플레이스를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{ㄱㅈㄱㅈ}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</si>
  <si>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4.[프롤*]플레이스를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{ㅇㄱㅎ}
정답 : &lt;3&gt;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</si>
  <si>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4.[프롤*]플레이스를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{ㅅㅈㅊㅇㄱㅇ}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</si>
  <si>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4.[아이맛이야 철판 행주산***]플레이스를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{ㄱㅇㅎㄱㄱㅇ}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</si>
  <si>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4.[아이맛이야 철판 행주산***]플레이스를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{ㅊㅈㄱㄹㅊㅇㄱㅇ}
정답 : &lt;8&gt; 글자
* 정답란에 띄어쓰기 없이 입력 후 제출해주세요.</t>
  </si>
  <si>
    <t>하남 망월동 아로마마사지</t>
  </si>
  <si>
    <t>안양 온잇</t>
  </si>
  <si>
    <t>안양 온잇 공유오피스</t>
  </si>
  <si>
    <t>안양역 공유오피스 온잇</t>
  </si>
  <si>
    <t>안양 만안 공유오피스</t>
  </si>
  <si>
    <t>안양 만안 온잇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</si>
  <si>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 공유오피스 안양역점]플레이스를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{ㅊㅈㄱㅁㅎㄱㅎ}
정답 : &lt;7&gt; 글자
* 정답란에 띄어쓰기 없이 입력 후 제출해주세요.</t>
  </si>
  <si>
    <t>천주교명학교회</t>
  </si>
  <si>
    <t>김포 장기동 애견미용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</si>
  <si>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4.[멍데*]플레이스를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{ㅁㄷㅍㅍ}
정답 : &lt;4&gt; 글자
* 정답란에 띄어쓰기 없이 입력 후 제출해주세요.</t>
  </si>
  <si>
    <t>모담폭포</t>
  </si>
  <si>
    <t>김포 장기동 애견미용 추천</t>
  </si>
  <si>
    <t>김포 장기동 애견미용실</t>
  </si>
  <si>
    <t>김포 장기동 애견미용실 추천</t>
  </si>
  <si>
    <t>김포 장기동 애견스파</t>
  </si>
  <si>
    <t>부산 서면 마사지샵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</si>
  <si>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4.[*리미엄 더바디 마사지샵 부산서면본점]플레이스를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{ㅈㅍㄱㄱㄱ}
정답 : &lt;5&gt; 글자
* 정답란에 띄어쓰기 없이 입력 후 제출해주세요.</t>
  </si>
  <si>
    <t>*리미엄 더바디 마사지샵 부산서면본점</t>
  </si>
  <si>
    <t>https://m.place.naver.com/place/1350449240/home</t>
  </si>
  <si>
    <t>부산 서면 마사지샵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</si>
  <si>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4.[*리미엄 더바디 마사지샵 부산서면본점]플레이스를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{ㄷㅊ}
정답 : &lt;2&gt; 글자
* 정답란에 띄어쓰기 없이 입력 후 제출해주세요.</t>
  </si>
  <si>
    <t>부산 전포역 마사지샵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</si>
  <si>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4.[*리미엄 더바디 마사지샵 부산서면본점]플레이스를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{ㄱㄹㅅ}
정답 : &lt;3&gt; 글자
* 정답란에 띄어쓰기 없이 입력 후 제출해주세요.</t>
  </si>
  <si>
    <t>부산 전포역 마사지샵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</si>
  <si>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4.[*리미엄 더바디 마사지샵 부산서면본점]플레이스를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{ㅈㅍㄷㅅㄱㅇ}
정답 : &lt;6&gt; 글자
* 정답란에 띄어쓰기 없이 입력 후 제출해주세요.</t>
  </si>
  <si>
    <t>잠실 얼굴경락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</si>
  <si>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4.[*끌라핏 잠실본점]플레이스를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{ㅅㅈㄱㄹㄱㅇ}
정답 : &lt;6&gt; 글자
* 정답란에 띄어쓰기 없이 입력 후 제출해주세요.</t>
  </si>
  <si>
    <t>잠실새내역 신부관리</t>
  </si>
  <si>
    <t>홍성 금마면 숙소 추천</t>
  </si>
  <si>
    <t>울산 작명소</t>
  </si>
  <si>
    <t>울산 철학관 작명</t>
  </si>
  <si>
    <t>남양주 변호사 법률상담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</si>
  <si>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4.[*사이혼전문 법률사무소나인 김현수변호사]플레이스를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{ㄴㅍㄹㄱㅇ}
정답 : &lt;5&gt; 글자
* 정답란에 띄어쓰기 없이 입력 후 제출해주세요.</t>
  </si>
  <si>
    <t>남양주 형사전문변호사</t>
  </si>
  <si>
    <t>남양주 형사전문변호사 추천</t>
  </si>
  <si>
    <t>남양주 개인회생 변호사</t>
  </si>
  <si>
    <t>남양주 개인회생 변호사 추천</t>
  </si>
  <si>
    <t>부천 신중동역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</si>
  <si>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4.[*천닥터스치과의원]플레이스를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{ㄷㄷㄱㄹㄱㅇ}
정답 : &lt;6&gt; 글자
* 정답란에 띄어쓰기 없이 입력 후 제출해주세요.</t>
  </si>
  <si>
    <t>도당근린공원</t>
  </si>
  <si>
    <t>부천 신중동역 치과 추천</t>
  </si>
  <si>
    <t>부천 충치잇몸신경치료</t>
  </si>
  <si>
    <t>부천 중동 사랑니 발치</t>
  </si>
  <si>
    <t>부천 중동 임플란트</t>
  </si>
  <si>
    <t>대전 이혼전문변호사 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</si>
  <si>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4.[*전이혼전문변호사 법률사무소나인 최서희대전형사전문변호사]플레이스를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{ㄷㅅㄷㄱㅇ}
정답 : &lt;5&gt; 글자
* 정답란에 띄어쓰기 없이 입력 후 제출해주세요.</t>
  </si>
  <si>
    <t>둔산대공원</t>
  </si>
  <si>
    <t>대전 조정이혼전문변호사</t>
  </si>
  <si>
    <t>대전 조정이혼전문변호사 상담</t>
  </si>
  <si>
    <t>대전 상간소송변호사</t>
  </si>
  <si>
    <t>대전 상간소송변호사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</si>
  <si>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{ㅇㅁㄹㄱ}
정답 : &lt;4&gt; 글자
* 정답란에 띄어쓰기 없이 입력 후 제출해주세요.</t>
  </si>
  <si>
    <t>용마루길</t>
  </si>
  <si>
    <t>https://docs.google.com/spreadsheets/d/1G9LyFzmEYQlY8QDF1IEPKlPFZnl0r5E60wczVAYrJYM/edit?usp=sharing</t>
  </si>
  <si>
    <t>공덕 정형외과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</si>
  <si>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{ㅇㅎㅇㄷㅌㅇ}
정답 : &lt;6&gt; 글자
* 정답란에 띄어쓰기 없이 입력 후 제출해주세요.</t>
  </si>
  <si>
    <t>아현웨딩타운</t>
  </si>
  <si>
    <t>공덕 도수치료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</si>
  <si>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{ㅅㄱㄷㅎㄱ}
정답 : &lt;5&gt; 글자
* 정답란에 띄어쓰기 없이 입력 후 제출해주세요.</t>
  </si>
  <si>
    <t>공덕 허리통증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</si>
  <si>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{ㄴㄱㅅ}
정답 : &lt;3&gt; 글자
* 정답란에 띄어쓰기 없이 입력 후 제출해주세요.</t>
  </si>
  <si>
    <t>노고산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</si>
  <si>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{ㅇㄱㄷㅅㅈㄱ}
정답 : &lt;6&gt; 글자
* 정답란에 띄어쓰기 없이 입력 후 제출해주세요.</t>
  </si>
  <si>
    <t>용강동상점가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</si>
  <si>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{ㅇㅁㄹㄷ}
정답 : &lt;4&gt; 글자
* 정답란에 띄어쓰기 없이 입력 후 제출해주세요.</t>
  </si>
  <si>
    <t>용마랜드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</si>
  <si>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{ㅂㅂㄱㅇ}
정답 : &lt;4&gt; 글자
* 정답란에 띄어쓰기 없이 입력 후 제출해주세요.</t>
  </si>
  <si>
    <t>배밭공원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</si>
  <si>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{ㅂㅎㅅㄱㄹㄱㅇ}
정답 : &lt;7&gt; 글자
* 정답란에 띄어쓰기 없이 입력 후 제출해주세요.</t>
  </si>
  <si>
    <t>봉화산근린공원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</si>
  <si>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{ㅅㄱㄱㅇ}
정답 : &lt;4&gt; 글자
* 정답란에 띄어쓰기 없이 입력 후 제출해주세요.</t>
  </si>
  <si>
    <t>송계공원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</si>
  <si>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{ㅁㅁㅊㅇㄱㅇ}
정답 : &lt;6&gt; 글자
* 정답란에 띄어쓰기 없이 입력 후 제출해주세요.</t>
  </si>
  <si>
    <t>면목체육공원</t>
  </si>
  <si>
    <t>여의도 정형외과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</si>
  <si>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{ㄷㅂㄱㅇ}
정답 : &lt;4&gt; 글자
* 정답란에 띄어쓰기 없이 입력 후 제출해주세요.</t>
  </si>
  <si>
    <t>여의나루역 정형외과 추천</t>
  </si>
  <si>
    <t>여의도 도수치료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</si>
  <si>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{ㄷㅅㄷㅂㄱㄷ}
정답 : &lt;6&gt; 글자
* 정답란에 띄어쓰기 없이 입력 후 제출해주세요.</t>
  </si>
  <si>
    <t>당산동부군당</t>
  </si>
  <si>
    <t>여의도 나의미래피부과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</si>
  <si>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4.[*의미래피부과의원]플레이스를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{ㄷㅂㄱㅇ}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</si>
  <si>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4.[*의미래피부과의원]플레이스를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{ㅇㄷㅍㄱㅇ}
정답 : &lt;5&gt; 글자
* 정답란에 띄어쓰기 없이 입력 후 제출해주세요.</t>
  </si>
  <si>
    <t>여의도 울쎄라 피부과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</si>
  <si>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4.[*의미래피부과의원]플레이스를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{ㅌㅎㅅ}
정답 : &lt;3&gt; 글자
* 정답란에 띄어쓰기 없이 입력 후 제출해주세요.</t>
  </si>
  <si>
    <t>통해사</t>
  </si>
  <si>
    <t>여의도 흉터치료 피부과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</si>
  <si>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4.[*의미래피부과의원]플레이스를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{ㅅㅂㅅ}
정답 : &lt;3&gt; 글자
* 정답란에 띄어쓰기 없이 입력 후 제출해주세요.</t>
  </si>
  <si>
    <t>여의도 백반증 피부과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</si>
  <si>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4.[*의미래피부과의원]플레이스를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{ㄴㄹㅈㅋㅂㄱㄹ}
정답 : &lt;7&gt; 글자
* 정답란에 띄어쓰기 없이 입력 후 제출해주세요.</t>
  </si>
  <si>
    <t>노량진컵밥거리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</si>
  <si>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마*지시* 일*용 커* 20매 바른*스 생*방수 에스틱* 침*커버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</si>
  <si>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마*지시* 일*용 커* 20매 바른*스 생*방수 에스틱* 침*커버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</si>
  <si>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마*지시* 일*용 커* 20매 바른*스 생*방수 에스틱* 침*커버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</si>
  <si>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마*지시* 일*용 커* 20매 바른*스 생*방수 에스틱* 침*커버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</si>
  <si>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232개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</si>
  <si>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병*침*시트 *회용 *버 20매 바*텍스 생활방* 요양*원 *의원 베개*트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</si>
  <si>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병*침*시트 *회용 *버 20매 바*텍스 생활방* 요양*원 *의원 베개*트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</si>
  <si>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병*침*시트 *회용 *버 20매 바*텍스 생활방* 요양*원 *의원 베개*트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</si>
  <si>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병*침*시트 *회용 *버 20매 바*텍스 생활방* 요양*원 *의원 베개*트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</si>
  <si>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병*침*시트 *회용 *버 20매 바*텍스 생활방* 요양*원 *의원 베개*트
 ▶판매처 : 케이리얼 마스크
 5. 찜하기 클릭
 6. 바로가기 클릭
 7. 상품 클릭
 8. 링크(url) 복사 후 정답에 붙여넣기 후 제출</t>
  </si>
  <si>
    <t>01월 05일 마감</t>
  </si>
  <si>
    <t>와인오프너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</si>
  <si>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전* 와*오프* 자동 오*너 *인따개 코*크 병따* 각*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더카인드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</si>
  <si>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와인오프너 자동 따개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</si>
  <si>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전* 와*오프* 자동 오*너 *인따개 코*크 병따* 각*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더카인드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</si>
  <si>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https://m.search.naver.com/search.naver?sm=mtp_hty.top&amp;where=m&amp;query=%EC%98%A4%ED%94%84%EB%84%88&amp;ackey=sqwj7ysi</t>
  </si>
  <si>
    <t>와인오프너 각인 따개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</si>
  <si>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전* 와*오프* 자동 오*너 *인따개 코*크 병따* 각*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더카인드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</si>
  <si>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와인오프너 전동 따개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</si>
  <si>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전* 와*오프* 자동 오*너 *인따개 코*크 병따* 각*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더카인드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</si>
  <si>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521개</t>
  </si>
  <si>
    <t>와인오프너 자동 병따개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</si>
  <si>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전* 와*오프* 자동 오*너 *인따개 코*크 병따* 각*
 ( '광고' 클릭 절대 금지 )
 ▶판매처 : 더카인드
 5. 찜하기 클릭
 6. 바로가기 클릭
 7. 상품 클릭
 8. 링크(url) 복사 후 정답에 붙여넣기 후 제출</t>
    </r>
  </si>
  <si>
    <t>무드등 심플형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</si>
  <si>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초대* 벽*로 *멍 *드등 무* *리스*스 LED(심*형 브라*S)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</si>
  <si>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무드등 초대형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</si>
  <si>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초대* 벽*로 *멍 *드등 무* *리스*스 LED(심*형 브라*S)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</si>
  <si>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https://m.search.naver.com/search.naver?sm=mtp_hty.top&amp;where=m&amp;query=%EB%AC%B4%EB%93%9C%EB%93%B1&amp;ackey=wng4ss37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</si>
  <si>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초대* 벽*로 *멍 *드등 무* *리스*스 LED(심*형 브라*S)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</si>
  <si>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무드등 초대형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</si>
  <si>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초대* 벽*로 *멍 *드등 무* *리스*스 LED(심*형 브라*S)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</si>
  <si>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무드등 초대형 불멍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</si>
  <si>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초대* 벽*로 *멍 *드등 무* *리스*스 LED(심*형 브라*S)
 ( '광고' 클릭 절대 금지 )
 ▶판매처 : 빛내는 사람들
 5. 찜하기 클릭
 6. 바로가기 클릭
 7. 상품 클릭
 8. 링크(url) 복사 후 정답에 붙여넣기 후 제출</t>
    </r>
  </si>
  <si>
    <t>개업선물 액자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</si>
  <si>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</si>
  <si>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개업선물 해바라기 그림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</si>
  <si>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</si>
  <si>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개업선물 돈들어오는 그림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</si>
  <si>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</si>
  <si>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개업선물 황금 액자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</si>
  <si>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</si>
  <si>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1,652개</t>
  </si>
  <si>
    <t>개업선물 돈나무 그림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</si>
  <si>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황* 액자(*나무) *랙 중형 *들*오는 그림 *바라* 거* 개업 *물
 ( '광고' 클릭 절대 금지 )
 ▶판매처 : 빛내는 사람들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</si>
  <si>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(4+1) 감**서 직**은 자연풍경 집인**어 카페 방**기 촬영소품 선물용 여행사진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수몬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</si>
  <si>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2월 세팅 완 ~ 2/5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</si>
  <si>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(4+1) 감**서 직**은 자연풍경 집인**어 카페 방**기 촬영소품 선물용 여행사진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수몬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</si>
  <si>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(4+1) 감**서 직**은 자연풍경 집인**어 카페 방**기 촬영소품 선물용 여행사진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수몬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</si>
  <si>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(4+1) 감**서 직**은 자연풍경 집인**어 카페 방**기 촬영소품 선물용 여행사진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수몬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</si>
  <si>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(4+1) 감**서 직**은 자연풍경 집인**어 카페 방**기 촬영소품 선물용 여행사진
 ( '광고' 클릭 절대 금지 )
 ▶판매처 : 수몬
 5. 찜하기 클릭
 6. 바로가기 클릭
 7. 상품 클릭
 8. 링크(url) 복사 후 정답에 붙여넣기 후 제출</t>
    </r>
  </si>
  <si>
    <t>수제청 멜리아우어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</si>
  <si>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</si>
  <si>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과일청 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</si>
  <si>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</si>
  <si>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https://m.search.naver.com/search.naver?sm=mtp_hty.top&amp;where=m&amp;query=%EC%88%98%EC%A0%9C%EC%B2%AD&amp;ackey=8tscwrx6</t>
  </si>
  <si>
    <t>수제청 과일청 650g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</si>
  <si>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</si>
  <si>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과일청 레몬 자몽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</si>
  <si>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</si>
  <si>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과일청 청귤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</si>
  <si>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멜**우어 수*청 과일청 선**트 650g 레몬 자몽 청귤 패션**츠 생강 답례품
 ( '광고' 클릭 절대 금지 )
 ▶판매처 : Melihour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</si>
  <si>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식**파사 꿀빠 딥*린 식*등 플리**리 눈**방지 led**등 바형 60cm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</si>
  <si>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식**파사 꿀빠 딥*린 식*등 플리**리 눈**방지 led**등 바형 60cm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</si>
  <si>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https://m.search.naver.com/search.naver?sm=mtp_hty.top&amp;where=m&amp;query=%EC%8B%9D%EB%AC%BC%EB%93%B1&amp;ackey=8tscwrx6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</si>
  <si>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식**파사 꿀빠 딥*린 식*등 플리**리 눈**방지 led**등 바형 60cm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</si>
  <si>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식**파사 꿀빠 딥*린 식*등 플리**리 눈**방지 led**등 바형 60cm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</si>
  <si>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803개</t>
  </si>
  <si>
    <t>식물등 바형 60cm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</si>
  <si>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식**파사 꿀빠 딥*린 식*등 플리**리 눈**방지 led**등 바형 60cm
 ( '광고' 클릭 절대 금지 )
 ▶판매처 : 식물전파사 공식몰
 5. 찜하기 클릭
 6. 바로가기 클릭
 7. 상품 클릭
 8. 링크(url) 복사 후 정답에 붙여넣기 후 제출</t>
    </r>
  </si>
  <si>
    <t>무선물걸레청소기 크린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</si>
  <si>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크린 무선 물***소기 극**패드 4P LE**이팅 배*리 잔**시 듀얼 무**소기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</si>
  <si>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https://smartstore.naver.com/lainzone/products/11834198651</t>
  </si>
  <si>
    <t>무선물걸레청소기크린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</si>
  <si>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크린 무선 물***소기 극**패드 4P LE**이팅 배*리 잔**시 듀얼 무**소기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</si>
  <si>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https://m.search.naver.com/search.naver?sm=mtp_hty.top&amp;where=m&amp;query=%EB%AC%B4%EC%84%A0%EB%AC%BC%EA%B1%B8%EB%A0%88%EC%B2%AD%EC%86%8C%EA%B8%B0&amp;ackey=8tscwrx6</t>
  </si>
  <si>
    <t>무선물걸레청소기 크린 라이팅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</si>
  <si>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크린 무선 물***소기 극**패드 4P LE**이팅 배*리 잔**시 듀얼 무**소기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</si>
  <si>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https://msearch.shopping.naver.com/search/all?query=%EB%AC%B4%EC%84%A0%EB%AC%BC%EA%B1%B8%EB%A0%88%EC%B2%AD%EC%86%8C%EA%B8%B0&amp;vertical=search</t>
  </si>
  <si>
    <t>무선물걸레청소기 크린 잔량표시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</si>
  <si>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크린 무선 물***소기 극**패드 4P LE**이팅 배*리 잔**시 듀얼 무**소기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</si>
  <si>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63개</t>
  </si>
  <si>
    <t>무선물걸레청소기 듀얼 크린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</si>
  <si>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보닉 크린 무선 물***소기 극**패드 4P LE**이팅 배*리 잔**시 듀얼 무**소기
 ( '광고' 클릭 절대 금지 )
 ▶판매처 : corezone
 5. 찜하기 클릭
 6. 바로가기 클릭
 7. 상품 클릭
 8. 링크(url) 복사 후 정답에 붙여넣기 후 제출</t>
    </r>
  </si>
  <si>
    <t>https://m.smartstore.naver.com/lainzone/products/11834198651</t>
  </si>
  <si>
    <t>소형건조기 보닉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</si>
  <si>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스*어 AI 미니 의류**기 4KG UV살균 소형***조기 원**조기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</si>
  <si>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https://smartstore.naver.com/lainzone/products/12012050798</t>
  </si>
  <si>
    <t>소형건조기 스퀘어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</si>
  <si>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스*어 AI 미니 의류**기 4KG UV살균 소형***조기 원**조기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</si>
  <si>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https://m.search.naver.com/search.naver?sm=mtp_hty.top&amp;where=m&amp;query=%EC%86%8C%ED%98%95%EA%B1%B4%EC%A1%B0%EA%B8%B0&amp;ackey=8tscwrx6</t>
  </si>
  <si>
    <t>소형건조기 스퀘어 AI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</si>
  <si>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스*어 AI 미니 의류**기 4KG UV살균 소형***조기 원**조기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</si>
  <si>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https://msearch.shopping.naver.com/search/all?query=%EC%86%8C%ED%98%95%EA%B1%B4%EC%A1%B0%EA%B8%B0&amp;vertical=search</t>
  </si>
  <si>
    <t>소형건조기 스퀘어 UV살균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</si>
  <si>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스*어 AI 미니 의류**기 4KG UV살균 소형***조기 원**조기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</si>
  <si>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54개</t>
  </si>
  <si>
    <t>소형건조기 보닉 4KG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</si>
  <si>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보닉 스*어 AI 미니 의류**기 4KG UV살균 소형***조기 원**조기
 ( '광고' 클릭 절대 금지 )
 ▶판매처 : corezone
 5. 찜하기 클릭
 6. 바로가기 클릭
 7. 상품 클릭
 8. 링크(url) 복사 후 정답에 붙여넣기 후 제출</t>
    </r>
  </si>
  <si>
    <t>https://m.smartstore.naver.com/lainzone/products/12012050798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</si>
  <si>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</si>
  <si>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냉동 귀뚜라미 크레스티드게코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</si>
  <si>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</si>
  <si>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https://m.search.naver.com/search.naver?sm=mtp_hty.top&amp;where=m&amp;query=%EB%83%89%EB%8F%99%20%EA%B7%80%EB%9A%9C%EB%9D%BC%EB%AF%B8&amp;ackey=8tscwrx6</t>
  </si>
  <si>
    <t>냉동 귀뚜라미 도마뱀 파충류 먹이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</si>
  <si>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</si>
  <si>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냉동 귀뚜라미 먹이용 20G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</si>
  <si>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</si>
  <si>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30개</t>
  </si>
  <si>
    <t>냉동 귀뚜라미 약 120마리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</si>
  <si>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냉동 귀**미 냉*리 크레***게코 도*뱀 파*류 먹이 먹*용 중 20g 약 120*리
 ( '광고' 클릭 절대 금지 )
 ▶판매처 : 랩티케어
 5. 찜하기 클릭
 6. 바로가기 클릭
 7. 상품 클릭
 8. 링크(url) 복사 후 정답에 붙여넣기 후 제출</t>
    </r>
  </si>
  <si>
    <t>쌍별귀뚜라미 살아있는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</si>
  <si>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쌍**뚜라미 귀**미 도마뱀 파*류 살**는 먹이 크레스**게코 먹*용 소 50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</si>
  <si>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https://smartstore.naver.com/healthproud/products/12446318318</t>
  </si>
  <si>
    <t>쌍별귀뚜라미 크레스티드게코 먹이용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</si>
  <si>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쌍**뚜라미 귀**미 도마뱀 파*류 살**는 먹이 크레스**게코 먹*용 소 50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</si>
  <si>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https://m.search.naver.com/search.naver?sm=mtp_hty.top&amp;where=m&amp;query=%EC%8C%8D%EB%B3%84%EA%B7%80%EB%9A%9C%EB%9D%BC%EB%AF%B8&amp;ackey=8tscwrx6</t>
  </si>
  <si>
    <t>쌍별귀뚜라미 소 50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</si>
  <si>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쌍**뚜라미 귀**미 도마뱀 파*류 살**는 먹이 크레스**게코 먹*용 소 50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</si>
  <si>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https://msearch.shopping.naver.com/search/all?query=%EC%8C%8D%EB%B3%84%EA%B7%80%EB%9A%9C%EB%9D%BC%EB%AF%B8&amp;vertical=search</t>
  </si>
  <si>
    <t>쌍별귀뚜라미 도마뱀 먹이용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</si>
  <si>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쌍**뚜라미 귀**미 도마뱀 파*류 살**는 먹이 크레스**게코 먹*용 소 50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</si>
  <si>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807개</t>
  </si>
  <si>
    <t>쌍별귀뚜라미 살아있는 먹이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</si>
  <si>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쌍**뚜라미 귀**미 도마뱀 파*류 살**는 먹이 크레스**게코 먹*용 소 50
 ( '광고' 클릭 절대 금지 )
 ▶판매처 : 랩티케어
 5. 찜하기 클릭
 6. 바로가기 클릭
 7. 상품 클릭
 8. 링크(url) 복사 후 정답에 붙여넣기 후 제출</t>
    </r>
  </si>
  <si>
    <t>https://m.smartstore.naver.com/healthproud/products/12446318318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</si>
  <si>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</si>
  <si>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</si>
  <si>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</si>
  <si>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</si>
  <si>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276개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</si>
  <si>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알*CD 순*100% 지*흡*배출 닥*이* 이*핏 알파*디 식*섬유 쾌* 60정, 3개
 ( '광고' 클릭 절대 금지 )
 ▶판매처 : 닥터이지케어랩
 5. 찜하기 클릭
 6. 바로가기 클릭
 7. 상품 클릭
 8. 링크(url) 복사 후 정답에 붙여넣기 후 제출</t>
    </r>
  </si>
  <si>
    <t>2월 세팅 완 ~ 2/4</t>
  </si>
  <si>
    <t>명지국제신도시 꽃집 유화당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</si>
  <si>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4.[유화*]플레이스를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{ㄴㅈㅈ}
정답 : &lt;3&gt; 글자
* 정답란에 띄어쓰기 없이 입력 후 제출해주세요.</t>
  </si>
  <si>
    <t>낙조정</t>
  </si>
  <si>
    <t>유화*</t>
  </si>
  <si>
    <t>https://m.place.naver.com/place/1334932704/home?entry=pll</t>
  </si>
  <si>
    <t>명지국제신도시 유화당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</si>
  <si>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4.[유화*]플레이스를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{ㄴㄷㄱㄹㄲㄱㅇ}
정답 : &lt;7&gt; 글자
* 정답란에 띄어쓰기 없이 입력 후 제출해주세요.</t>
  </si>
  <si>
    <t>낙동가람끝공원</t>
  </si>
  <si>
    <t>부산 명지동 꽃집 유화당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</si>
  <si>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4.[유화*]플레이스를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{ㅇㅅㄷ}
정답 : &lt;3&gt; 글자
* 정답란에 띄어쓰기 없이 입력 후 제출해주세요.</t>
  </si>
  <si>
    <t>태전동 영어 링고브릿지 어학원 본관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</si>
  <si>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4.[*고브릿지 어학원 본관]플레이스를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{ㄷㄹㄱㄹㄱㅇ}
정답 : &lt;6&gt; 글자
* 정답란에 띄어쓰기 없이 입력 후 제출해주세요.</t>
  </si>
  <si>
    <t>도람근린공원</t>
  </si>
  <si>
    <t>*고브릿지 어학원 본관</t>
  </si>
  <si>
    <t>https://m.place.naver.com/place/1306675017/home</t>
  </si>
  <si>
    <t>태전동 링고브릿지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</si>
  <si>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4.[*고브릿지 어학원 본관]플레이스를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{ㄱㅇㅊ}
정답 : &lt;3&gt; 글자
* 정답란에 띄어쓰기 없이 입력 후 제출해주세요.</t>
  </si>
  <si>
    <t>경안천</t>
  </si>
  <si>
    <t>태전동 링고브릿지 어학원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</si>
  <si>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4.[*고브릿지 어학원 본관]플레이스를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{ㅇㅊㅈㅅㅈ}
정답 : &lt;5&gt; 글자
* 정답란에 띄어쓰기 없이 입력 후 제출해주세요.</t>
  </si>
  <si>
    <t>양촌저수지</t>
  </si>
  <si>
    <t>수원 지니클린 특수청소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</si>
  <si>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4.[특수청*]플레이스를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{ㅊㅈㄱㅇ}
정답 : &lt;4&gt; 글자
* 정답란에 띄어쓰기 없이 입력 후 제출해주세요.</t>
  </si>
  <si>
    <t>청정공원</t>
  </si>
  <si>
    <t>특수청*</t>
  </si>
  <si>
    <t>https://m.place.naver.com/place/2097804489/home?entry=pll</t>
  </si>
  <si>
    <t>권선구 지니클린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</si>
  <si>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4.[특수청*]플레이스를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{ㅇㅊㄹㅊ}
정답 : &lt;4&gt; 글자
* 정답란에 띄어쓰기 없이 입력 후 제출해주세요.</t>
  </si>
  <si>
    <t>원천리천</t>
  </si>
  <si>
    <t>권선동 지니클린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</si>
  <si>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4.[특수청*]플레이스를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{ㅅㅇㄱㄱㄱㄹ}
정답 : &lt;6&gt; 글자
* 정답란에 띄어쓰기 없이 입력 후 제출해주세요.</t>
  </si>
  <si>
    <t>수원가구거리</t>
  </si>
  <si>
    <t>수원 지니클린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</si>
  <si>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4.[특수청*]플레이스를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{ㄱㅂㄴㄹㄱㅇ}
정답 : &lt;6&gt; 글자
* 정답란에 띄어쓰기 없이 입력 후 제출해주세요.</t>
  </si>
  <si>
    <t>글빛누리공원</t>
  </si>
  <si>
    <t>수원 특수청소 지니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</si>
  <si>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4.[특수청*]플레이스를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{ㅁㅇㅇㄱㄹㄱㅇ}
정답 : &lt;7&gt; 글자
* 정답란에 띄어쓰기 없이 입력 후 제출해주세요.</t>
  </si>
  <si>
    <t>매여울근린공원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</si>
  <si>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4.[누리한우*]플레이스를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{ㅈㅇㅅㅈㅁㅂㄱ}
정답 : &lt;7&gt; 글자
* 정답란에 띄어쓰기 없이 입력 후 제출해주세요.</t>
  </si>
  <si>
    <t>누리한우*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</si>
  <si>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4.[누리한우*]플레이스를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{ㅈㅇㅅ}
정답 : &lt;3&gt;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</si>
  <si>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4.[누리한우*]플레이스를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{ㅅㅂㅇㅂㅇㅎ}
정답 : &lt;6&gt; 글자
* 정답란에 띄어쓰기 없이 입력 후 제출해주세요.</t>
  </si>
  <si>
    <t>광명 사랑니 치과</t>
  </si>
  <si>
    <t>철산역 치과</t>
  </si>
  <si>
    <t>전포 마파두부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</si>
  <si>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4.[*파로우]플레이스를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{ㅈㅍㄷㅅㄱㅇ}
정답 : &lt;6&gt; 글자
* 정답란에 띄어쓰기 없이 입력 후 제출해주세요.</t>
  </si>
  <si>
    <t>*파로우</t>
  </si>
  <si>
    <t>https://m.place.naver.com/restaurant/2090588135/home</t>
  </si>
  <si>
    <t>전포 마파두부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</si>
  <si>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4.[*파로우]플레이스를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{ㄷㅊ}
정답 : &lt;2&gt; 글자
* 정답란에 띄어쓰기 없이 입력 후 제출해주세요.</t>
  </si>
  <si>
    <t>전포역 마파두부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</si>
  <si>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4.[*파로우]플레이스를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{ㄱㄹㅅ}
정답 : &lt;3&gt; 글자
* 정답란에 띄어쓰기 없이 입력 후 제출해주세요.</t>
  </si>
  <si>
    <t>전포역 마파두부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</si>
  <si>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4.[*파로우]플레이스를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{ㅎㅈㅅ}
정답 : &lt;3&gt; 글자
* 정답란에 띄어쓰기 없이 입력 후 제출해주세요.</t>
  </si>
  <si>
    <t>홍제사</t>
  </si>
  <si>
    <t>전포 마파두부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</si>
  <si>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4.[*파로우]플레이스를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{ㅇㅊㅇ}
정답 : &lt;3&gt; 글자
* 정답란에 띄어쓰기 없이 입력 후 제출해주세요.</t>
  </si>
  <si>
    <t>옥천암</t>
  </si>
  <si>
    <t>청라 자석네일샵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</si>
  <si>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4.[*미무드네일]플레이스를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{ㅂㅇㅈㄱㅇ}
정답 : &lt;5&gt; 글자
* 정답란에 띄어쓰기 없이 입력 후 제출해주세요.</t>
  </si>
  <si>
    <t>봉오재공원</t>
  </si>
  <si>
    <t>청라 자석네일샵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</si>
  <si>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4.[*미무드네일]플레이스를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{ㅍㄹㄱㅇ}
정답 : &lt;4&gt; 글자
* 정답란에 띄어쓰기 없이 입력 후 제출해주세요.</t>
  </si>
  <si>
    <t>포리공원</t>
  </si>
  <si>
    <t>대구 월성동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</si>
  <si>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4.[*성마디안의원]플레이스를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{ㅅㄷㅁㄷㄱㄹㄱㅇ}
정답 : &lt;8&gt; 글자
* 정답란에 띄어쓰기 없이 입력 후 제출해주세요.</t>
  </si>
  <si>
    <t>선돌마당근린공원</t>
  </si>
  <si>
    <t>*성마디안의원</t>
  </si>
  <si>
    <t>https://m.place.naver.com/hospital/1991492141/home</t>
  </si>
  <si>
    <t>대구 월성동 허리통증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</si>
  <si>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4.[*성마디안의원]플레이스를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{ㄷㅊㅅㄷ}
정답 : &lt;4&gt; 글자
* 정답란에 띄어쓰기 없이 입력 후 제출해주세요.</t>
  </si>
  <si>
    <t>대천성당</t>
  </si>
  <si>
    <t>대구 월성동 어깨통증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</si>
  <si>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4.[*성마디안의원]플레이스를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{ㅎㅅㄱㅇ}
정답 : &lt;4&gt; 글자
* 정답란에 띄어쓰기 없이 입력 후 제출해주세요.</t>
  </si>
  <si>
    <t>학산공원</t>
  </si>
  <si>
    <t>대구 월성동 무릎통증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</si>
  <si>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4.[*성마디안의원]플레이스를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{ㅁㅅㅇㅊ}
정답 : &lt;4&gt; 글자
* 정답란에 띄어쓰기 없이 입력 후 제출해주세요.</t>
  </si>
  <si>
    <t>미성온천</t>
  </si>
  <si>
    <t>대구 월성동 정형외과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</si>
  <si>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4.[*성마디안의원]플레이스를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{ㅎㅅ}
정답 : &lt;2&gt; 글자
* 정답란에 띄어쓰기 없이 입력 후 제출해주세요.</t>
  </si>
  <si>
    <t>학산</t>
  </si>
  <si>
    <t>부평역 사진관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</si>
  <si>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4.[*냅스타일 부평본점]플레이스를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{ㅂㅇㄱㅇ}
정답 : &lt;4&gt; 글자
* 정답란에 띄어쓰기 없이 입력 후 제출해주세요.</t>
  </si>
  <si>
    <t>*냅스타일 부평본점</t>
  </si>
  <si>
    <t>https://m.place.naver.com/place/1780819968/home?entry=pll</t>
  </si>
  <si>
    <t>부평역 여권사진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</si>
  <si>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4.[*냅스타일 부평본점]플레이스를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</si>
  <si>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부평역 여권사진</t>
  </si>
  <si>
    <t>부평역 증명사진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</si>
  <si>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4.[*냅스타일 부평본점]플레이스를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{ㅎㅁㅊㅇㄱㅇ}
정답 : &lt;6&gt; 글자
* 정답란에 띄어쓰기 없이 입력 후 제출해주세요.</t>
  </si>
  <si>
    <t>부평역 프로필사진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</si>
  <si>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4.[*냅스타일 부평본점]플레이스를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{ㄷㅊㄱㅇ}
정답 : &lt;4&gt; 글자
* 정답란에 띄어쓰기 없이 입력 후 제출해주세요.</t>
  </si>
  <si>
    <t>광안리 브런치카페</t>
  </si>
  <si>
    <t>금련산역 브런치카페</t>
  </si>
  <si>
    <t>수영구 브런치카페</t>
  </si>
  <si>
    <t>서면 라미네이트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</si>
  <si>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4.[*지털아트치과의원 서면]플레이스를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{ㄱㄹㅅ}
정답 : &lt;3&gt; 글자
* 정답란에 띄어쓰기 없이 입력 후 제출해주세요.</t>
  </si>
  <si>
    <t>*지털아트치과의원 서면</t>
  </si>
  <si>
    <t>https://m.place.naver.com/hospital/37933246/home?entry=pll</t>
  </si>
  <si>
    <t>서면 임플란트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</si>
  <si>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4.[*지털아트치과의원 서면]플레이스를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{ㅅㅅㅎㄱㅈ}
정답 : &lt;5&gt; 글자
* 정답란에 띄어쓰기 없이 입력 후 제출해주세요.</t>
  </si>
  <si>
    <t>서면 치과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</si>
  <si>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4.[*지털아트치과의원 서면]플레이스를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{ㅍㄱㅅ}
정답 : &lt;3&gt; 글자
* 정답란에 띄어쓰기 없이 입력 후 제출해주세요.</t>
  </si>
  <si>
    <t>팔금산</t>
  </si>
  <si>
    <t>서면역 임플란트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</si>
  <si>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4.[*지털아트치과의원 서면]플레이스를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{ㅂㅇㅅ}
정답 : &lt;3&gt; 글자
* 정답란에 띄어쓰기 없이 입력 후 제출해주세요.</t>
  </si>
  <si>
    <t>백일사</t>
  </si>
  <si>
    <t>서면역 라미네이트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</si>
  <si>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4.[*지털아트치과의원 서면]플레이스를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{ㄴㄴㅇㄱ}
정답 : &lt;4&gt; 글자
* 정답란에 띄어쓰기 없이 입력 후 제출해주세요.</t>
  </si>
  <si>
    <t>누나의길</t>
  </si>
  <si>
    <t>문래동 브런치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</si>
  <si>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4.[영길*]플레이스를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{ㄷㄹㅊ}
정답 : &lt;3&gt; 글자
* 정답란에 띄어쓰기 없이 입력 후 제출해주세요.</t>
  </si>
  <si>
    <t>영길*</t>
  </si>
  <si>
    <t>문래동 브런치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</si>
  <si>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4.[영길*]플레이스를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{ㅁㄹㅅㄱㅇ}
정답 : &lt;5&gt; 글자
* 정답란에 띄어쓰기 없이 입력 후 제출해주세요.</t>
  </si>
  <si>
    <t>문래동 파스타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</si>
  <si>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4.[영길*]플레이스를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{ㄱㅈㅇㅅㅁㅎㄱㄹ}
정답 : &lt;8&gt; 글자
* 정답란에 띄어쓰기 없이 입력 후 제출해주세요.</t>
  </si>
  <si>
    <t>국제음식문화거리</t>
  </si>
  <si>
    <t>문래동 파스타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</si>
  <si>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4.[영길*]플레이스를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{ㄷㅅㄷㅅㄷ}
정답 : &lt;5&gt; 글자
* 정답란에 띄어쓰기 없이 입력 후 제출해주세요.</t>
  </si>
  <si>
    <t>당산동성당</t>
  </si>
  <si>
    <t>문래동 브런치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</si>
  <si>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4.[영길*]플레이스를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{ㄷㅅㄱㅇ}
정답 : &lt;4&gt; 글자
* 정답란에 띄어쓰기 없이 입력 후 제출해주세요.</t>
  </si>
  <si>
    <t>당산공원</t>
  </si>
  <si>
    <t>문래역 브런치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</si>
  <si>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4.[영길*]플레이스를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{ㄱㄹㄱㄹㄱㅇ}
정답 : &lt;6&gt; 글자
* 정답란에 띄어쓰기 없이 입력 후 제출해주세요.</t>
  </si>
  <si>
    <t>구로거리공원</t>
  </si>
  <si>
    <t>문래역 브런치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</si>
  <si>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4.[영길*]플레이스를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{ㅇㄷㅍㄱㅇ}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</si>
  <si>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4.[영길*]플레이스를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{ㅇㅇㅊㅊㅇㄱㅇ}
정답 : &lt;7&gt; 글자
* 정답란에 띄어쓰기 없이 입력 후 제출해주세요.</t>
  </si>
  <si>
    <t>안양천체육공원</t>
  </si>
  <si>
    <t>01월 06일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</si>
  <si>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</si>
  <si>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</si>
  <si>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</si>
  <si>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</si>
  <si>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Bonne Yajou
 5. 찜하기 클릭
 6. 바로가기 클릭
 7. 상품 클릭
 8. 링크(url) 복사 후 정답에 붙여넣기 후 제출</t>
    </r>
  </si>
  <si>
    <t>남자 리얼 무스탕 로은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</si>
  <si>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로* 클*식 빈*지 B-3 리* *어링 남자 무*탕 브라*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</si>
  <si>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로* 클*식 빈*지 B-3 리* *어링 남자 무*탕 브라*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</si>
  <si>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https://m.search.naver.com/search.naver?sm=mtp_hty.top&amp;where=m&amp;query=%EB%82%A8%EC%9E%90+%EB%A6%AC%EC%96%BC+%EB%AC%B4%EC%8A%A4%ED%83%95&amp;ackey=jl6laupe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</si>
  <si>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로* 클*식 빈*지 B-3 리* *어링 남자 무*탕 브라*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</si>
  <si>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https://msearch.shopping.naver.com/search/all?query=%EB%82%A8%EC%9E%90%20%EB%A6%AC%EC%96%BC%20%EB%AC%B4%EC%8A%A4%ED%83%95&amp;vertical=search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</si>
  <si>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로* 클*식 빈*지 B-3 리* *어링 남자 무*탕 브라*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</si>
  <si>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남자 리얼 무스탕 시어링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</si>
  <si>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로* 클*식 빈*지 B-3 리* *어링 남자 무*탕 브라*
 ( '광고' 클릭 절대 금지 )
 ▶판매처 : 로은
 5. 찜하기 클릭
 6. 바로가기 클릭
 7. 상품 클릭
 8. 링크(url) 복사 후 정답에 붙여넣기 후 제출</t>
    </r>
  </si>
  <si>
    <t>여자 리얼 무스탕 B-3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</si>
  <si>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로* 리얼 *자 무*탕 숏 B-3 시어*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</si>
  <si>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https://smartstore.naver.com/25/products/12702861805</t>
  </si>
  <si>
    <t>여자 리얼 무스탕 로은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</si>
  <si>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로* 리얼 *자 무*탕 숏 B-3 시어*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</si>
  <si>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https://m.search.naver.com/search.naver?sm=mtp_hty.top&amp;where=m&amp;query=%EC%97%AC%EC%9E%90+%EB%A6%AC%EC%96%BC+%EB%AC%B4%EC%8A%A4%ED%83%95&amp;ackey=p9sg494d</t>
  </si>
  <si>
    <t>여자 리얼 무스탕 로은 시어링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</si>
  <si>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로* 리얼 *자 무*탕 숏 B-3 시어*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</si>
  <si>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https://msearch.shopping.naver.com/search/all?query=%EC%97%AC%EC%9E%90%20%EB%A6%AC%EC%96%BC%20%EB%AC%B4%EC%8A%A4%ED%83%95&amp;vertical=search</t>
  </si>
  <si>
    <t>여자 리얼 무스탕 로은 B-3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</si>
  <si>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로* 리얼 *자 무*탕 숏 B-3 시어*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</si>
  <si>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140개</t>
  </si>
  <si>
    <t>여자 리얼 무스탕 로은 숏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</si>
  <si>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로* 리얼 *자 무*탕 숏 B-3 시어*
 ( '광고' 클릭 절대 금지 )
 ▶판매처 : 로은
 5. 찜하기 클릭
 6. 바로가기 클릭
 7. 상품 클릭
 8. 링크(url) 복사 후 정답에 붙여넣기 후 제출</t>
    </r>
  </si>
  <si>
    <r>
      <rPr>
        <u/>
        <sz val="0"/>
        <color rgb="FF1155CC"/>
        <rFont val="Arial"/>
      </rPr>
      <t>https://m.smartstore.naver.com/25/products/12702861805</t>
    </r>
    <r>
      <rPr>
        <sz val="0"/>
        <color rgb="FF000000"/>
        <rFont val="Arial"/>
      </rPr>
      <t>5</t>
    </r>
  </si>
  <si>
    <t>장아찌 와사비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</si>
  <si>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</si>
  <si>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장아찌 와사비 300g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</si>
  <si>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</si>
  <si>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장아찌 잎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</si>
  <si>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</si>
  <si>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</si>
  <si>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장아찌 고추냉이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</si>
  <si>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슈*와사* 태* 고*냉이 잎 장*찌 300g
 ( '광고' 클릭 절대 금지 )
 ▶판매처 : 슈퍼와사비
 5. 찜하기 클릭
 6. 바로가기 클릭
 7. 상품 클릭
 8. 링크(url) 복사 후 정답에 붙여넣기 후 제출</t>
    </r>
  </si>
  <si>
    <t>쇼핑백 제작 200매 행사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</si>
  <si>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</si>
  <si>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</si>
  <si>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관공서 종이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</si>
  <si>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</si>
  <si>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병원 가방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</si>
  <si>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</si>
  <si>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451개</t>
  </si>
  <si>
    <t>쇼핑백 제작 소량 200매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</si>
  <si>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소량 쇼*백 로* 인쇄 *문 제작 *원 관공* 행사 *이 가* 200매 *매-A
 ( '광고' 클릭 절대 금지 )
 ▶판매처 : 다잇다인쇄
 5. 찜하기 클릭
 6. 바로가기 클릭
 7. 상품 클릭
 8. 링크(url) 복사 후 정답에 붙여넣기 후 제출</t>
    </r>
  </si>
  <si>
    <t>https://m.place.naver.com/place/1787421161/home?entry=pl</t>
  </si>
  <si>
    <t>청담세차 하이퍼 청담</t>
  </si>
  <si>
    <t>압구정세차 하이퍼 청담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</si>
  <si>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4.[*이퍼 청담]플레이스를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{ㅅㅌㄱㄹㄱㅇ}
정답 : &lt;6&gt; 글자
* 정답란에 띄어쓰기 없이 입력 후 제출해주세요.</t>
  </si>
  <si>
    <t>논현세차 하이퍼 청담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</si>
  <si>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4.[*이퍼 청담]플레이스를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{ㅅㅅㅁㄹㄱㅇ}
정답 : &lt;6&gt; 글자
* 정답란에 띄어쓰기 없이 입력 후 제출해주세요.</t>
  </si>
  <si>
    <t>청담동 세차장 하이퍼 청담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</si>
  <si>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4.[*이퍼 청담]플레이스를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{ㅅㅅㅁㄱㅎㄱㅇ}
정답 : &lt;7&gt; 글자
* 정답란에 띄어쓰기 없이 입력 후 제출해주세요.</t>
  </si>
  <si>
    <t>2월 세팅 완~ 2/5</t>
  </si>
  <si>
    <t>경주미용실 메종드떼뜨 경주석장점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</si>
  <si>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4.[*종드떼뜨 경주석장점]플레이스를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{ㅎㅅㄱㅇ}
정답 : &lt;4&gt; 글자
* 정답란에 띄어쓰기 없이 입력 후 제출해주세요.</t>
  </si>
  <si>
    <t>황성공원</t>
  </si>
  <si>
    <t>*종드떼뜨 경주석장점</t>
  </si>
  <si>
    <t>https://m.place.naver.com/hairshop/1602914550/home?entry=plt</t>
  </si>
  <si>
    <t>경주 석장동 메종드떼뜨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</si>
  <si>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4.[*종드떼뜨 경주석장점]플레이스를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{ㅎㅅㅅㄷ}
정답 : &lt;4&gt; 글자
* 정답란에 띄어쓰기 없이 입력 후 제출해주세요.</t>
  </si>
  <si>
    <t>황성성당</t>
  </si>
  <si>
    <t>메종드떼뜨 경주석장점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</si>
  <si>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4.[*종드떼뜨 경주석장점]플레이스를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{ㅎㅇㅁ}
정답 : &lt;3&gt; 글자
* 정답란에 띄어쓰기 없이 입력 후 제출해주세요.</t>
  </si>
  <si>
    <t>향일문</t>
  </si>
  <si>
    <t>수원역 카페</t>
  </si>
  <si>
    <t>2월 세팅 완~ 2/8</t>
  </si>
  <si>
    <t>수원역 카페 추천</t>
  </si>
  <si>
    <t>수원역 디저트 카페</t>
  </si>
  <si>
    <t>방이동 사시미</t>
  </si>
  <si>
    <t>https://m.place.naver.com/restaurant/1569423756/home?entry=pll</t>
  </si>
  <si>
    <t>방이동 모츠나베</t>
  </si>
  <si>
    <t>방이동 이자카야 예약</t>
  </si>
  <si>
    <t>서면 전체임플란트</t>
  </si>
  <si>
    <t>서면 전체임플란트 치과</t>
  </si>
  <si>
    <t>서면 디지털아트치과</t>
  </si>
  <si>
    <t>서면 라미네이트 치과</t>
  </si>
  <si>
    <t>서면 라미네이트 예약</t>
  </si>
  <si>
    <t>서면역 디지털아트치과</t>
  </si>
  <si>
    <t>서면 전체임플란트 예약</t>
  </si>
  <si>
    <t>서면역 전체임플란트</t>
  </si>
  <si>
    <t>서면역 전체임플란트 예약</t>
  </si>
  <si>
    <t>서면역 전체임플란트 치과</t>
  </si>
  <si>
    <t>고성동 이자카야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</si>
  <si>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4.[고*]플레이스를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{ㅇㅌㅂㅇㄱㅁ}
정답 : &lt;6&gt; 글자
* 정답란에 띄어쓰기 없이 입력 후 제출해주세요.</t>
  </si>
  <si>
    <t>오토바이골목</t>
  </si>
  <si>
    <t>고*</t>
  </si>
  <si>
    <t>https://m.place.naver.com/restaurant/1821009327/home</t>
  </si>
  <si>
    <t>고성동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</si>
  <si>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4.[고*]플레이스를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{ㅂㅅㄱㄱㄱㅁ}
정답 : &lt;6&gt; 글자
* 정답란에 띄어쓰기 없이 입력 후 제출해주세요.</t>
  </si>
  <si>
    <t>북성공구골목</t>
  </si>
  <si>
    <t>북구청역 이자카야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</si>
  <si>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4.[고*]플레이스를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{ㅇㅂㅅ}
정답 : &lt;3&gt; 글자
* 정답란에 띄어쓰기 없이 입력 후 제출해주세요.</t>
  </si>
  <si>
    <t>오봉사</t>
  </si>
  <si>
    <t>북구청역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</si>
  <si>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4.[고*]플레이스를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{ㄷㅇㅅㄷ}
정답 : &lt;4&gt; 글자
* 정답란에 띄어쓰기 없이 입력 후 제출해주세요.</t>
  </si>
  <si>
    <t>고성동 일식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</si>
  <si>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4.[고*]플레이스를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{ㅅㅁㄹㅌㅇㄱㄹ}
정답 : &lt;7&gt; 글자
* 정답란에 띄어쓰기 없이 입력 후 제출해주세요.</t>
  </si>
  <si>
    <t>서문로타올거리</t>
  </si>
  <si>
    <t>맨발걷기신발 접지 어싱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</si>
  <si>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맨*걷기*발 접지 *싱 겨*용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맨딩공식몰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</si>
  <si>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맨딩공식몰</t>
  </si>
  <si>
    <t>https://smartstore.naver.com/mendinghll001/products/12450103863</t>
  </si>
  <si>
    <t>맨발걷기신발 겨울용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</si>
  <si>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맨*걷기*발 접지 *싱 겨*용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맨딩공식몰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</si>
  <si>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https://m.search.naver.com/search.naver?sm=mtp_hty.top&amp;where=m&amp;query=%EB%A7%A8%EB%B0%9C%EA%B1%B7%EA%B8%B0%EC%8B%A0%EB%B0%9C&amp;ackey=0z4zu9iq</t>
  </si>
  <si>
    <t>맨발걷기신발 접지 겨울용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</si>
  <si>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맨*걷기*발 접지 *싱 겨*용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맨딩공식몰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</si>
  <si>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https://msearch.shopping.naver.com/search/all?query=%EB%A7%A8%EB%B0%9C%EA%B1%B7%EA%B8%B0%EC%8B%A0%EB%B0%9C&amp;vertical=search</t>
  </si>
  <si>
    <t>맨발걷기신발 어싱 겨울용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</si>
  <si>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맨*걷기*발 접지 *싱 겨*용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맨딩공식몰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</si>
  <si>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4개</t>
  </si>
  <si>
    <t>맨발걷기신발 접지 어싱 겨울용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</si>
  <si>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맨*걷기*발 접지 *싱 겨*용
 ( '광고' 클릭 절대 금지 )
 ▶판매처 : 맨딩공식몰
 5. 찜하기 클릭
 6. 바로가기 클릭
 7. 상품 클릭
 8. 링크(url) 복사 후 정답에 붙여넣기 후 제출</t>
    </r>
  </si>
  <si>
    <t>https://m.smartstore.naver.com/mendinghll001/products/12450103863</t>
  </si>
  <si>
    <t>01월 07일 마감</t>
  </si>
  <si>
    <t>대구 이혼전문변호사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</si>
  <si>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"법무법인그날-knal.kr"을 찾아주세요.
5. "대구이혼전문변호사 | 이혼상담 - 법무법인그날"을 클릭해주세요.
6. 사이트 방문 후 우측 상단 "☰(삼선) -&gt; 로펌소개 -&gt; 인사말"를 클릭해주세요.
7. [ 힌트 ] 를 보고 정답을 찾아주세요.
8. 초성힌트 : [ 상처입은 OOO의 마음까지 책임지는 법무법인 그날에 오신 것을 환영합니다. ]
정답 : &lt;3&gt;  글자
* 정답란에 - 포함하여 띄어쓰기 없이 입력 후 제출해주세요.</t>
  </si>
  <si>
    <t>옷장 키큰 양문 1000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</si>
  <si>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</si>
  <si>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</si>
  <si>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</si>
  <si>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모노 양문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</si>
  <si>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</si>
  <si>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329개</t>
  </si>
  <si>
    <t>옷장 키큰 모노 양문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</si>
  <si>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라*가구 *드 키* 모노 *문 옷* 1000
 ( '광고' 클릭 절대 금지 )
 ▶판매처 : 라자가구 스토어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</si>
  <si>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</si>
  <si>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슬라이딩 행거형 1200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</si>
  <si>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</si>
  <si>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1200 라자가구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</si>
  <si>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</si>
  <si>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빅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</si>
  <si>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</si>
  <si>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303개</t>
  </si>
  <si>
    <t>옷장 라자가구 jy195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</si>
  <si>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라**구 위드 빅 1**0 슬라이딩 옷장 행거형 j*195
 ( '광고' 클릭 절대 금지 )
 ▶판매처 : 라자가구 스토어
 5. 찜하기 클릭
 6. 바로가기 클릭
 7. 상품 클릭
 8. 링크(url) 복사 후 정답에 붙여넣기 후 제출</t>
    </r>
  </si>
  <si>
    <t>침대 ISG041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</si>
  <si>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</si>
  <si>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LED C형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</si>
  <si>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</si>
  <si>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</si>
  <si>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수납 프레임 C형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</si>
  <si>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</si>
  <si>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396개</t>
  </si>
  <si>
    <t>침대 SS 프레임 C형</t>
  </si>
  <si>
    <t>원목침대 프레임 파로마 비엘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</si>
  <si>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</si>
  <si>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원목침대 4서랍 프레임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</si>
  <si>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</si>
  <si>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수납침대 프레임 파로마 비엘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</si>
  <si>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</si>
  <si>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수납침대 4서랍 프레임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</si>
  <si>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</si>
  <si>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621개</t>
  </si>
  <si>
    <t>수납침대 원목 프레임 슈퍼싱글 내추럴</t>
  </si>
  <si>
    <t>헤나염색약 인도농장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</si>
  <si>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</si>
  <si>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</si>
  <si>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</si>
  <si>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헤나염색약 로소니아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</si>
  <si>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</si>
  <si>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191개</t>
  </si>
  <si>
    <t>헤나염색약 2.75%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</si>
  <si>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인*농장 *송 골*포션 천* 헤나 *색약 가* 로소*아 2.75%
 ( '광고' 클릭 절대 금지 )
 ▶판매처 : 헤어스페셜
 5. 찜하기 클릭
 6. 바로가기 클릭 
 7. 상품 클릭
 8. 링크(url) 복사 후 정답에 붙여넣기 후 제출</t>
    </r>
  </si>
  <si>
    <t>골프백항공커버 일체형 맥컬티 오렌지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</si>
  <si>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*컬티 *프 백 *공커버 *디백 *탠드 *퀴형 *두 *환 *우치 *체형 01. *리 *렌지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</si>
  <si>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https://smartstore.naver.com/mackulty/products/9512612920</t>
  </si>
  <si>
    <t>골프백항공커버 바퀴형 맥컬티 오렌지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</si>
  <si>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*컬티 *프 백 *공커버 *디백 *탠드 *퀴형 *두 *환 *우치 *체형 01. *리 *렌지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</si>
  <si>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골프백항공커버 파우치 맥컬티 오렌지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</si>
  <si>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*컬티 *프 백 *공커버 *디백 *탠드 *퀴형 *두 *환 *우치 *체형 01. *리 *렌지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</si>
  <si>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골프백항공커버 스탠드 맥컬티 오렌지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</si>
  <si>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*컬티 *프 백 *공커버 *디백 *탠드 *퀴형 *두 *환 *우치 *체형 01. *리 *렌지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</si>
  <si>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1,115개</t>
  </si>
  <si>
    <t>골프백항공커버 파우치 일체형 맥컬티 오렌지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</si>
  <si>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*컬티 *프 백 *공커버 *디백 *탠드 *퀴형 *두 *환 *우치 *체형 01. *리 *렌지
 ( '광고' 클릭 절대 금지 )
 ▶판매처 : MacKulty
 5. 찜하기 클릭
 6. 바로가기 클릭
 7. 상품 클릭
 8. 링크(url) 복사 후 정답에 붙여넣기 후 제출</t>
    </r>
  </si>
  <si>
    <t>청주 중문 루틴중문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</si>
  <si>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4.[*틴중문]플레이스를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{ㅂㅅㄱㅇ}
정답 : &lt;4&gt; 글자
* 정답란에 띄어쓰기 없이 입력 후 제출해주세요.</t>
  </si>
  <si>
    <t>발산공원</t>
  </si>
  <si>
    <t>*틴중문</t>
  </si>
  <si>
    <t>https://m.place.naver.com/restaurant/2028846509/home</t>
  </si>
  <si>
    <t>청주 루틴중문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</si>
  <si>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4.[*틴중문]플레이스를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{ㅊㅂㄷㅎㄱ}
정답 : &lt;5&gt; 글자
* 정답란에 띄어쓰기 없이 입력 후 제출해주세요.</t>
  </si>
  <si>
    <t>충북대학교</t>
  </si>
  <si>
    <t>성화동 루틴중문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</si>
  <si>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4.[*틴중문]플레이스를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{ㄷㄲㅂㅅㅌㄱㅇ}
정답 : &lt;7&gt; 글자
* 정답란에 띄어쓰기 없이 입력 후 제출해주세요.</t>
  </si>
  <si>
    <t>두꺼비생태공원</t>
  </si>
  <si>
    <t>2월 세팅 완~ 2/6</t>
  </si>
  <si>
    <t xml:space="preserve">스마일드래곤주식회사        </t>
  </si>
  <si>
    <t>부산 민사소송 허성엽사무소</t>
  </si>
  <si>
    <t>부산 민사소송 허성엽 법무사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</si>
  <si>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{ㅇㅈㅁㅎㅊㅇㄱㅇ}
정답 : &lt;8&gt; 글자
* 정답란에 띄어쓰기 없이 입력 후 제출해주세요.</t>
  </si>
  <si>
    <t>연제문화체육공원</t>
  </si>
  <si>
    <t>대구 달성군 타이어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</si>
  <si>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4.[*트리스 대구옥포점]플레이스를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{ㄱㄱㅅ}
정답 : &lt;3&gt; 글자
* 정답란에 띄어쓰기 없이 입력 후 제출해주세요.</t>
  </si>
  <si>
    <t>금계산</t>
  </si>
  <si>
    <t>*트리스 대구옥포점</t>
  </si>
  <si>
    <t>https://m.place.naver.com/place/1282448835/home</t>
  </si>
  <si>
    <t>대구 달성군 타이어 정비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</si>
  <si>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4.[*트리스 대구옥포점]플레이스를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{ㄷㅅㅁㅎㄱㅇ}
정답 : &lt;6&gt; 글자
* 정답란에 띄어쓰기 없이 입력 후 제출해주세요.</t>
  </si>
  <si>
    <t>다산문화공원</t>
  </si>
  <si>
    <t>대구 달성군 타이어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</si>
  <si>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4.[*트리스 대구옥포점]플레이스를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{ㄱㅂㅈ}
정답 : &lt;3&gt; 글자
* 정답란에 띄어쓰기 없이 입력 후 제출해주세요.</t>
  </si>
  <si>
    <t>금봉지</t>
  </si>
  <si>
    <t>광주 수완동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</si>
  <si>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4.[*후의치과의원 광주]플레이스를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{ㅅㅌㅎㅇㄱㅇ}
정답 : &lt;6&gt; 글자
* 정답란에 띄어쓰기 없이 입력 후 제출해주세요.</t>
  </si>
  <si>
    <t>생태휴양공원</t>
  </si>
  <si>
    <t>*후의치과의원 광주</t>
  </si>
  <si>
    <t>https://m.place.naver.com/hospital/1247209176/home</t>
  </si>
  <si>
    <t>광주 수완동 치과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</si>
  <si>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4.[*후의치과의원 광주]플레이스를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{ㅈㄷㄷㄱㄷㅎㅇ}
정답 : &lt;7&gt; 글자
* 정답란에 띄어쓰기 없이 입력 후 제출해주세요.</t>
  </si>
  <si>
    <t>장덕동근대한옥</t>
  </si>
  <si>
    <t>광주 수완동 치과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</si>
  <si>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4.[*후의치과의원 광주]플레이스를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{ㅇㄷㄱㅇ}
정답 : &lt;4&gt; 글자
* 정답란에 띄어쓰기 없이 입력 후 제출해주세요.</t>
  </si>
  <si>
    <t>완동공원</t>
  </si>
  <si>
    <t>철산역 치과 추천</t>
  </si>
  <si>
    <t>광명 철산동 치과 예약</t>
  </si>
  <si>
    <t>광명 철산동 치과</t>
  </si>
  <si>
    <t>일산 붙임머리전문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</si>
  <si>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4.[*이뷰티 일산]플레이스를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{ㅁㅁㄹㄱㅇ}
정답 : &lt;5&gt; 글자
* 정답란에 띄어쓰기 없이 입력 후 제출해주세요.</t>
  </si>
  <si>
    <t>말머리공원</t>
  </si>
  <si>
    <t>*이뷰티 일산</t>
  </si>
  <si>
    <t>https://m.place.naver.com/place/1120433622/home</t>
  </si>
  <si>
    <t>백석역 붙임머리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</si>
  <si>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4.[*이뷰티 일산]플레이스를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{ㄱㅊㄱㅇ}
정답 : &lt;4&gt; 글자
* 정답란에 띄어쓰기 없이 입력 후 제출해주세요.</t>
  </si>
  <si>
    <t>강촌공원</t>
  </si>
  <si>
    <t>영종도 전집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</si>
  <si>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4.[*모토리곳간]플레이스를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{ㄷㅂㄱㅈ}
정답 : &lt;4&gt; 글자
* 정답란에 띄어쓰기 없이 입력 후 제출해주세요.</t>
  </si>
  <si>
    <t>달빛광장</t>
  </si>
  <si>
    <t>*모토리곳간</t>
  </si>
  <si>
    <t>https://m.place.naver.com/restaurant/2049729949/home?entry=plt</t>
  </si>
  <si>
    <t>영종도 전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</si>
  <si>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4.[*모토리곳간]플레이스를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{ㅆㅅㅇㄷㅍㅋ}
정답 : &lt;6&gt; 글자
* 정답란에 띄어쓰기 없이 입력 후 제출해주세요.</t>
  </si>
  <si>
    <t>씨사이드파크</t>
  </si>
  <si>
    <t>무주 솥뚜껑 요리</t>
  </si>
  <si>
    <t>무주 닭볶음탕 맛집 추천</t>
  </si>
  <si>
    <t>무주 리조트 닭볶음탕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</si>
  <si>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4.[*주농원]플레이스를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{ㅅㅊㅎㅅ}
정답 : &lt;4&gt; 글자
* 정답란에 띄어쓰기 없이 입력 후 제출해주세요.</t>
  </si>
  <si>
    <t>설천호수</t>
  </si>
  <si>
    <t>무주 리조트 닭볶음탕 맛집</t>
  </si>
  <si>
    <t>무주 리조트 솥뚜껑 닭볶음탕</t>
  </si>
  <si>
    <t>01월 08일 마감</t>
  </si>
  <si>
    <t>책갈피 마그넷 기프트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</si>
  <si>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*프하우스 *그넷 *갈피 *세트 *age *ark *프트 *디션 *마크 *클립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란프하우스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</si>
  <si>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www.google.com/search?q=%EC%B1%85%EA%B0%88%ED%94%BC&amp;sca_esv=13d5be0ef7350a07&amp;hl=ko&amp;sxsrf=ANbL-n755TlFd4SVe4xCnwl8Ve33IR2Zgg%3A1767921290511&amp;ei=ilZgaar5HrSO2roP6YLggQ4&amp;ved=0ahUKEwiq5ouEpP2RAxU0h1YBHWkBOOAQ4dUDCBE&amp;uact=5&amp;oq=%EC%B1%85%EA%B0%88%ED%94%BC&amp;gs_lp=Egxnd3Mtd2l6LXNlcnAiCeyxheqwiO2UvDIEEAAYRzIEEAAYRzIEEAAYRzIEEAAYRzIEEAAYRzIEEAAYRzIEEAAYRzIEEAAYRzIEEAAYRzIEEAAYR0iCCFCsBViEB3ACeAKQAQCYAQCgAQCqAQC4AQPIAQD4AQH4AQKYAgOgAg2oAgrCAgoQABhHGNYEGLADwgIHECMY6gIYJ8ICBxAuGOoCGCeYAwPiAwUSATEgQIgGAZAGCpIHATOgBwCyBwC4BwDCBwUwLjIuMcgHCoAIAQ&amp;sclient=gws-wiz-serp</t>
  </si>
  <si>
    <t>란프하우스</t>
  </si>
  <si>
    <t>https://smartstore.naver.com/lanfhouse/products/12693632686</t>
  </si>
  <si>
    <t xml:space="preserve">https://docs.google.com/spreadsheets/d/15a3MfxY9WXvShR7UbxoUraaidVVUDS1yLJ7d5XA4N-Q/edit?usp=sharing
</t>
  </si>
  <si>
    <t>책갈피 란프하우스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</si>
  <si>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*프하우스 *그넷 *갈피 *세트 *age *ark *프트 *디션 *마크 *클립 *물
 ( '광고' 클릭 절대 금지 )
 ▶판매처 : 란프하우스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</si>
  <si>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https://m.search.naver.com/search.naver?sm=mtp_hty.top&amp;where=m&amp;query=+%EC%B1%85%EA%B0%88%ED%94%BC&amp;ackey=p5z8qlpg</t>
  </si>
  <si>
    <t>책갈피 란프하우스 북클립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</si>
  <si>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*프하우스 *그넷 *갈피 *세트 *age *ark *프트 *디션 *마크 *클립 *물
 ( '광고' 클릭 절대 금지 )
 ▶판매처 : 란프하우스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</si>
  <si>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https://msearch.shopping.naver.com/search/all?query=%EC%B1%85%EA%B0%88%ED%94%BC&amp;vertical=search</t>
  </si>
  <si>
    <t>책갈피 에디션 북클립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</si>
  <si>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*프하우스 *그넷 *갈피 *세트 *age *ark *프트 *디션 *마크 *클립 *물
 ( '광고' 클릭 절대 금지 )
 ▶판매처 : 란프하우스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</si>
  <si>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123개</t>
  </si>
  <si>
    <t>책갈피 북클립 기프트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</si>
  <si>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*프하우스 *그넷 *갈피 *세트 *age *ark *프트 *디션 *마크 *클립 *물
 ( '광고' 클릭 절대 금지 )
 ▶판매처 : 란프하우스
 5. 찜하기 클릭
 6. 바로가기 클릭
 7. 상품 클릭
 8. 링크(url) 복사 후 정답에 붙여넣기 후 제출</t>
    </r>
  </si>
  <si>
    <t>https://m.smartstore.naver.com/lanfhouse/products/12693632686</t>
  </si>
  <si>
    <t>쇼핑백 제작 200매 7일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</si>
  <si>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</si>
  <si>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빠른 맞춤제작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</si>
  <si>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</si>
  <si>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초고속 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</si>
  <si>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</si>
  <si>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관공서 종이가방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</si>
  <si>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</si>
  <si>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치과 종이가방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</si>
  <si>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200매 소* 쇼*백제* 맞춤*작 빠른 *이가* 초*속 7일 관*서 *원 치*
 ( '광고' 클릭 절대 금지 )
 ▶판매처 : 인쇄공장
 5. 찜하기 클릭
 6. 바로가기 클릭
 7. 상품 클릭
 8. 링크(url) 복사 후 정답에 붙여넣기 후 제출</t>
    </r>
  </si>
  <si>
    <t>리클라이너 아이보리 슬라이딩 4인용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</si>
  <si>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</si>
  <si>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리클라이너 모션 패브릭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</si>
  <si>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</si>
  <si>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리클라이너 세이홈 패브릭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</si>
  <si>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</si>
  <si>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리클라이너 무료배송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</si>
  <si>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</si>
  <si>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1,312개</t>
  </si>
  <si>
    <t>리클라이너 4인용 모션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</si>
  <si>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[무*배송] 세*홈 *오 모션 슬*이딩 패브* 리*라이* 소* 아*보리, 4*용
 ( '광고' 클릭 절대 금지 )
 ▶판매처 : 세이홈 - SAYHOME
 5. 찜하기 클릭
 6. 바로가기 클릭
 7. 상품 클릭
 8. 링크(url) 복사 후 정답에 붙여넣기 후 제출</t>
    </r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</si>
  <si>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"korpia0805.com"을 찾아주세요.
5. "부산,대구탐정사무소 - 탐정들의 영업비밀"을 클릭해주세요.
6. 사이트 방문 후 제일 하단으로 이동해주세요.
7. [ 힌트 ] 를 보고 정답을 찾아주세요.
8. 초성힌트 : [ 광주지사: 광주광역시 서구 OOO 989-76 ]
정답 : &lt;3&gt;  글자
* 정답란에 - 포함하여 띄어쓰기 없이 입력 후 제출해주세요.</t>
  </si>
  <si>
    <t>쌍촌동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</si>
  <si>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</si>
  <si>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LED벽시계 터닝 플랫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</si>
  <si>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</si>
  <si>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</si>
  <si>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</si>
  <si>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플*이토 와*파이 *시계 인*리어 전자달* 집*이 사*실 LED시* 백라*트 터닝 *랫
( '광고' 클릭 절대 금지 )
 ▶판매처 : 제이앤와이컴퍼니
 5. 찜하기 클릭
 6. 바로가기 클릭
 7. 상품 클릭
 8. 링크(url) 복사 후 정답에 붙여넣기 후 제출</t>
    </r>
  </si>
  <si>
    <t>루나리스 전자달력 국산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</si>
  <si>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</si>
  <si>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루나리스 노르딕 벽시계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</si>
  <si>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</si>
  <si>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</si>
  <si>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루나리스 LED 전자달력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</si>
  <si>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</si>
  <si>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167개</t>
  </si>
  <si>
    <t>루나리스 54cm</t>
  </si>
  <si>
    <t>섬유탈취제 패브릭퍼퓸 100ml</t>
  </si>
  <si>
    <t>섬유탈취제 침구 퍼퓸 100ml</t>
  </si>
  <si>
    <t>239개</t>
  </si>
  <si>
    <t>카톡타로 전화타로 연애운 재회 속마음 비밀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</si>
  <si>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*톡 *화 문자 *로 연애 *회 *마음 *야 운세 *딩 *전 사업 *밀 *명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아윈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</si>
  <si>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www.google.com/search?q=%EC%B9%B4%ED%86%A1%ED%83%80%EB%A1%9C+%EC%A0%84%ED%99%94%ED%83%80%EB%A1%9C+%EC%97%B0%EC%95%A0%EC%9A%B4+%EC%9E%AC%ED%9A%8C+%EC%86%8D%EB%A7%88%EC%9D%8C&amp;sca_esv=4577d2eb1440872d&amp;sxsrf=ANbL-n6anL9BBXvMFgRDa7JAkcnml298mw%3A1767939188584&amp;source=hp&amp;ei=dJxgabatIYqZvr0PxtP00Qc&amp;iflsig=AFdpzrgAAAAAaWCqhH4c7eDEcffWc8XXsimg-UWucfRw&amp;ved=0ahUKEwi2t8Xa5v2RAxWKjK8BHcYpPXoQ4dUDCCA&amp;uact=5&amp;oq=%EC%B9%B4%ED%86%A1%ED%83%80%EB%A1%9C+%EC%A0%84%ED%99%94%ED%83%80%EB%A1%9C+%EC%97%B0%EC%95%A0%EC%9A%B4+%EC%9E%AC%ED%9A%8C+%EC%86%8D%EB%A7%88%EC%9D%8C&amp;gs_lp=Egdnd3Mtd2l6IjTsubTthqHtg4DroZwg7KCE7ZmU7YOA66GcIOyXsOyVoOyatCDsnqztmowg7IaN66eI7J2MMgUQABjvBTIFEAAY7wUyBRAAGO8FMgUQABjvBUjACVDTBVjTBXABeACQAQCYAZsBoAGbAaoBAzAuMbgBA8gBAPgBAvgBAZgCAqACpAGoAgrCAgcQIxjqAhgnwgIHEC4Y6gIYJ5gDBpIHAzEuMaAHtQKyBwMwLjG4B54BwgcFMC4xLjHIBwaACAE&amp;sclient=gws-wiz&amp;zx=1767939192095&amp;no_sw_cr=1</t>
  </si>
  <si>
    <t>카톡타로 전화타로 연애운 재회 속마음 심야 비밀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</si>
  <si>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*톡 *화 문자 *로 연애 *회 *마음 *야 운세 *딩 *전 사업 *밀 *명
( '광고' 클릭 절대 금지 )
 ▶판매처 : 아윈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</si>
  <si>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https://m.search.naver.com/search.naver?sm=mtp_hty.top&amp;where=m&amp;query=%EC%B9%B4%ED%86%A1%ED%83%80%EB%A1%9C+%EC%A0%84%ED%99%94%ED%83%80%EB%A1%9C+%EC%97%B0%EC%95%A0%EC%9A%B4+%EC%9E%AC%ED%9A%8C+%EC%86%8D%EB%A7%88%EC%9D%8C&amp;ackey=lxwoe24f</t>
  </si>
  <si>
    <t>카톡타로 전화타로 연애운 재회 속마음 비밀 익명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</si>
  <si>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*톡 *화 문자 *로 연애 *회 *마음 *야 운세 *딩 *전 사업 *밀 *명
( '광고' 클릭 절대 금지 )
 ▶판매처 : 아윈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</si>
  <si>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https://msearch.shopping.naver.com/search/all?query=%EC%B9%B4%ED%86%A1%ED%83%80%EB%A1%9C%20%EC%A0%84%ED%99%94%ED%83%80%EB%A1%9C%20%EC%97%B0%EC%95%A0%EC%9A%B4%20%EC%9E%AC%ED%9A%8C%20%EC%86%8D%EB%A7%88%EC%9D%8C&amp;vertical=search</t>
  </si>
  <si>
    <t>카톡타로 전화타로 연애운 재회 속마음 리딩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</si>
  <si>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*톡 *화 문자 *로 연애 *회 *마음 *야 운세 *딩 *전 사업 *밀 *명
( '광고' 클릭 절대 금지 )
 ▶판매처 : 아윈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</si>
  <si>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카톡타로 전화타로 연애운 재회 속마음 비밀 운세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</si>
  <si>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*톡 *화 문자 *로 연애 *회 *마음 *야 운세 *딩 *전 사업 *밀 *명
( '광고' 클릭 절대 금지 )
 ▶판매처 : 아윈
 5. 찜하기 클릭
 6. 바로가기 클릭
 7. 상품 클릭
 8. 링크(url) 복사 후 정답에 붙여넣기 후 제출</t>
    </r>
  </si>
  <si>
    <t>https://m.smartstore.naver.com/arwin/products/12942461513</t>
  </si>
  <si>
    <t>대봉감말랭이 가정용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</si>
  <si>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실*형 *정용 대* 감말*이 1kg *도 대*감말*이 *감 생*자직*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</si>
  <si>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글로벌푸드샵</t>
  </si>
  <si>
    <t>https://smartstore.naver.com/youn5255/products/12909174580</t>
  </si>
  <si>
    <t>대봉감말랭이 청도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</si>
  <si>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실*형 *정용 대* 감말*이 1kg *도 대*감말*이 *감 생*자직*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</si>
  <si>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https://m.search.naver.com/search.naver?sm=mtp_hty.top&amp;where=m&amp;query=%EB%8C%80%EB%B4%89%EA%B0%90%EB%A7%90%EB%9E%AD%EC%9D%B4&amp;ackey=ajmgmw7t</t>
  </si>
  <si>
    <t>대봉감말랭이 생산자직판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</si>
  <si>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실*형 *정용 대* 감말*이 1kg *도 대*감말*이 *감 생*자직*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</si>
  <si>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https://msearch.shopping.naver.com/search/all?query=%EB%8C%80%EB%B4%89%EA%B0%90%EB%A7%90%EB%9E%AD%EC%9D%B4&amp;vertical=search</t>
  </si>
  <si>
    <t>대봉감말랭이 1kg 직판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</si>
  <si>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실*형 *정용 대* 감말*이 1kg *도 대*감말*이 *감 생*자직*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</si>
  <si>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대봉감말랭이 청도 직판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</si>
  <si>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실*형 *정용 대* 감말*이 1kg *도 대*감말*이 *감 생*자직*
 ( '광고' 클릭 절대 금지 )
 ▶판매처 : 글로벌푸드샵
 5. 찜하기 클릭
 6. 바로가기 클릭 
 7. 상품 클릭
 8. 링크(url) 복사 후 정답에 붙여넣기 후 제출</t>
    </r>
  </si>
  <si>
    <t>https://m.smartstore.naver.com/youn5255/products/12909174580</t>
  </si>
  <si>
    <t>넥워머 버프 블랙컬러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</si>
  <si>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핫*포켓 *한 넥워* 바*클라* 골프 *산 스키 *전거 *프 블랙*러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</si>
  <si>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넥워머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</si>
  <si>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핫*포켓 *한 넥워* 바*클라* 골프 *산 스키 *전거 *프 블랙*러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</si>
  <si>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넥워머 블랙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</si>
  <si>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핫*포켓 *한 넥워* 바*클라* 골프 *산 스키 *전거 *프 블랙*러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</si>
  <si>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넥워머 버프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</si>
  <si>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핫*포켓 *한 넥워* 바*클라* 골프 *산 스키 *전거 *프 블랙*러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</si>
  <si>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536개</t>
  </si>
  <si>
    <t>방한 넥워머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</si>
  <si>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핫*포켓 *한 넥워* 바*클라* 골프 *산 스키 *전거 *프 블랙*러
 ( '광고' 클릭 절대 금지 )
 ▶판매처 : 청풍문-bluewind
 5. 찜하기 클릭
 6. 바로가기 클릭 
 7. 상품 클릭
 8. 링크(url) 복사 후 정답에 붙여넣기 후 제출</t>
    </r>
  </si>
  <si>
    <t>방한마스크 2컬러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</si>
  <si>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</si>
  <si>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방한마스크 자외선차단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</si>
  <si>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</si>
  <si>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방한마스크 컬러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</si>
  <si>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</si>
  <si>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방한마스크 2컬러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</si>
  <si>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</si>
  <si>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856개</t>
  </si>
  <si>
    <t>방한마스크 자외선차단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</si>
  <si>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*한마스* 자*선차* 겨울 자*거 골프 *산 쉴드 *스크 2*러
 ( '광고' 클릭 절대 금지 )
 ▶판매처 : 청풍문-bluewind
 5. 찜하기 클릭
 6. 바로가기 클릭 
 7. 상품 클릭
 8. 링크(url) 복사 후 정답에 붙여넣기 후 제출</t>
    </r>
  </si>
  <si>
    <t>자외선차단마스크 2컬러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</si>
  <si>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</si>
  <si>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자외선차단마스크 방한 겨울 자전거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</si>
  <si>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</si>
  <si>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자외선차단마스크 방한 2컬러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</si>
  <si>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</si>
  <si>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자외선차단마스크 2컬러 등산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</si>
  <si>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</si>
  <si>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자외선차단마스크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</si>
  <si>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*한마스* 자*선차* 겨울 자*거 골프 *산 쉴드 *스크 2*러
 ( '광고' 클릭 절대 금지 )
 ▶판매처 : 청풍문-bluewind
 5. 찜하기 클릭
 6. 바로가기 클릭 
 7. 상품 클릭
 8. 링크(url) 복사 후 정답에 붙여넣기 후 제출</t>
    </r>
  </si>
  <si>
    <t>주방수납장 라자가구 위드 데코 인출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</si>
  <si>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</si>
  <si>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</si>
  <si>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주방수납장 3단 전자렌지 밥솥장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</si>
  <si>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</si>
  <si>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주방수납장 3단 화이트 데코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</si>
  <si>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</si>
  <si>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429개</t>
  </si>
  <si>
    <t>주방수납장 3단 위드 데코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</si>
  <si>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</si>
  <si>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</si>
  <si>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</si>
  <si>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</si>
  <si>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698개</t>
  </si>
  <si>
    <t>디퓨저 향미제 사파리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</si>
  <si>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</si>
  <si>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디퓨저 사파리 1+1 500ml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</si>
  <si>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</si>
  <si>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디퓨저 사파리 1+1 실내방향제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</si>
  <si>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</si>
  <si>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</si>
  <si>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디퓨저 집들이 향미제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</si>
  <si>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1+1 *미제 사*리 500ml 대용* 디*저 디퓨* 화장실 *들이 선물 *량용 실*방향*
 ( '광고' 클릭 절대 금지 )
 ▶판매처 : 선유아로마틱스향미제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</si>
  <si>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</si>
  <si>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</si>
  <si>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650g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</si>
  <si>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</si>
  <si>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</si>
  <si>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681개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</si>
  <si>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멜**우어 수*청 과일청 선**트 650g 레몬 자몽 청귤 패션**츠 생강 답례품
 ( '광고' 클릭 절대 금지 )
 ▶판매처 : Melihour
 5. 찜하기 클릭
 6. 바로가기 클릭
 7. 상품 클릭
 8. 링크(url) 복사 후 정답에 붙여넣기 후 제출</t>
    </r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</si>
  <si>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강남]플레이스를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{ㅇㅅㅅㄴㅁㄱㅇ}
정답 : &lt;7&gt;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</si>
  <si>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대구]플레이스를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{ㅂㅇㅁㄱㄹㅌㅇ}
정답 : &lt;7&gt; 글자
* 정답란에 띄어쓰기 없이 입력 후 제출해주세요.</t>
  </si>
  <si>
    <t>범어먹거리타운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</si>
  <si>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분당]플레이스를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{ㄱㅁㄴㅍㅋ}
정답 : &lt;5&gt; 글자
* 정답란에 띄어쓰기 없이 입력 후 제출해주세요.</t>
  </si>
  <si>
    <t>굿모닝파크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</si>
  <si>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수원]플레이스를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{ㅁㅌㄷㅅㄷ}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</si>
  <si>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안산]플레이스를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{ㅊㅈㄱㅊㅈㄷㅅㄷ}
정답 : &lt;8&gt; 글자
* 정답란에 띄어쓰기 없이 입력 후 제출해주세요.</t>
  </si>
  <si>
    <t>천주교초지동성당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</si>
  <si>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안양]플레이스를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{ㅇㄱㄱㅇ}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</si>
  <si>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인천]플레이스를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{ㅇㅊㅇㄸ}
정답 : &lt;4&gt; 글자
* 정답란에 띄어쓰기 없이 입력 후 제출해주세요.</t>
  </si>
  <si>
    <t>인천애뜰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</si>
  <si>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일산]플레이스를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{ㅎㅎㄱㅇ}
정답 : &lt;4&gt; 글자
* 정답란에 띄어쓰기 없이 입력 후 제출해주세요.</t>
  </si>
  <si>
    <t>회화공원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</si>
  <si>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창원]플레이스를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{ㅈㅇㄱㅇ}
정답 : &lt;4&gt; 글자
* 정답란에 띄어쓰기 없이 입력 후 제출해주세요.</t>
  </si>
  <si>
    <t>지압공원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</si>
  <si>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홍대]플레이스를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{ㅇㅇㅅ}
정답 : &lt;3&gt; 글자
* 정답란에 띄어쓰기 없이 입력 후 제출해주세요.</t>
  </si>
  <si>
    <t>2월 세팅 완~ 2/7</t>
  </si>
  <si>
    <t>강남 세차 하이퍼</t>
  </si>
  <si>
    <t>논현 하이퍼 청담</t>
  </si>
  <si>
    <t>논현 세차 하이퍼 청담</t>
  </si>
  <si>
    <t>2월 세팅 완~ 2/10</t>
  </si>
  <si>
    <t>인천 모스테틱 청라점</t>
  </si>
  <si>
    <t>인천 모스테틱 두피관리</t>
  </si>
  <si>
    <t>불당동 한우 육회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</si>
  <si>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4.[**84 한우클래식 천안본점]플레이스를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{ㅂㅅㅅ}
정답 : &lt;3&gt; 글자
* 정답란에 띄어쓰기 없이 입력 후 제출해주세요.</t>
  </si>
  <si>
    <t>불당동 한우구이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</si>
  <si>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4.[1984 한우클래식 프라**]플레이스를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{ㅆㅇㄱㅇ}
정답 : &lt;4&gt; 글자
* 정답란에 띄어쓰기 없이 입력 후 제출해주세요.</t>
  </si>
  <si>
    <t>불당동 한우구이 가격</t>
  </si>
  <si>
    <t>성성동 한우 육회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</si>
  <si>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4.[1984 한우클래식 하이**]플레이스를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{ㅋㅁㅅ}
정답 : &lt;3&gt; 글자
* 정답란에 띄어쓰기 없이 입력 후 제출해주세요.</t>
  </si>
  <si>
    <t>성성동 한우구이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</si>
  <si>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4.[1984 한우클래식 울**]플레이스를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{ㅊㅇㄱㄹㄱㅇ}
정답 : &lt;6&gt; 글자
* 정답란에 띄어쓰기 없이 입력 후 제출해주세요.</t>
  </si>
  <si>
    <t>성성동 한우구이 가격</t>
  </si>
  <si>
    <t>종로5가역 결혼예물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</si>
  <si>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4.[**모바이유 효성주얼리시티점]플레이스를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{ㄷㄱㅅ}
정답 : &lt;3&gt; 글자
* 정답란에 띄어쓰기 없이 입력 후 제출해주세요.</t>
  </si>
  <si>
    <t>**모바이유 효성주얼리시티점</t>
  </si>
  <si>
    <t>호원동 웨이트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</si>
  <si>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4.[**tness H]플레이스를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{ㄷㅂㅅㄷㄹㄱ}
정답 : &lt;6&gt; 글자
* 정답란에 띄어쓰기 없이 입력 후 제출해주세요.</t>
  </si>
  <si>
    <t>망월사역 웨이트 헬스장</t>
  </si>
  <si>
    <t>2월 세팅 완~ 2/11</t>
  </si>
  <si>
    <t>압구정로데오 전골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</si>
  <si>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{ㅊㄷㄷㅁㅍㄱㄹ}
정답 : &lt;7&gt; 글자
* 정답란에 띄어쓰기 없이 입력 후 제출해주세요.</t>
  </si>
  <si>
    <t>청담동명품거리</t>
  </si>
  <si>
    <t>신사 전골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</si>
  <si>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{ㅊㄷㄷㅎㄹㄱㄹ}
정답 : &lt;7&gt;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</si>
  <si>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{ㅇㄱㅈㅇㅎㄱㅇ}
정답 : &lt;7&gt; 글자
* 정답란에 띄어쓰기 없이 입력 후 제출해주세요.</t>
  </si>
  <si>
    <t>압구정은행공원</t>
  </si>
  <si>
    <t>신사 미미포차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</si>
  <si>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{ㅅㅅㄲㅊㄱㅇ}
정답 : &lt;6&gt; 글자
* 정답란에 띄어쓰기 없이 입력 후 제출해주세요.</t>
  </si>
  <si>
    <t>신사까치공원</t>
  </si>
  <si>
    <t>압구정로데오 술집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</si>
  <si>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{ㅊㅈㄱㅇㄱㅈㅅㄷ}
정답 : &lt;8&gt; 글자
* 정답란에 띄어쓰기 없이 입력 후 제출해주세요.</t>
  </si>
  <si>
    <t>천주교압구정성당</t>
  </si>
  <si>
    <t>협재 브런치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</si>
  <si>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4.[**글 라운지 토스트 브런치 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{ㄴㅈㄹㅇㄹ}
정답 : &lt;5&gt; 글자
* 정답란에 띄어쓰기 없이 입력 후 제출해주세요.</t>
  </si>
  <si>
    <t>**글 라운지 토스트 브런치 협재점</t>
  </si>
  <si>
    <t>https://m.place.naver.com/restaurant/1285232327/home</t>
  </si>
  <si>
    <t>협재 브런치 카페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</si>
  <si>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4.[**글 라운지 토스트 브런치 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{ㅎㄱㄹㅈㅁㄷ}
정답 : &lt;6&gt; 글자
* 정답란에 띄어쓰기 없이 입력 후 제출해주세요.</t>
  </si>
  <si>
    <t>협재 브런치 카페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</si>
  <si>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4.[**글 라운지 토스트 브런치 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{ㅇㄹㅂㄷㅊㅎㅁㅇ}
정답 : &lt;8&gt; 글자
* 정답란에 띄어쓰기 없이 입력 후 제출해주세요.</t>
  </si>
  <si>
    <t>협재 토스트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</si>
  <si>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4.[**글 라운지 토스트 브런치 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{ㅍㅍㅍㄱ}
정답 : &lt;4&gt; 글자
* 정답란에 띄어쓰기 없이 입력 후 제출해주세요.</t>
  </si>
  <si>
    <t>협재 토스트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</si>
  <si>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4.[**글 라운지 토스트 브런치 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{ㅎㄹㅅㄷ}
정답 : &lt;4&gt; 글자
* 정답란에 띄어쓰기 없이 입력 후 제출해주세요.</t>
  </si>
  <si>
    <t>대전 아이폰수리</t>
  </si>
  <si>
    <t>금련산역 이자카야</t>
  </si>
  <si>
    <t>광안동 이자카야</t>
  </si>
  <si>
    <t>광안동 이자카야 추천</t>
  </si>
  <si>
    <t>광안동 이자카야 예약</t>
  </si>
  <si>
    <t>구송도 양식</t>
  </si>
  <si>
    <t>구송도 양식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</si>
  <si>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4.[*크보틀 더 라운지펍 송도점]플레이스를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{ㄴㅎㄷㄱㅇ}
정답 : &lt;5&gt; 글자
* 정답란에 띄어쓰기 없이 입력 후 제출해주세요.</t>
  </si>
  <si>
    <t>능허대공원</t>
  </si>
  <si>
    <t>제주공항횟집 가성비</t>
  </si>
  <si>
    <t>제주공항횟집 바다한상</t>
  </si>
  <si>
    <t>진주 부동산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</si>
  <si>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4.[신부동산공인중개사사**]플레이스를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{ㅅㅎㅅ}
정답 : &lt;3&gt; 글자
* 정답란에 띄어쓰기 없이 입력 후 제출해주세요.</t>
  </si>
  <si>
    <t>신부동산공인중개사사**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</si>
  <si>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4.[신부동산공인중개사사**]플레이스를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{ㅅㅎㅅㅈㅁㄷ}
정답 : &lt;6&gt; 글자
* 정답란에 띄어쓰기 없이 입력 후 제출해주세요.</t>
  </si>
  <si>
    <t>진주 부동산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</si>
  <si>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4.[신부동산공인중개사사**]플레이스를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{ㅎㄱㅈㄱ}
정답 : &lt;4&gt; 글자
* 정답란에 띄어쓰기 없이 입력 후 제출해주세요.</t>
  </si>
  <si>
    <t>호국종각</t>
  </si>
  <si>
    <t>장항동 유세무회계사무소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</si>
  <si>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4.[*세무회계사무소]플레이스를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{ㄱㅊㄱㅇ}
정답 : &lt;4&gt; 글자
* 정답란에 띄어쓰기 없이 입력 후 제출해주세요.</t>
  </si>
  <si>
    <t>*세무회계사무소</t>
  </si>
  <si>
    <t>https://m.place.naver.com/place/1477656233/home</t>
  </si>
  <si>
    <t>정발산역 유세무회계사무소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</si>
  <si>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4.[*세무회계사무소]플레이스를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{ㄴㄹㄱ}
정답 : &lt;3&gt; 글자
* 정답란에 띄어쓰기 없이 입력 후 제출해주세요.</t>
  </si>
  <si>
    <t>고양 유세무회계사무소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</si>
  <si>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4.[*세무회계사무소]플레이스를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{ㅈㅇㄱㅇ}
정답 : &lt;4&gt; 글자
* 정답란에 띄어쓰기 없이 입력 후 제출해주세요.</t>
  </si>
  <si>
    <t>남양주 변호사 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</si>
  <si>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4.[*사이혼전문 법률사무소나인 김현수변호사]플레이스를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{ㄷㅅㅊㅇㄱㅇ}
정답 : &lt;6&gt; 글자
* 정답란에 띄어쓰기 없이 입력 후 제출해주세요.</t>
  </si>
  <si>
    <t>다산체육공원</t>
  </si>
  <si>
    <t>남양주 변호사 상담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</si>
  <si>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4.[*사이혼전문 법률사무소나인 김현수변호사]플레이스를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{ㄷㄴㅊㅇㄱㅇ}
정답 : &lt;6&gt; 글자
* 정답란에 띄어쓰기 없이 입력 후 제출해주세요.</t>
  </si>
  <si>
    <t>도농체육공원</t>
  </si>
  <si>
    <t>남양주 변호사 상담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</si>
  <si>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4.[*사이혼전문 법률사무소나인 김현수변호사]플레이스를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{ㄱㅇㄷㄱㅇ}
정답 : &lt;5&gt; 글자
* 정답란에 띄어쓰기 없이 입력 후 제출해주세요.</t>
  </si>
  <si>
    <t>고인돌공원</t>
  </si>
  <si>
    <t>도농역 변호사 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</si>
  <si>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4.[*사이혼전문 법률사무소나인 김현수변호사]플레이스를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{ㅇㅅㅊ}
정답 : &lt;3&gt; 글자
* 정답란에 띄어쓰기 없이 입력 후 제출해주세요.</t>
  </si>
  <si>
    <t>왕숙천</t>
  </si>
  <si>
    <t>도농역 변호사 상담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</si>
  <si>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4.[*사이혼전문 법률사무소나인 김현수변호사]플레이스를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{ㄷㅅㅅㅎㄱㅇ}
정답 : &lt;6&gt; 글자
* 정답란에 띄어쓰기 없이 입력 후 제출해주세요.</t>
  </si>
  <si>
    <t>다산선형공원</t>
  </si>
  <si>
    <t>부천 틀니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</si>
  <si>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4.[*천닥터스치과의원]플레이스를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{ㅂㅅㄱㄱㅇ}
정답 : &lt;5&gt; 글자
* 정답란에 띄어쓰기 없이 입력 후 제출해주세요.</t>
  </si>
  <si>
    <t>부천 틀니 치료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</si>
  <si>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4.[*천닥터스치과의원]플레이스를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{ㅇㄷㄱㅇ}
정답 : &lt;4&gt; 글자
* 정답란에 띄어쓰기 없이 입력 후 제출해주세요.</t>
  </si>
  <si>
    <t>부천 잇몸신경치료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</si>
  <si>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4.[*천닥터스치과의원]플레이스를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{ㅅㄱㅊㄱㅇ}
정답 : &lt;5&gt; 글자
* 정답란에 띄어쓰기 없이 입력 후 제출해주세요.</t>
  </si>
  <si>
    <t>부천 잇몸신경치료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</si>
  <si>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4.[*천닥터스치과의원]플레이스를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{ㄱㄴㄱㅇ}
정답 : &lt;4&gt; 글자
* 정답란에 띄어쓰기 없이 입력 후 제출해주세요.</t>
  </si>
  <si>
    <t>신중동역 틀니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</si>
  <si>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4.[*천닥터스치과의원]플레이스를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{ㅇㅈㄱㄱㅇ}
정답 : &lt;5&gt; 글자
* 정답란에 띄어쓰기 없이 입력 후 제출해주세요.</t>
  </si>
  <si>
    <t>대전 이혼전문변호사 상담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</si>
  <si>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4.[*전이혼전문변호사 법률사무소나인 최서희대전형사전문변호사]플레이스를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{ㅅㄷㅅㅇ}
정답 : &lt;4&gt; 글자
* 정답란에 띄어쓰기 없이 입력 후 제출해주세요.</t>
  </si>
  <si>
    <t>대전 이혼전문변호사 상담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</si>
  <si>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4.[*전이혼전문변호사 법률사무소나인 최서희대전형사전문변호사]플레이스를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{ㄷㅅㅅㅇ}
정답 : &lt;4&gt; 글자
* 정답란에 띄어쓰기 없이 입력 후 제출해주세요.</t>
  </si>
  <si>
    <t>대전 시청역 이혼전문변호사 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</si>
  <si>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4.[*전이혼전문변호사 법률사무소나인 최서희대전형사전문변호사]플레이스를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{ㅊㅎㅅ}
정답 : &lt;3&gt; 글자
* 정답란에 띄어쓰기 없이 입력 후 제출해주세요.</t>
  </si>
  <si>
    <t>대전 시청역 이혼전문변호사 상담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</si>
  <si>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4.[*전이혼전문변호사 법률사무소나인 최서희대전형사전문변호사]플레이스를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{ㅁㄴㄷㅅㄷ}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</si>
  <si>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4.[*전이혼전문변호사 법률사무소나인 최서희대전형사전문변호사]플레이스를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{ㄴㅅㄱㅇ}
정답 : &lt;4&gt; 글자
* 정답란에 띄어쓰기 없이 입력 후 제출해주세요.</t>
  </si>
  <si>
    <t>홍대 동파육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</si>
  <si>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4.[무채*]플레이스를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{ㄱㄷㄱㅇ}
정답 : &lt;4&gt; 글자
* 정답란에 띄어쓰기 없이 입력 후 제출해주세요.</t>
  </si>
  <si>
    <t>연남동 동파육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</si>
  <si>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4.[무채*]플레이스를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{ㅎㄷㅂㅎㄱㄹ}
정답 : &lt;6&gt; 글자
* 정답란에 띄어쓰기 없이 입력 후 제출해주세요.</t>
  </si>
  <si>
    <t>홍대벽화거리</t>
  </si>
  <si>
    <t>홍대 루프탑 술집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</si>
  <si>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4.[무채*]플레이스를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{ㅇㅇㄱㅇ}
정답 : &lt;4&gt; 글자
* 정답란에 띄어쓰기 없이 입력 후 제출해주세요.</t>
  </si>
  <si>
    <t>홍대 루프탑 술집 예약</t>
  </si>
  <si>
    <t>홍대입구역 루프탑 술집 예약</t>
  </si>
  <si>
    <t>01월 09일 마감</t>
  </si>
  <si>
    <t>골프백항공커버 맥컬티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</si>
  <si>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</si>
  <si>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링크 변경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</si>
  <si>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</si>
  <si>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</si>
  <si>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</si>
  <si>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1,118개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</si>
  <si>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</si>
  <si>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</si>
  <si>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</si>
  <si>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</si>
  <si>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235개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</si>
  <si>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종*자석 전*지 소*제작 홍보* 음*점 *동산 전* 1000매 배*
 ( '광고' 클릭 절대 금지 )
 ▶판매처 : 다잇다인쇄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</si>
  <si>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</si>
  <si>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</si>
  <si>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</si>
  <si>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</si>
  <si>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470개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</si>
  <si>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소량 쇼*백 로* 인쇄 *문 제작 *원 관공* 행사 *이 가* 200매 *매-A
 ( '광고' 클릭 절대 금지 )
 ▶판매처 : 다잇다인쇄
 5. 찜하기 클릭
 6. 바로가기 클릭
 7. 상품 클릭
 8. 링크(url) 복사 후 정답에 붙여넣기 후 제출</t>
    </r>
  </si>
  <si>
    <t>흑염소고기 1kg 지육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</si>
  <si>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국*산 흑**고기 염**기 1kg 지육 전골 수육 탕 전남흑**산업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전남흑염소산업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</si>
  <si>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전남흑염소산업</t>
  </si>
  <si>
    <t>https://smartstore.naver.com/jeonnam_black_goat_industry/products/12921509817</t>
  </si>
  <si>
    <t>흑염소고기 전골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</si>
  <si>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국*산 흑**고기 염**기 1kg 지육 전골 수육 탕 전남흑**산업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전남흑염소산업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</si>
  <si>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https://m.search.naver.com/search.naver?sm=mtp_hty.top&amp;where=m&amp;query=%ED%9D%91%EC%97%BC%EC%86%8C%EA%B3%A0%EA%B8%B0&amp;ackey=8kwgjsmg</t>
  </si>
  <si>
    <t>흑염소고기 1kg 수육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</si>
  <si>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국*산 흑**고기 염**기 1kg 지육 전골 수육 탕 전남흑**산업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전남흑염소산업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</si>
  <si>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https://msearch.shopping.naver.com/search/all?query=%ED%9D%91%EC%97%BC%EC%86%8C%EA%B3%A0%EA%B8%B0&amp;vertical=search</t>
  </si>
  <si>
    <t>흑염소고기 전남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</si>
  <si>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국*산 흑**고기 염**기 1kg 지육 전골 수육 탕 전남흑**산업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전남흑염소산업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</si>
  <si>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1개</t>
  </si>
  <si>
    <t>흑염소고기 흑염소산업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</si>
  <si>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국*산 흑**고기 염**기 1kg 지육 전골 수육 탕 전남흑**산업
 ( '광고' 클릭 절대 금지 )
 ▶판매처 : 전남흑염소산업
 5. 찜하기 클릭
 6. 바로가기 클릭
 7. 상품 클릭
 8. 링크(url) 복사 후 정답에 붙여넣기 후 제출</t>
    </r>
  </si>
  <si>
    <t>https://m.smartstore.naver.com/jeonnam_black_goat_industry/products/12921509817</t>
  </si>
  <si>
    <t>흑염소진액 원물 65.3%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</si>
  <si>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[농**영] 원물 65.3% 프리미엄 흑**진액 전남흑**산업 엑*스 흑즙 30포, 1개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전남흑염소산업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</si>
  <si>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https://smartstore.naver.com/jeonnam_black_goat_industry/products/11705140771</t>
  </si>
  <si>
    <t>흑염소진액 프리미엄 65.3%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</si>
  <si>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[농**영] 원물 65.3% 프리미엄 흑**진액 전남흑**산업 엑*스 흑즙 30포, 1개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전남흑염소산업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</si>
  <si>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https://m.search.naver.com/search.naver?sm=mtp_hty.top&amp;where=m&amp;query=%ED%9D%91%EC%97%BC%EC%86%8C%EC%A7%84%EC%95%A1&amp;ackey=8kwgjsmg</t>
  </si>
  <si>
    <t>흑염소진액 전남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</si>
  <si>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[농**영] 원물 65.3% 프리미엄 흑**진액 전남흑**산업 엑*스 흑즙 30포, 1개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전남흑염소산업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</si>
  <si>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https://msearch.shopping.naver.com/search/all?query=%ED%9D%91%EC%97%BC%EC%86%8C%EC%A7%84%EC%95%A1&amp;vertical=search</t>
  </si>
  <si>
    <t>흑염소진액 흑즙 30포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</si>
  <si>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[농**영] 원물 65.3% 프리미엄 흑**진액 전남흑**산업 엑*스 흑즙 30포, 1개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전남흑염소산업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</si>
  <si>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흑염소진액 흑즙 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</si>
  <si>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[농**영] 원물 65.3% 프리미엄 흑**진액 전남흑**산업 엑*스 흑즙 30포, 1개
 ( '광고' 클릭 절대 금지 )
 ▶판매처 : 전남흑염소산업
 5. 찜하기 클릭
 6. 바로가기 클릭
 7. 상품 클릭
 8. 링크(url) 복사 후 정답에 붙여넣기 후 제출</t>
    </r>
  </si>
  <si>
    <t>https://m.smartstore.naver.com/jeonnam_black_goat_industry/products/11705140771</t>
  </si>
  <si>
    <t>러닝마스크 하프런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</si>
  <si>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</si>
  <si>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하프런 러닝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</si>
  <si>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</si>
  <si>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하프런 스포츠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</si>
  <si>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</si>
  <si>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러닝 하프런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</si>
  <si>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</si>
  <si>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하프런 골프 마스크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</si>
  <si>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*외선*단 스포* 러닝 마*크 *전거 골* 마스* 브레*프* 하프*
 ( '광고' 클릭 절대 금지 )
 ▶판매처 : 청풍문-bluewind
 5. 찜하기 클릭
 6. 바로가기 클릭
 7. 상품 클릭
 8. 링크(url) 복사 후 정답에 붙여넣기 후 제출</t>
    </r>
  </si>
  <si>
    <t>식기건조대 리앤델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</si>
  <si>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리*델 2026년형 공**약 2단 미니 슬림 그릇 식기 건*대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리앤델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</si>
  <si>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리앤델</t>
  </si>
  <si>
    <t>https://smartstore.naver.com/rendell/products/12833242958</t>
  </si>
  <si>
    <t>식기건조대 2026년형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</si>
  <si>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리*델 2026년형 공**약 2단 미니 슬림 그릇 식기 건*대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리앤델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</si>
  <si>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https://m.search.naver.com/search.naver?sm=mtp_hty.top&amp;where=m&amp;query=%EC%8B%9D%EA%B8%B0%EA%B1%B4%EC%A1%B0%EB%8C%80&amp;ackey=8kwgjsmg</t>
  </si>
  <si>
    <t>식기건조대 공간절약 2단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</si>
  <si>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리*델 2026년형 공**약 2단 미니 슬림 그릇 식기 건*대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리앤델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</si>
  <si>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https://msearch.shopping.naver.com/search/all?query=%EC%8B%9D%EA%B8%B0%EA%B1%B4%EC%A1%B0%EB%8C%80&amp;vertical=search</t>
  </si>
  <si>
    <t>식기건조대 2단 공간절약 그릇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</si>
  <si>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리*델 2026년형 공**약 2단 미니 슬림 그릇 식기 건*대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리앤델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</si>
  <si>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2개</t>
  </si>
  <si>
    <t>식기건조대 리앤델 미니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</si>
  <si>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리*델 2026년형 공**약 2단 미니 슬림 그릇 식기 건*대
 ( '광고' 클릭 절대 금지 )
 ▶판매처 : 리앤델
 5. 찜하기 클릭
 6. 바로가기 클릭
 7. 상품 클릭
 8. 링크(url) 복사 후 정답에 붙여넣기 후 제출</t>
    </r>
  </si>
  <si>
    <t>https://m.smartstore.naver.com/rendell/products/12833242958</t>
  </si>
  <si>
    <t>침대 매트리스 프라임 슈퍼싱글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</si>
  <si>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</si>
  <si>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슈퍼싱글 수납 메트리스 본넬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</si>
  <si>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</si>
  <si>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https://m.search.naver.com/search.naver?sm=mtp_hty.top&amp;where=m&amp;query=%EC%B9%A8%EB%8C%80&amp;ackey=urq2zyyk</t>
  </si>
  <si>
    <t>침대 슈퍼싱글 프라임 매트리스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</si>
  <si>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</si>
  <si>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슈퍼싱글 프라임 본넬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</si>
  <si>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</si>
  <si>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2,538개</t>
  </si>
  <si>
    <t>침대 본넬 매트리스 슈퍼싱글 프라임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</si>
  <si>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보루**하우스 프*임 LED 슈퍼싱글 수**대 본넬 매트리스
 ( '광고' 클릭 절대 금지 )
 ▶판매처 : 퍼니처 브랜드몰
 5. 찜하기 클릭
 6. 바로가기 클릭
 7. 상품 클릭
 8. 링크(url) 복사 후 정답에 붙여넣기 후 제출</t>
    </r>
  </si>
  <si>
    <t>강아지눈물사료 펫마당 가수분해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</si>
  <si>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배**다 강아지 눈*강 눈물 가**해 알러지 프**엄 수**료 연어+소, 1kg, 1개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펫마당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</si>
  <si>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펫마당</t>
  </si>
  <si>
    <t>https://smartstore.naver.com/pet-madang/products/12167267831</t>
  </si>
  <si>
    <t>강아지눈물사료 펫마당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</si>
  <si>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배**다 강아지 눈*강 눈물 가**해 알러지 프**엄 수**료 연어+소, 1kg, 1개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펫마당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</si>
  <si>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https://m.search.naver.com/search.naver?sm=mtp_hty.top&amp;where=m&amp;query=%EA%B0%95%EC%95%84%EC%A7%80%EB%88%88%EB%AC%BC%EC%82%AC%EB%A3%8C&amp;ackey=8kwgjsmg</t>
  </si>
  <si>
    <t>강아지눈물사료 펫마당 배부르다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</si>
  <si>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배**다 강아지 눈*강 눈물 가**해 알러지 프**엄 수**료 연어+소, 1kg, 1개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펫마당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</si>
  <si>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https://msearch.shopping.naver.com/search/all?query=%EA%B0%95%EC%95%84%EC%A7%80%EB%88%88%EB%AC%BC%EC%82%AC%EB%A3%8C&amp;vertical=search</t>
  </si>
  <si>
    <t>강아지눈물사료 펫마당 프리미엄 수제사료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</si>
  <si>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배**다 강아지 눈*강 눈물 가**해 알러지 프**엄 수**료 연어+소, 1kg, 1개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펫마당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</si>
  <si>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강아지눈물사료 펫마당 연어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</si>
  <si>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배**다 강아지 눈*강 눈물 가**해 알러지 프**엄 수**료 연어+소, 1kg, 1개
 ( '광고' 클릭 절대 금지 )
 ▶판매처 : 펫마당
 5. 찜하기 클릭
 6. 바로가기 클릭
 7. 상품 클릭
 8. 링크(url) 복사 후 정답에 붙여넣기 후 제출</t>
    </r>
  </si>
  <si>
    <t>https://m.smartstore.naver.com/pet-madang/products/12167267831</t>
  </si>
  <si>
    <t>거실테이블 라자가구</t>
  </si>
  <si>
    <r>
      <rPr>
        <sz val="0"/>
        <color rgb="FF000000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rgb="FF000000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rgb="FF000000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rgb="FF000000"/>
        <rFont val="Arial"/>
      </rPr>
      <t xml:space="preserve">
</t>
    </r>
    <r>
      <rPr>
        <sz val="0"/>
        <color rgb="FF0000FF"/>
        <rFont val="Arial"/>
      </rPr>
      <t>라*가구 *드 1200 *프트* 거* 테*블 c*150</t>
    </r>
    <r>
      <rPr>
        <sz val="0"/>
        <color rgb="FF000000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rgb="FF000000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rgb="FF000000"/>
        <rFont val="Arial"/>
      </rPr>
      <t>를
 아래 정답란에 입력 후 제출해주세요</t>
    </r>
  </si>
  <si>
    <t>거실테이블 위드 1200</t>
  </si>
  <si>
    <r>
      <rPr>
        <sz val="0"/>
        <color rgb="FF000000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rgb="FF000000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rgb="FF000000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rgb="FF000000"/>
        <rFont val="Arial"/>
      </rPr>
      <t xml:space="preserve">
</t>
    </r>
    <r>
      <rPr>
        <sz val="0"/>
        <color rgb="FF0000FF"/>
        <rFont val="Arial"/>
      </rPr>
      <t>라*가구 *드 1200 *프트* 거* 테*블 c*150</t>
    </r>
    <r>
      <rPr>
        <sz val="0"/>
        <color rgb="FF000000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rgb="FF000000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rgb="FF000000"/>
        <rFont val="Arial"/>
      </rPr>
      <t>를
 아래 정답란에 입력 후 제출해주세요</t>
    </r>
  </si>
  <si>
    <t>거실테이블 리프트업 1200</t>
  </si>
  <si>
    <r>
      <rPr>
        <sz val="0"/>
        <color rgb="FF000000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rgb="FF000000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rgb="FF000000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rgb="FF000000"/>
        <rFont val="Arial"/>
      </rPr>
      <t xml:space="preserve">
</t>
    </r>
    <r>
      <rPr>
        <sz val="0"/>
        <color rgb="FF0000FF"/>
        <rFont val="Arial"/>
      </rPr>
      <t>라*가구 *드 1200 *프트* 거* 테*블 c*150</t>
    </r>
    <r>
      <rPr>
        <sz val="0"/>
        <color rgb="FF000000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rgb="FF000000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rgb="FF000000"/>
        <rFont val="Arial"/>
      </rPr>
      <t>를
 아래 정답란에 입력 후 제출해주세요</t>
    </r>
  </si>
  <si>
    <t>거실테이블 cw150</t>
  </si>
  <si>
    <r>
      <rPr>
        <sz val="0"/>
        <color rgb="FF000000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rgb="FF000000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rgb="FF000000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rgb="FF000000"/>
        <rFont val="Arial"/>
      </rPr>
      <t xml:space="preserve">
</t>
    </r>
    <r>
      <rPr>
        <sz val="0"/>
        <color rgb="FF0000FF"/>
        <rFont val="Arial"/>
      </rPr>
      <t>라*가구 *드 1200 *프트* 거* 테*블 c*150</t>
    </r>
    <r>
      <rPr>
        <sz val="0"/>
        <color rgb="FF000000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rgb="FF000000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rgb="FF000000"/>
        <rFont val="Arial"/>
      </rPr>
      <t>를
 아래 정답란에 입력 후 제출해주세요</t>
    </r>
  </si>
  <si>
    <t>거실테이블 위드 cw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</si>
  <si>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라*가구 *드 1200 *프트* 거* 테*블 c*150
 ▶판매처 : 라자가구 스토어
 5. 찜하기 클릭
 6. 바로가기 클릭
 7. 상품 클릭
 8. 링크(url) 복사 후 정답에 붙여넣기 후 제출</t>
  </si>
  <si>
    <t>화장대 모디카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</si>
  <si>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</si>
  <si>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화장대 르엔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</si>
  <si>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</si>
  <si>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화장대 모디카 르엔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</si>
  <si>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</si>
  <si>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</si>
  <si>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화장대 르엔 화이트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</si>
  <si>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모디* 르* 틈새 *장대 *툴 일*형 화*트_좌*
 ( '광고' 클릭 절대 금지 )
 ▶판매처 : 모디카
 5. 찜하기 클릭
 6. 바로가기 클릭
 7. 상품 클릭
 8. 링크(url) 복사 후 정답에 붙여넣기 후 제출</t>
    </r>
  </si>
  <si>
    <t>올리브오일스틱 올토샷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</si>
  <si>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올토* 유*농 엑*트*버진 공* 올*브오* 스* 올리* 토*토 올*샷 210ml,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</si>
  <si>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올리브오일스틱 올토샷 유기농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</si>
  <si>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올토* 유*농 엑*트*버진 공* 올*브오* 스* 올리* 토*토 올*샷 210ml,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</si>
  <si>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올리브오일스틱 엑스트라버진 공복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</si>
  <si>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올토* 유*농 엑*트*버진 공* 올*브오* 스* 올리* 토*토 올*샷 210ml,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</si>
  <si>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올리브오일스틱 유기농 공복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</si>
  <si>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올토* 유*농 엑*트*버진 공* 올*브오* 스* 올리* 토*토 올*샷 210ml,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</si>
  <si>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올리브오일스틱 토마토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</si>
  <si>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뚜*프루* 올토* 유*농 엑*트*버진 공* 올*브오* 스* 올리* 토*토 올*샷 210ml, 3개
 ( '광고' 클릭 절대 금지 )
 ▶판매처 : 뚜띠프루티
 5. 찜하기 클릭
 6. 바로가기 클릭 
 7. 상품 클릭
 8. 링크(url) 복사 후 정답에 붙여넣기 후 제출</t>
    </r>
  </si>
  <si>
    <t>비오틴 추천 60정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</si>
  <si>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</si>
  <si>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비오틴 추천 500mg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</si>
  <si>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</si>
  <si>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비오틴 추천 유기농 1개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</si>
  <si>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</si>
  <si>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</si>
  <si>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비오틴 추천 500mg x 60정</t>
  </si>
  <si>
    <t>유기농 밀크씨슬 30정 1000mg 1개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</si>
  <si>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</si>
  <si>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</si>
  <si>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</si>
  <si>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</si>
  <si>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435개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</si>
  <si>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</si>
  <si>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</si>
  <si>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</si>
  <si>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</si>
  <si>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256개</t>
  </si>
  <si>
    <t>사무용의자 모드니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</si>
  <si>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네이버플러스스토어(beta)</t>
    </r>
    <r>
      <rPr>
        <sz val="0"/>
        <color theme="1"/>
        <rFont val="Arial"/>
      </rPr>
      <t xml:space="preserve"> 클릭해주세요.
3. 복사된 키워드를 검색 창에 붙여 넣고 검색해주세요.
4. 아래 상품을 클릭 해주세요.
모*니 허*편한 *무용 의자 메* 컴퓨* 학생 공*용 *내산 올블*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모드니 컴퍼니</t>
    </r>
    <r>
      <rPr>
        <sz val="0"/>
        <color theme="1"/>
        <rFont val="Arial"/>
      </rPr>
      <t xml:space="preserve">
 5. 상세페이지 하단 추가구매정보에서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</si>
  <si>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https://plus-store.naver.com/PoFq?&amp;pid=Naver&amp;c=250319_Naver_All_INS_mobs&amp;af_adset=250319_NEW_All_All_All&amp;af_ad=250319_IMG_Banner_Text_All_G_npssubapp_2&amp;af_force_deeplink=true&amp;af_param_forwarding=false&amp;deep_link_value=navershopping%3A%2F%2Fhome&amp;af_dp=navershopping%3A%2F%2F</t>
  </si>
  <si>
    <t>모드니 컴퍼니</t>
  </si>
  <si>
    <t>https://smartstore.naver.com/modnimart/products/6338196321</t>
  </si>
  <si>
    <t>https://docs.google.com/spreadsheets/d/1Wk9n3bHNKq6lMGgE2uXUdjyfas0ZXOwRU9E0dcO-M4U/edit?gid=0#gid=0</t>
  </si>
  <si>
    <t>사무용의자 메쉬 올블랙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</si>
  <si>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네이버플러스스토어(beta)</t>
    </r>
    <r>
      <rPr>
        <sz val="0"/>
        <color theme="1"/>
        <rFont val="Arial"/>
      </rPr>
      <t xml:space="preserve"> 클릭해주세요.
3. 복사된 키워드를 검색 창에 붙여 넣고 검색해주세요.
4. 아래 상품을 클릭 해주세요.
모*니 허*편한 *무용 의자 메* 컴퓨* 학생 공*용 *내산 올블*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모드니 컴퍼니</t>
    </r>
    <r>
      <rPr>
        <sz val="0"/>
        <color theme="1"/>
        <rFont val="Arial"/>
      </rPr>
      <t xml:space="preserve">
 5. 상세페이지 하단 추가구매정보에서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</si>
  <si>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https://notice.naver.com/notices/shopping/17100?page=1&amp;pageSize=10&amp;newNoticeHour=168&amp;t=d</t>
  </si>
  <si>
    <t>생강청 두원농협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</si>
  <si>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네이버플러스스토어(beta)</t>
    </r>
    <r>
      <rPr>
        <sz val="0"/>
        <color theme="1"/>
        <rFont val="Arial"/>
      </rPr>
      <t xml:space="preserve"> 클릭해주세요.
3. 복사된 키워드를 검색 창에 붙여 넣고 검색해주세요.
4. 아래 상품을 클릭 해주세요.
두*농협 생*청 *강차 국내* 수* 1kg+1kg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Yuja-Tea</t>
    </r>
    <r>
      <rPr>
        <sz val="0"/>
        <color theme="1"/>
        <rFont val="Arial"/>
      </rPr>
      <t xml:space="preserve">
 5. 상세페이지 하단 추가구매정보에서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</si>
  <si>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Yuja-Tea</t>
  </si>
  <si>
    <t>https://smartstore.naver.com/didcpn/products/11345867757</t>
  </si>
  <si>
    <t>생강청 국내산 수제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</si>
  <si>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네이버플러스스토어(beta)</t>
    </r>
    <r>
      <rPr>
        <sz val="0"/>
        <color theme="1"/>
        <rFont val="Arial"/>
      </rPr>
      <t xml:space="preserve"> 클릭해주세요.
3. 복사된 키워드를 검색 창에 붙여 넣고 검색해주세요.
4. 아래 상품을 클릭 해주세요.
두*농협 생*청 *강차 국내* 수* 1kg+1kg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Yuja-Tea</t>
    </r>
    <r>
      <rPr>
        <sz val="0"/>
        <color theme="1"/>
        <rFont val="Arial"/>
      </rPr>
      <t xml:space="preserve">
 5. 상세페이지 하단 추가구매정보에서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</si>
  <si>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유자차 고흥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</si>
  <si>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네이버플러스스토어(beta)</t>
    </r>
    <r>
      <rPr>
        <sz val="0"/>
        <color theme="1"/>
        <rFont val="Arial"/>
      </rPr>
      <t xml:space="preserve"> 클릭해주세요.
3. 복사된 키워드를 검색 창에 붙여 넣고 검색해주세요.
4. 아래 상품을 클릭 해주세요.
1+1 *흥 *자차 유*청 *아만든 수* 두원*협 2kg 2개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Yuja-Tea</t>
    </r>
    <r>
      <rPr>
        <sz val="0"/>
        <color theme="1"/>
        <rFont val="Arial"/>
      </rPr>
      <t xml:space="preserve">
 5. 상세페이지 하단 추가구매정보에서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</si>
  <si>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https://smartstore.naver.com/didcpn/products/9464627734</t>
  </si>
  <si>
    <t>유자차 수제 2kg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</si>
  <si>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네이버플러스스토어(beta)</t>
    </r>
    <r>
      <rPr>
        <sz val="0"/>
        <color theme="1"/>
        <rFont val="Arial"/>
      </rPr>
      <t xml:space="preserve"> 클릭해주세요.
3. 복사된 키워드를 검색 창에 붙여 넣고 검색해주세요.
4. 아래 상품을 클릭 해주세요.
1+1 *흥 *자차 유*청 *아만든 수* 두원*협 2kg 2개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Yuja-Tea</t>
    </r>
    <r>
      <rPr>
        <sz val="0"/>
        <color theme="1"/>
        <rFont val="Arial"/>
      </rPr>
      <t xml:space="preserve">
 5. 상세페이지 하단 추가구매정보에서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</si>
  <si>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의정부 피부관리 유영테라피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</si>
  <si>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4.[대구마사지엔 헤스티*]플레이스를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{ㅊㄱㅎㄱ}
정답 : &lt;4&gt; 글자
* 정답란에 띄어쓰기 없이 입력 후 제출해주세요.</t>
  </si>
  <si>
    <t>대구마사지엔 헤스티*</t>
  </si>
  <si>
    <t>대구마사지 헤스티아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</si>
  <si>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4.[대구마사지엔 헤스티*]플레이스를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{ㄷㅇㅅ}
정답 : &lt;3&gt; 글자
* 정답란에 띄어쓰기 없이 입력 후 제출해주세요.</t>
  </si>
  <si>
    <t>대구 헤스티아 마사지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</si>
  <si>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4.[대구마사지엔 헤스티*]플레이스를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{ㅇㄱㄷㅅ}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</si>
  <si>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4.[*RTE DEL SOGNO 꿈의미술관]플레이스를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{ㅇㅅㅊ}
정답 : &lt;3&gt; 글자
* 정답란에 띄어쓰기 없이 입력 후 제출해주세요.</t>
  </si>
  <si>
    <t>*RTE DEL SOGNO 꿈의미술관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</si>
  <si>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4.[*RTE DEL SOGNO 꿈의미술관]플레이스를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{ㅈㅇㅊ}
정답 : &lt;3&gt; 글자
* 정답란에 띄어쓰기 없이 입력 후 제출해주세요.</t>
  </si>
  <si>
    <t>ARTE DEL SOGNO 꿈의미술관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</si>
  <si>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4.[*RTE DEL SOGNO 꿈의미술관]플레이스를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{ㅇㄷㄱㄹㄱㅇ}
정답 : &lt;6&gt; 글자
* 정답란에 띄어쓰기 없이 입력 후 제출해주세요.</t>
  </si>
  <si>
    <t>https://docs.google.com/spreadsheets/d/1tR_99Od2s8gsPk3emQ5KyzlGnUQAcxnIvaPMk9qbxa4/edit?usp=sharing</t>
  </si>
  <si>
    <t>석촌동 감성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</si>
  <si>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{ㅁㄹㅇ}
정답 : &lt;3&gt; 글자
* 정답란에 띄어쓰기 없이 입력 후 제출해주세요.</t>
  </si>
  <si>
    <t>https://docs.google.com/spreadsheets/d/1NPBTo5WNq_Z44hZMJWZIYhmfoiZ9GpRsiQc3gaHojLI/edit?gid=746395631#gid=746395631</t>
  </si>
  <si>
    <t>송파 브런치카페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</si>
  <si>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{ㅅㅇㅅㅋㅇ}
정답 : &lt;5&gt; 글자
* 정답란에 띄어쓰기 없이 입력 후 제출해주세요.</t>
  </si>
  <si>
    <t>석촌역 브런치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</si>
  <si>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{ㅇㄹㄴㄱㅈ}
정답 : &lt;5&gt; 글자
* 정답란에 띄어쓰기 없이 입력 후 제출해주세요.</t>
  </si>
  <si>
    <t>석촌동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</si>
  <si>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{ㅇㄷㅍㅋ}
정답 : &lt;4&gt; 글자
* 정답란에 띄어쓰기 없이 입력 후 제출해주세요.</t>
  </si>
  <si>
    <t>월드파크</t>
  </si>
  <si>
    <t>석촌 분위기 브런치</t>
  </si>
  <si>
    <t>송파 브런치카페 커피</t>
  </si>
  <si>
    <t>석촌동 카페 데이트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</si>
  <si>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{ㅅㅆㄱㅇ}
정답 : &lt;4&gt; 글자
* 정답란에 띄어쓰기 없이 입력 후 제출해주세요.</t>
  </si>
  <si>
    <t>잠실 브런치카페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</si>
  <si>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{ㅂㅇㄷㅁㅈㄱㅁ}
정답 : &lt;7&gt; 글자
* 정답란에 띄어쓰기 없이 입력 후 제출해주세요.</t>
  </si>
  <si>
    <t>방이동먹자골목</t>
  </si>
  <si>
    <t>잠실 파스타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</si>
  <si>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{ㅅㅈㄱㄹㄱㅇ}
정답 : &lt;6&gt; 글자
* 정답란에 띄어쓰기 없이 입력 후 제출해주세요.</t>
  </si>
  <si>
    <t>잠실 석촌 브런치카페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</si>
  <si>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{ㅌㅊㅇㅅㅈ}
정답 : &lt;5&gt; 글자
* 정답란에 띄어쓰기 없이 입력 후 제출해주세요.</t>
  </si>
  <si>
    <t>탄천유수지</t>
  </si>
  <si>
    <t>역삼로 디저트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</si>
  <si>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{ㅇㅈㄷㅅㄷ}
정답 : &lt;5&gt; 글자
* 정답란에 띄어쓰기 없이 입력 후 제출해주세요.</t>
  </si>
  <si>
    <t>양재동성당</t>
  </si>
  <si>
    <t>역삼로 디저트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</si>
  <si>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{ㅇㅅㅁㅎㄱㅇ}
정답 : &lt;6&gt; 글자
* 정답란에 띄어쓰기 없이 입력 후 제출해주세요.</t>
  </si>
  <si>
    <t>역삼로 커피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</si>
  <si>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{ㅇㅅㅈㅁㄱㅇ}
정답 : &lt;6&gt; 글자
* 정답란에 띄어쓰기 없이 입력 후 제출해주세요.</t>
  </si>
  <si>
    <t>강남역 팬케이크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</si>
  <si>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{ㅊㅈㄱㅇㅅㄷㄱㅎ}
정답 : &lt;8&gt; 글자
* 정답란에 띄어쓰기 없이 입력 후 제출해주세요.</t>
  </si>
  <si>
    <t>강남역 4번출구 슬로우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</si>
  <si>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{ㅁㅂㅅ}
정답 : &lt;3&gt; 글자
* 정답란에 띄어쓰기 없이 입력 후 제출해주세요.</t>
  </si>
  <si>
    <t>매봉산</t>
  </si>
  <si>
    <t>강남 강아지동반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</si>
  <si>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{ㅇㅎㄹㄱㄹㄱㅇ}
정답 : &lt;7&gt; 글자
* 정답란에 띄어쓰기 없이 입력 후 제출해주세요.</t>
  </si>
  <si>
    <t>강남 강아지동반 커피</t>
  </si>
  <si>
    <t>강남 반려견동반 카페</t>
  </si>
  <si>
    <t>강남 반려견동반 대형카페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</si>
  <si>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{ㅊㅈㄱㅅㅊㄷㅅㄷ}
정답 : &lt;8&gt; 글자
* 정답란에 띄어쓰기 없이 입력 후 제출해주세요.</t>
  </si>
  <si>
    <t>강남역 디저트 힐링카페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</si>
  <si>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{ㅁㄷㄱㅇ}
정답 : &lt;4&gt; 글자
* 정답란에 띄어쓰기 없이 입력 후 제출해주세요.</t>
  </si>
  <si>
    <t>과천 초밥 예약</t>
  </si>
  <si>
    <t>과천 초밥 맛집 추천</t>
  </si>
  <si>
    <t>성남 신흥동 커튼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</si>
  <si>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4.[*이커스커튼]플레이스를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{ㄷㅇㄱㄹㄱㅇ}
정답 : &lt;6&gt; 글자
* 정답란에 띄어쓰기 없이 입력 후 제출해주세요.</t>
  </si>
  <si>
    <t>대원근린공원</t>
  </si>
  <si>
    <t>*이커스커튼</t>
  </si>
  <si>
    <t>https://m.place.naver.com/place/1288658719/home?entry=pll</t>
  </si>
  <si>
    <t>성남 신흥동 커튼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</si>
  <si>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4.[*이커스커튼]플레이스를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{ㅂㄱㅅㄷㄱㅁㅈ}
정답 : &lt;7&gt; 글자
* 정답란에 띄어쓰기 없이 입력 후 제출해주세요.</t>
  </si>
  <si>
    <t>봉국사대광명전</t>
  </si>
  <si>
    <t>대구 칠곡 솥뚜껑 삼겹살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</si>
  <si>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{ㄷㅊㄱㄹㄱㅇ}
정답 : &lt;6&gt; 글자
* 정답란에 띄어쓰기 없이 입력 후 제출해주세요.</t>
  </si>
  <si>
    <t>동천근린공원</t>
  </si>
  <si>
    <t>*기꾸먹자 칠곡3지구점</t>
  </si>
  <si>
    <t>https://m.place.naver.com/restaurant/1590887827/home</t>
  </si>
  <si>
    <t>대구 솥뚜껑 삼겹살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</si>
  <si>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{ㅍㄱㅊ}
정답 : &lt;3&gt; 글자
* 정답란에 띄어쓰기 없이 입력 후 제출해주세요.</t>
  </si>
  <si>
    <t>팔거천</t>
  </si>
  <si>
    <t>대구 솥뚜껑 삼겹살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</si>
  <si>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{ㄱㅇㄷㄱㅂㄱ}
정답 : &lt;6&gt; 글자
* 정답란에 띄어쓰기 없이 입력 후 제출해주세요.</t>
  </si>
  <si>
    <t>대구 솥뚜껑 삼겹살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</si>
  <si>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{ㄱㅇㅅㄷ}
정답 : &lt;4&gt; 글자
* 정답란에 띄어쓰기 없이 입력 후 제출해주세요.</t>
  </si>
  <si>
    <t>대구 솥뚜껑 삼겹살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</si>
  <si>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{ㄷㅇㅅ}
정답 : &lt;3&gt; 글자
* 정답란에 띄어쓰기 없이 입력 후 제출해주세요.</t>
  </si>
  <si>
    <t>대구 칠곡 솥뚜껑 삼겹살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</si>
  <si>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{ㅍㄱㅅㅅ}
정답 : &lt;4&gt; 글자
* 정답란에 띄어쓰기 없이 입력 후 제출해주세요.</t>
  </si>
  <si>
    <t>팔거산성</t>
  </si>
  <si>
    <t>대구 칠곡 솥뚜껑 삼겹살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</si>
  <si>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{ㄱㅎㅅ}
정답 : &lt;3&gt; 글자
* 정답란에 띄어쓰기 없이 입력 후 제출해주세요.</t>
  </si>
  <si>
    <t>구화사</t>
  </si>
  <si>
    <t>대구 칠곡 솥뚜껑 구이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</si>
  <si>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{ㄱㅇㄱㅇ}
정답 : &lt;4&gt; 글자
* 정답란에 띄어쓰기 없이 입력 후 제출해주세요.</t>
  </si>
  <si>
    <t>구암공원</t>
  </si>
  <si>
    <t>대구 칠곡 솥뚜껑 구이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</si>
  <si>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{ㅎㅈㅅ}
정답 : &lt;3&gt; 글자
* 정답란에 띄어쓰기 없이 입력 후 제출해주세요.</t>
  </si>
  <si>
    <t>함지산</t>
  </si>
  <si>
    <t>대구 칠곡 솥뚜껑 구이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</si>
  <si>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{ㅊㄱㄱㄱㄱㄹ}
정답 : &lt;6&gt; 글자
* 정답란에 띄어쓰기 없이 입력 후 제출해주세요.</t>
  </si>
  <si>
    <t>칠곡가구거리</t>
  </si>
  <si>
    <t>금련산역 맛집</t>
  </si>
  <si>
    <t>광안리 나시고랭</t>
  </si>
  <si>
    <t>광안리 폭립</t>
  </si>
  <si>
    <t>광안리 에그베네딕트</t>
  </si>
  <si>
    <t>부산 에그베네딕트</t>
  </si>
  <si>
    <t>부천역 냉동삼겹살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</si>
  <si>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4.[*삼회관 부천역점]플레이스를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{ㅂㅂㄱㅇ}
정답 : &lt;4&gt; 글자
* 정답란에 띄어쓰기 없이 입력 후 제출해주세요.</t>
  </si>
  <si>
    <t>별빛공원</t>
  </si>
  <si>
    <t>*삼회관 부천역점</t>
  </si>
  <si>
    <t>https://m.place.naver.com/restaurant/1401357400/home</t>
  </si>
  <si>
    <t>부천역 냉동삼겹살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</si>
  <si>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4.[*삼회관 부천역점]플레이스를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{ㅅㅈㅅㅇㅇㅅㅌ}
정답 : &lt;7&gt; 글자
* 정답란에 띄어쓰기 없이 입력 후 제출해주세요.</t>
  </si>
  <si>
    <t>성주산아이숲터</t>
  </si>
  <si>
    <t>행주산성 철판 삼겹</t>
  </si>
  <si>
    <t>서초구 휴메이크휘트니스</t>
  </si>
  <si>
    <t>https://docs.google.com/spreadsheets/d/1Egi5kY8_N4DPJKANG1MZfd21JzNbwIBJ-_7C1C6WfQU/edit?gid=603912634#gid=603912634</t>
  </si>
  <si>
    <t>서울 휘트니스 헬스장 서초점</t>
  </si>
  <si>
    <t>서울 서초점 헬스장</t>
  </si>
  <si>
    <t>서울 서초점 휘트니스</t>
  </si>
  <si>
    <t>서울 서초점 헬스장 가격</t>
  </si>
  <si>
    <t>서울 서초점 헬스장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</si>
  <si>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{ㅇㅁㅅㄱㅁㅅ}
정답 : &lt;6&gt; 글자
* 정답란에 띄어쓰기 없이 입력 후 제출해주세요.</t>
  </si>
  <si>
    <t>우면산관문사</t>
  </si>
  <si>
    <t>서울 서초점 헬스장 전화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</si>
  <si>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{ㅂㅂㄷㅅㄷ}
정답 : &lt;5&gt; 글자
* 정답란에 띄어쓰기 없이 입력 후 제출해주세요.</t>
  </si>
  <si>
    <t>방배동성당</t>
  </si>
  <si>
    <t>서울 서초점 헬스장 위치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</si>
  <si>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{ㅇㅎㄹㄱㄹㄱㅇ}
정답 : &lt;7&gt; 글자
* 정답란에 띄어쓰기 없이 입력 후 제출해주세요.</t>
  </si>
  <si>
    <t>서울 서초점 헬스장 주소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</si>
  <si>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{ㅂㅂㄱㄹㄱㅇ}
정답 : &lt;6&gt; 글자
* 정답란에 띄어쓰기 없이 입력 후 제출해주세요.</t>
  </si>
  <si>
    <t>방배근린공원</t>
  </si>
  <si>
    <t>반포대로 헬스장 휘트니스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</si>
  <si>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{ㅁㅁㄹㄸㄱㅇ}
정답 : &lt;6&gt; 글자
* 정답란에 띄어쓰기 없이 입력 후 제출해주세요.</t>
  </si>
  <si>
    <t>반포대로 헬스장 영업시간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</si>
  <si>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{ㅁㅂㅈㅅ}
정답 : &lt;4&gt; 글자
* 정답란에 띄어쓰기 없이 입력 후 제출해주세요.</t>
  </si>
  <si>
    <t>매봉재산</t>
  </si>
  <si>
    <t>반포대로 헬스장 주소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</si>
  <si>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{ㅅㄹㅍㄱㅇ}
정답 : &lt;5&gt; 글자
* 정답란에 띄어쓰기 없이 입력 후 제출해주세요.</t>
  </si>
  <si>
    <t>반포대로 헬스장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</si>
  <si>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{ㅁㄷㄱㅇ}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</si>
  <si>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{ㅇㅁㅈㄱㄱㄹㄱㅇ}
정답 : &lt;8&gt; 글자
* 정답란에 띄어쓰기 없이 입력 후 제출해주세요.</t>
  </si>
  <si>
    <t>우면지구근린공원</t>
  </si>
  <si>
    <t>남부터미널 헬스장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</si>
  <si>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{ㅅㅅㅌㅇ}
정답 : &lt;4&gt; 글자
* 정답란에 띄어쓰기 없이 입력 후 제출해주세요.</t>
  </si>
  <si>
    <t>남부터미널 휘트니스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</si>
  <si>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{ㅅㄹㅁㅇ}
정답 : &lt;4&gt; 글자
* 정답란에 띄어쓰기 없이 입력 후 제출해주세요.</t>
  </si>
  <si>
    <t>남부터미널역 휘트니스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</si>
  <si>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{ㅅㄹㅁㅇㅋㅍㄱㄹ}
정답 : &lt;8&gt; 글자
* 정답란에 띄어쓰기 없이 입력 후 제출해주세요.</t>
  </si>
  <si>
    <t>남부터미널역 휘트니스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</si>
  <si>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{ㅇㅈㄷㅅㄷ}
정답 : &lt;5&gt; 글자
* 정답란에 띄어쓰기 없이 입력 후 제출해주세요.</t>
  </si>
  <si>
    <t>남부터미널역 헬스장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</si>
  <si>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{ㅁㅈㄱㄹㄱㅇ}
정답 : &lt;6&gt; 글자
* 정답란에 띄어쓰기 없이 입력 후 제출해주세요.</t>
  </si>
  <si>
    <t>말죽거리공원</t>
  </si>
  <si>
    <t>남부터미널역 헬스장 영업시간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</si>
  <si>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{ㅇㅅㄷㅅ}
정답 : &lt;4&gt; 글자
* 정답란에 띄어쓰기 없이 입력 후 제출해주세요.</t>
  </si>
  <si>
    <t>이수동산</t>
  </si>
  <si>
    <t>서울 남부터미널 헬스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</si>
  <si>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{ㅇㅅㅅㄴㅁㄱㅇ}
정답 : &lt;7&gt; 글자
* 정답란에 띄어쓰기 없이 입력 후 제출해주세요.</t>
  </si>
  <si>
    <t>반포대로 휘트니스 영업시간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</si>
  <si>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{ㄱㄴㅇㅍㄷㅌㄹㅈ}
정답 : &lt;8&gt; 글자
* 정답란에 띄어쓰기 없이 입력 후 제출해주세요.</t>
  </si>
  <si>
    <t>서울 남부터미널 피티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</si>
  <si>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{ㄷㄱㅁㄹㄱㅇ}
정답 : &lt;6&gt; 글자
* 정답란에 띄어쓰기 없이 입력 후 제출해주세요.</t>
  </si>
  <si>
    <t>도구머리공원</t>
  </si>
  <si>
    <t>서울 반포대로 헬스장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</si>
  <si>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{ㅂㅂㅊㅇㄱㅇ}
정답 : &lt;6&gt; 글자
* 정답란에 띄어쓰기 없이 입력 후 제출해주세요.</t>
  </si>
  <si>
    <t>방배체육공원</t>
  </si>
  <si>
    <t>광안리 일식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</si>
  <si>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4.[쿠치*]플레이스를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{ㅇㄹㅅㅇ}
정답 : &lt;4&gt; 글자
* 정답란에 띄어쓰기 없이 입력 후 제출해주세요.</t>
  </si>
  <si>
    <t>쿠치*</t>
  </si>
  <si>
    <t>광안리 일식 술집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</si>
  <si>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4.[쿠치*]플레이스를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{ㅁㄹㅅㅂㄱㅇ}
정답 : &lt;6&gt; 글자
* 정답란에 띄어쓰기 없이 입력 후 제출해주세요.</t>
  </si>
  <si>
    <t>민락수변공원</t>
  </si>
  <si>
    <t>광안리 쿠치가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</si>
  <si>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4.[쿠치*]플레이스를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{ㅊㅇㄷ}
정답 : &lt;3&gt; 글자
* 정답란에 띄어쓰기 없이 입력 후 제출해주세요.</t>
  </si>
  <si>
    <t>부산 서면 라미네이트</t>
  </si>
  <si>
    <t>부산 서면 라미네이트 치과</t>
  </si>
  <si>
    <t>부산 서면 전체임플란트 치과</t>
  </si>
  <si>
    <t>부산 서면 전체임플란트 치과 예약</t>
  </si>
  <si>
    <t>부산 서면 전체임플란트 치과 추천</t>
  </si>
  <si>
    <t>01월 12일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</si>
  <si>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</si>
  <si>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</si>
  <si>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</si>
  <si>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온열변기커버 시트 생활방수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</si>
  <si>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</si>
  <si>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1,104개</t>
  </si>
  <si>
    <t>온열변기커버 시트 방수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</si>
  <si>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(제*직판) *상 온시* WS-1000 따*한 온*변기*버 생*방수
( '광고' 클릭 절대 금지 )
 ▶판매처 : 운상
 5. 찜하기 클릭
 6. 바로가기 클릭
 7. 상품 클릭
 8. 링크(url) 복사 후 정답에 붙여넣기 후 제출</t>
    </r>
  </si>
  <si>
    <t>옷장 파로마 슬라이딩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</si>
  <si>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*로마 *이 1200 *라이딩 *장 *거형 YUR058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</si>
  <si>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www.google.com/search?q=%EC%98%B7%EC%9E%A5&amp;sca_esv=66dcb8b269873eb4&amp;sxsrf=ANbL-n7DuxEJiq8MChmvpxYzkQLSnBj_Vg%3A1768282611578&amp;ei=89llaZbvIrLl2roP9OmRmQM&amp;ved=0ahUKEwjWtLOH5oeSAxWyslYBHfR0JDMQ4dUDCBE&amp;uact=5&amp;oq=%EC%98%B7%EC%9E%A5&amp;gs_lp=Egxnd3Mtd2l6LXNlcnAiBuyYt-yepTILEAAYgAQYsQMYgwEyBRAAGIAEMgUQABiABDIFEAAYgAQyBRAAGIAEMgUQABiABDIFEAAYgAQyBRAuGIAEMgUQABiABDIFEAAYgARIl3dQoXFYoXFwAngBkAEAmAFzoAFzqgEDMC4xuAEDyAEA-AEB-AECmAIDoAKCAagCCsICBxAjGOoCGCfCAgcQLhjqAhgnmAMF8QUAwP_eajfVipIHAzIuMaAHvAayBwMwLjG4B3nCBwMyLTPIBw2ACAE&amp;sclient=gws-wiz-serp</t>
  </si>
  <si>
    <t>옷장 파로마 1200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</si>
  <si>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*로마 *이 1200 *라이딩 *장 *거형 YUR058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</si>
  <si>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https://m.search.naver.com/search.naver?sm=mtp_hty.top&amp;where=m&amp;query=%EC%98%B7%EC%9E%A5&amp;ackey=fjnfjork</t>
  </si>
  <si>
    <t>옷장 YUR058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</si>
  <si>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*로마 *이 1200 *라이딩 *장 *거형 YUR058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</si>
  <si>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https://msearch.shopping.naver.com/search/all?query=%EC%98%B7%EC%9E%A5&amp;prevQuery=%EC%98%B7%EC%9E%A5%20%EC%86%8C%EC%9D%B4%20%EC%8A%AC%EB%9D%BC%EC%9D%B4%EB%94%A9&amp;vertical=search</t>
  </si>
  <si>
    <t>옷장 YUR058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</si>
  <si>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*로마 *이 1200 *라이딩 *장 *거형 YUR058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온라인 브랜드 가구
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</si>
  <si>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소이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</si>
  <si>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상품을 클릭 해주세요.
*로마 *이 1200 *라이딩 *장 *거형 YUR058
</t>
    </r>
    <r>
      <rPr>
        <sz val="0"/>
        <color rgb="FFFF0000"/>
        <rFont val="Arial"/>
      </rPr>
      <t xml:space="preserve">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</si>
  <si>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"스위든바-swidn.com"을 찾아주세요.
5. "스위든바 | 스위든액상 | 아이스녹차,그린티 | 쿠반시가 공식 총판 (주)가람컴퍼니"를 클릭해주세요.
6. 사이트 방문 후 제일 하단으로 이동해주세요.
7. [ 힌트 ] 를 보고 정답을 찾아주세요.
8. 초성힌트 : [ 브랜드 소개│상품문의│OOOO│멤버십 ]
정답 : &lt;4&gt;  글자
* 정답란에 - 포함하여 띄어쓰기 없이 입력 후 제출해주세요.</t>
  </si>
  <si>
    <t>고객센터</t>
  </si>
  <si>
    <t>명지꽃집 유화당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</si>
  <si>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{ㄴㅈㅈ}
정답 : &lt;3&gt; 글자
* 정답란에 띄어쓰기 없이 입력 후 제출해주세요.</t>
  </si>
  <si>
    <t>*화당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</si>
  <si>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{ㄴㄷㄱㄹㄲㄱㅇ}
정답 : &lt;7&gt; 글자
* 정답란에 띄어쓰기 없이 입력 후 제출해주세요.</t>
  </si>
  <si>
    <t>명지국제신도시 꽃다발 유화당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</si>
  <si>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{ㅇㅅㄷ}
정답 : &lt;3&gt; 글자
* 정답란에 띄어쓰기 없이 입력 후 제출해주세요.</t>
  </si>
  <si>
    <t>평택고덕동 피아노학원 숙명뮤즈음악학원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</si>
  <si>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4.[*명뮤즈음악학원]플레이스를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{ㄷㄷㄱㅇ}
정답 : &lt;4&gt; 글자
* 정답란에 띄어쓰기 없이 입력 후 제출해주세요.</t>
  </si>
  <si>
    <t>댕당공원</t>
  </si>
  <si>
    <t>*명뮤즈음악학원</t>
  </si>
  <si>
    <t>https://m.place.naver.com/place/1635923607/home?entry=pll</t>
  </si>
  <si>
    <t>평택 고덕 피아노 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</si>
  <si>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4.[*명뮤즈음악학원]플레이스를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{ㅈㄷㄱㅇ}
정답 : &lt;4&gt; 글자
* 정답란에 띄어쓰기 없이 입력 후 제출해주세요.</t>
  </si>
  <si>
    <t>장당공원</t>
  </si>
  <si>
    <t>평택 고덕동 음악 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</si>
  <si>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4.[*명뮤즈음악학원]플레이스를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{ㅅㅊㅅ}
정답 : &lt;3&gt; 글자
* 정답란에 띄어쓰기 없이 입력 후 제출해주세요.</t>
  </si>
  <si>
    <t>서천사</t>
  </si>
  <si>
    <t>https://m.place.naver.com/place/1426588177/home</t>
  </si>
  <si>
    <t>평택 칠원동 영어학원</t>
  </si>
  <si>
    <t>평택 성인전문 영어학원</t>
  </si>
  <si>
    <t>달동맛집 오늘김해뒷고기 울산달동점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</si>
  <si>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4.[*늘김해뒷고기 울산달동]플레이스를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{ㅈㄷㄱㅇ}
정답 : &lt;4&gt; 글자
* 정답란에 띄어쓰기 없이 입력 후 제출해주세요.</t>
  </si>
  <si>
    <t>*늘김해뒷고기 울산달동</t>
  </si>
  <si>
    <t>https://m.place.naver.com/restaurant/1859192245/home</t>
  </si>
  <si>
    <t>울산 남구 김해뒷고기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</si>
  <si>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4.[*늘김해뒷고기 울산달동]플레이스를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{ㅎㅅㄱㅇ}
정답 : &lt;4&gt; 글자
* 정답란에 띄어쓰기 없이 입력 후 제출해주세요.</t>
  </si>
  <si>
    <t>울산 달동 뒷고기 회식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</si>
  <si>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4.[*늘김해뒷고기 울산달동]플레이스를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{ㅊㅅㄱㅇ}
정답 : &lt;4&gt; 글자
* 정답란에 띄어쓰기 없이 입력 후 제출해주세요.</t>
  </si>
  <si>
    <t>청솔공원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</si>
  <si>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{ㅁㅍㅈㄱㅁ}
정답 : &lt;5&gt; 글자
* 정답란에 띄어쓰기 없이 입력 후 제출해주세요.</t>
  </si>
  <si>
    <t>마포전골목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</si>
  <si>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[*크원연세마디의원]플레이스를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</si>
  <si>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4.[*의미래피부과의원]플레이스를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{ㅂㅎㄱㅈㅂㄱㄷ}
정답 : &lt;7&gt; 글자
* 정답란에 띄어쓰기 없이 입력 후 제출해주세요.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</si>
  <si>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[*의미래피부과의원]플레이스를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</si>
  <si>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청주 보리밥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</si>
  <si>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4.[*선보리밥 율량점]플레이스를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{ㅊㅈㄱㅅㅌㄱㅎ}
정답 : &lt;7&gt; 글자
* 정답란에 띄어쓰기 없이 입력 후 제출해주세요.</t>
  </si>
  <si>
    <t>천주교새터교회</t>
  </si>
  <si>
    <t>*선보리밥 율량점</t>
  </si>
  <si>
    <t>https://m.place.naver.com/restaurant/1166078538/home</t>
  </si>
  <si>
    <t>청주 보리밥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</si>
  <si>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4.[*선보리밥 율량점]플레이스를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{ㅊㅈㄷㅎㄱ}
정답 : &lt;5&gt; 글자
* 정답란에 띄어쓰기 없이 입력 후 제출해주세요.</t>
  </si>
  <si>
    <t>망원 양식 맛집</t>
  </si>
  <si>
    <t>망원 양식 맛집 추천</t>
  </si>
  <si>
    <t>망원 함박스테이크</t>
  </si>
  <si>
    <t>망원 알리오올리오</t>
  </si>
  <si>
    <t>망원 양식 예약</t>
  </si>
  <si>
    <t>광명 턱관절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</si>
  <si>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{ㅁㅊㄱㅇ}
정답 : &lt;4&gt; 글자
* 정답란에 띄어쓰기 없이 입력 후 제출해주세요.</t>
  </si>
  <si>
    <t>https://m.place.naver.com/restaurant/1228268834/home</t>
  </si>
  <si>
    <t>방이동 이자카야</t>
  </si>
  <si>
    <t>양재동 옥된장</t>
  </si>
  <si>
    <t>옥된장 양재시민의숲점</t>
  </si>
  <si>
    <t>병점역 필라테스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</si>
  <si>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4.[*성전용 올더핏 필라테스 병점동탄점]플레이스를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{ㅂㅈㄱㄹㄱㅇ}
정답 : &lt;6&gt; 글자
* 정답란에 띄어쓰기 없이 입력 후 제출해주세요.</t>
  </si>
  <si>
    <t>병점근린공원</t>
  </si>
  <si>
    <t>*성전용 올더핏 필라테스 병점동탄점</t>
  </si>
  <si>
    <t>https://m.place.naver.com/place/1357083699/home</t>
  </si>
  <si>
    <t>병점 여성전용 필라테스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</si>
  <si>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4.[*성전용 올더핏 필라테스 병점동탄점]플레이스를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{ㄴㄷㄱㅇ}
정답 : &lt;4&gt; 글자
* 정답란에 띄어쓰기 없이 입력 후 제출해주세요.</t>
  </si>
  <si>
    <t>능동공원</t>
  </si>
  <si>
    <t>병점동탄 필라테스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</si>
  <si>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4.[*성전용 올더핏 필라테스 병점동탄점]플레이스를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{ㅇㅅㅂ}
정답 : &lt;3&gt; 글자
* 정답란에 띄어쓰기 없이 입력 후 제출해주세요.</t>
  </si>
  <si>
    <t>양산봉</t>
  </si>
  <si>
    <t>강동구 싱크대막힘 9199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</si>
  <si>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4.[*크대막힘]플레이스를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{ㅇㅈㅅ}
정답 : &lt;3&gt; 글자
* 정답란에 띄어쓰기 없이 입력 후 제출해주세요.</t>
  </si>
  <si>
    <t>일자산</t>
  </si>
  <si>
    <t>*크대막힘</t>
  </si>
  <si>
    <t>https://m.place.naver.com/place/2015925497/home</t>
  </si>
  <si>
    <t>강동구 길동 싱크대막힘 9199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</si>
  <si>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4.[*크대막힘]플레이스를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{ㅊㅎㅁㄱㅇㄱㄱㄹ}
정답 : &lt;8&gt; 글자
* 정답란에 띄어쓰기 없이 입력 후 제출해주세요.</t>
  </si>
  <si>
    <t>천호문구완구거리</t>
  </si>
  <si>
    <t>포항 애견펜션</t>
  </si>
  <si>
    <t>포항 애견펜션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</si>
  <si>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4.[*레애견펜션]플레이스를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{ㅎㅈㅁㅇ}
정답 : &lt;4&gt; 글자
* 정답란에 띄어쓰기 없이 입력 후 제출해주세요.</t>
  </si>
  <si>
    <t>화진마을</t>
  </si>
  <si>
    <t>신촌역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</si>
  <si>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4.[**동포장마차 신촌본점]플레이스를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{ㅇㄷㅇㄱㄹ}
정답 : &lt;5&gt; 글자
* 정답란에 띄어쓰기 없이 입력 후 제출해주세요.</t>
  </si>
  <si>
    <t>**동포장마차 신촌본점</t>
  </si>
  <si>
    <t>창천동 요리주점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</si>
  <si>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4.[**동포장마차 신촌본점]플레이스를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{ㅅㄱㄷㅎㄱ}
정답 : &lt;5&gt; 글자
* 정답란에 띄어쓰기 없이 입력 후 제출해주세요.</t>
  </si>
  <si>
    <t>01월 13일 마감</t>
  </si>
  <si>
    <t>슬로건타올 제작 300장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</si>
  <si>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</si>
  <si>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슬로건타올 워크샵 300장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</si>
  <si>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</si>
  <si>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https://m.search.naver.com/search.naver?sm=mtp_hty.top&amp;where=m&amp;query=%ED%83%80%EC%98%AC&amp;ackey=3azvrikx</t>
  </si>
  <si>
    <t>슬로건타올 스웨이드 주문제작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</si>
  <si>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</si>
  <si>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 xml:space="preserve">슬로건타올 100x20 주문제작
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</si>
  <si>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</si>
  <si>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슬로건타올 콘서트 응원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</si>
  <si>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</si>
  <si>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뜨개화분 나무 만들기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</si>
  <si>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</si>
  <si>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뜨개화분 패키지 오브제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</si>
  <si>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</si>
  <si>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뜨개화분 뜨개 소품 오브제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</si>
  <si>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</si>
  <si>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뜨개화분 드로잉패키지 오브제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</si>
  <si>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</si>
  <si>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212개</t>
  </si>
  <si>
    <t>뜨개화분 나무패키지 오브제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</si>
  <si>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지수의 스튜디오
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</si>
  <si>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[*내방앗간] *온압착 *내산 *한 *기름 300ml 
( '광고' 클릭 절대 금지 )
 ▶판매처 : 읍내방앗간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</si>
  <si>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참기름 읍내방앗간 답례품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</si>
  <si>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[*내방앗간] *온압착 *내산 *한 *기름 300ml 
( '광고' 클릭 절대 금지 )
 ▶판매처 : 읍내방앗간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</si>
  <si>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https://m.search.naver.com/search.naver?sm=mtp_hty.top&amp;where=m&amp;query=%EC%B0%B8%EA%B8%B0%EB%A6%84&amp;ackey=a7rki61m</t>
  </si>
  <si>
    <t>참기름 읍내방앗간 저온압착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</si>
  <si>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[*내방앗간] *온압착 *내산 *한 *기름 300ml
( '광고' 클릭 절대 금지 )
 ▶판매처 : 읍내방앗간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</si>
  <si>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https://msearch.shopping.naver.com/search/all?query=%EC%B0%B8%EA%B8%B0%EB%A6%84&amp;vertical=search</t>
  </si>
  <si>
    <t>참기름 읍내방앗간 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</si>
  <si>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[*내방앗간] *온압착 *내산 *한 *기름 300ml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읍내방앗간
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</si>
  <si>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참기름 읍내방앗간 국내산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</si>
  <si>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[*내방앗간] *온압착 *내산 *한 *기름 300ml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읍내방앗간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</si>
  <si>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흡착식 걸이 재사용 블랙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</si>
  <si>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*세척으로 *사용 *능한 *용도 *착식 *이 *수&amp;방습 *크 *고리(*랙) (*중 5kg)1개, 1개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bubu box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</si>
  <si>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bubu box</t>
  </si>
  <si>
    <t>https://smartstore.naver.com/bububox_glovista/products/12744883417</t>
  </si>
  <si>
    <t>흡착식 걸이 재사용 긴고리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</si>
  <si>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*세척으로 *사용 *능한 *용도 *착식 *이 *수&amp;방습 *크 *고리(*랙) (*중 5kg)1개, 1개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bubu box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</si>
  <si>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https://m.search.naver.com/search.naver?sm=mtb_hty.top&amp;where=m&amp;ssc=tab.m.all&amp;oquery=%EC%B0%B8%EA%B8%B0%EB%A6%84&amp;tqi=jTkmcdqX6IKssNbjPrV-032606&amp;query=%ED%9D%A1%EC%B0%A9%EC%8B%9D+%EA%B1%B8%EC%9D%B4&amp;ackey=1l8og9i4</t>
  </si>
  <si>
    <t>흡착식 걸이 후크 긴고리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</si>
  <si>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*세척으로 *사용 *능한 *용도 *착식 *이 *수&amp;방습 *크 *고리(*랙) (*중 5kg)1개, 1개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bubu box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</si>
  <si>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https://msearch.shopping.naver.com/search/all?query=%ED%9D%A1%EC%B0%A9%EC%8B%9D%20%EA%B1%B8%EC%9D%B4&amp;prevQuery=%EC%B0%B8%EA%B8%B0%EB%A6%84&amp;vertical=search</t>
  </si>
  <si>
    <t>흡착식 걸이 긴고리 블랙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</si>
  <si>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*세척으로 *사용 *능한 *용도 *착식 *이 *수&amp;방습 *크 *고리(*랙) (*중 5kg)1개, 1개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bubu box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</si>
  <si>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흡착식 걸이 긴고리 5kg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</si>
  <si>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*세척으로 *사용 *능한 *용도 *착식 *이 *수&amp;방습 *크 *고리(*랙) (*중 5kg)1개, 1개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bubu box
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</si>
  <si>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https://m.smartstore.naver.com/bububox_glovista/products/12744883417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</si>
  <si>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</si>
  <si>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2월 세팅 완~ 2/12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</si>
  <si>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</si>
  <si>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</si>
  <si>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</si>
  <si>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</si>
  <si>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</si>
  <si>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</si>
  <si>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</si>
  <si>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https://search.shopping.naver.com/search/all?query=%ED%99%8D%EC%82%BC&amp;prevQuery=%EC%96%B4%EB%A6%B0%EC%9D%B4%20%ED%99%8D%EC%82%BC&amp;vertical=search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</si>
  <si>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</si>
  <si>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'가격비교' 상품을 클릭 해주세요.
 *최저 및 판매처 표시가 있는 상품을 클릭 해주세요*
*생가 *즈로운 *린이홍삼 *5ml x *0포 *개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진생가 몰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</si>
  <si>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</si>
  <si>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</si>
  <si>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</si>
  <si>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</si>
  <si>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508개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</si>
  <si>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라*필 *마 콜라* *오틴*스 신*아 라*필 어린 저분* 3.5g x 150포 3*스
 ( '광고' 클릭 절대 금지 )
 ▶판매처 : 마넬리 코스메틱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</si>
  <si>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</si>
  <si>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</si>
  <si>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</si>
  <si>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</si>
  <si>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502개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</si>
  <si>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라이* 더마 *분자 콜*겐 시*니처 173*톤 초저*자 비오* 신*아 *린 6병 24주
 ( '광고' 클릭 절대 금지 )
 ▶판매처 : 마넬리 코스메틱
 5. 찜하기 클릭
 6. 바로가기 클릭 
 7. 상품 클릭
 8. 링크(url) 복사 후 정답에 붙여넣기 후 제출</t>
    </r>
  </si>
  <si>
    <t>모이사나이트팔찌 화이트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</si>
  <si>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[Moissanite White] 화*트 모이**이트 테니스 순**찌 S925 데**아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데시레아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</si>
  <si>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https://smartstore.naver.com/desirea/products/11554392666</t>
  </si>
  <si>
    <t>모이사나이트팔찌 순은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</si>
  <si>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[Moissanite White] 화*트 모이**이트 테니스 순**찌 S925 데**아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데시레아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</si>
  <si>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https://m.search.naver.com/search.naver?sm=mtp_hty.top&amp;where=m&amp;query=%EB%AA%A8%EC%9D%B4%EC%82%AC%EB%82%98%EC%9D%B4%ED%8A%B8%ED%8C%94%EC%B0%8C&amp;ackey=aove7uit</t>
  </si>
  <si>
    <t>모이사나이트 데시레아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</si>
  <si>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[Moissanite White] 화*트 모이**이트 테니스 순**찌 S925 데**아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데시레아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</si>
  <si>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https://msearch.shopping.naver.com/search/all?query=%EB%AA%A8%EC%9D%B4%EC%82%AC%EB%82%98%EC%9D%B4%ED%8A%B8%ED%8C%94%EC%B0%8C&amp;vertical=search</t>
  </si>
  <si>
    <t>모이사나이트팔찌 S925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</si>
  <si>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[Moissanite White] 화*트 모이**이트 테니스 순**찌 S925 데**아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데시레아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</si>
  <si>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116개</t>
  </si>
  <si>
    <t>모이사나이트팔찌 데시레아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</si>
  <si>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[Moissanite White] 화*트 모이**이트 테니스 순**찌 S925 데**아
 ( '광고' 클릭 절대 금지 )
 ▶판매처 : 데시레아
 5. 찜하기 클릭
 6. 바로가기 클릭 
 7. 상품 클릭
 8. 링크(url) 복사 후 정답에 붙여넣기 후 제출</t>
    </r>
  </si>
  <si>
    <t>https://m.smartstore.naver.com/desirea/products/11554392666</t>
  </si>
  <si>
    <t>퀸침대 LED인싸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</si>
  <si>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</si>
  <si>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퀸침대 인싸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</si>
  <si>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</si>
  <si>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https://m.search.naver.com/search.naver?sm=mtp_hty.top&amp;where=m&amp;query=%ED%80%B8%EC%B9%A8%EB%8C%80&amp;ackey=aove7uit</t>
  </si>
  <si>
    <t>퀸침대 인싸 서랍형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</si>
  <si>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</si>
  <si>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퀸침대 LED 인싸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</si>
  <si>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</si>
  <si>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670개</t>
  </si>
  <si>
    <t>퀸침대 LED 인싸 프레임 수납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</si>
  <si>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소프 led 인싸 3서랍 퀸*대 수납 서*형 프*임
 ( '광고' 클릭 절대 금지 )
 ▶판매처 : 온라인 브랜드 가구
 5. 찜하기 클릭
 6. 바로가기 클릭 
 7. 상품 클릭
 8. 링크(url) 복사 후 정답에 붙여넣기 후 제출</t>
    </r>
  </si>
  <si>
    <t>옷걸이 10P 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</si>
  <si>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**영 프**엄 논*립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</si>
  <si>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**영 프**엄 논*립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</si>
  <si>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https://m.search.naver.com/search.naver?sm=mtp_hty.top&amp;where=m&amp;query=%EC%98%B7%EA%B1%B8%EC%9D%B4&amp;ackey=aove7uit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</si>
  <si>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**영 프**엄 논*립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</si>
  <si>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**영 프**엄 논*립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</si>
  <si>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499개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</si>
  <si>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**영 프**엄 논*립 나무 옷*이 원목 니트 긴목 옷*게 10P 세트
 ( '광고' 클릭 절대 금지 )
 ▶판매처 : 홈앤영
 5. 찜하기 클릭
 6. 바로가기 클릭 
 7. 상품 클릭
 8. 링크(url) 복사 후 정답에 붙여넣기 후 제출</t>
    </r>
  </si>
  <si>
    <t>2월 세팅 완~ 2/2</t>
  </si>
  <si>
    <t>교대역 속기사무소 서초베스트속기사무소</t>
  </si>
  <si>
    <t>남부터미널 서초베스트속기사무소</t>
  </si>
  <si>
    <t>서울 서초베스트속기사무소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</si>
  <si>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4.[*초베스트속기사무소]플레이스를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{ㅇㅎㄹㄱㄹㄱㅇ}
정답 : &lt;7&gt; 글자
* 정답란에 띄어쓰기 없이 입력 후 제출해주세요.</t>
  </si>
  <si>
    <t>선릉역치과 클레어치과의원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</si>
  <si>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4.[*레어치과의원]플레이스를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{ㄷㅊㅁㄹㄱㅇ}
정답 : &lt;6&gt; 글자
* 정답란에 띄어쓰기 없이 입력 후 제출해주세요.</t>
  </si>
  <si>
    <t>대치목련공원</t>
  </si>
  <si>
    <t>https://m.place.naver.com/hospital/2086259932/home?entry=pll</t>
  </si>
  <si>
    <t>클레어치과의원 치아미백</t>
  </si>
  <si>
    <t>선릉역 클레어치과의원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</si>
  <si>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{ㅊㄹㅅ}
정답 : &lt;3&gt; 글자
* 정답란에 띄어쓰기 없이 입력 후 제출해주세요.</t>
  </si>
  <si>
    <t>유화당 꽃배달 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</si>
  <si>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{ㅇㅅㄷㅊㅇㄱㅇ}
정답 : &lt;7&gt; 글자
* 정답란에 띄어쓰기 없이 입력 후 제출해주세요.</t>
  </si>
  <si>
    <t>유화당 꽃다발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</si>
  <si>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{ㅇㅅㄷㄱㅇ}
정답 : &lt;5&gt; 글자
* 정답란에 띄어쓰기 없이 입력 후 제출해주세요.</t>
  </si>
  <si>
    <t>창원테일러샵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</si>
  <si>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4.[*이비스포크]플레이스를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{ㅌㅂㅅ}
정답 : &lt;3&gt; 글자
* 정답란에 띄어쓰기 없이 입력 후 제출해주세요.</t>
  </si>
  <si>
    <t>*이비스포크</t>
  </si>
  <si>
    <t>https://m.place.naver.com/place/34827613/home</t>
  </si>
  <si>
    <t>인천공항 실내 주차</t>
  </si>
  <si>
    <t>인천공항 세일 실내</t>
  </si>
  <si>
    <t>인천공항 실내 주차 위치</t>
  </si>
  <si>
    <t>인천공항 실내 주차 예약</t>
  </si>
  <si>
    <t>인천공항 실내 발렛 대행</t>
  </si>
  <si>
    <t>인천공항 실내 발렛 업체</t>
  </si>
  <si>
    <t>인천공항 실내 주차 대행업체</t>
  </si>
  <si>
    <t>인천공항 주차대행 서비스</t>
  </si>
  <si>
    <t>인천공항 주차대행 세일</t>
  </si>
  <si>
    <t>인천공항 주차대행 방문접수</t>
  </si>
  <si>
    <t>인천공항 발렛파킹 세일</t>
  </si>
  <si>
    <t>인천공항 세일 주차</t>
  </si>
  <si>
    <t>인천공항 실내 발렛</t>
  </si>
  <si>
    <t>인천공항 실내 주차 업체</t>
  </si>
  <si>
    <t>을왕리 조개구이 맛집 추천</t>
  </si>
  <si>
    <t>을왕리 무한리필 조개구이</t>
  </si>
  <si>
    <t>광명 철산동 교정 예약</t>
  </si>
  <si>
    <t>전포역 마파두부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</si>
  <si>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{ㄷㄷㅅㄱㄹㄱㅇ}
정답 : &lt;7&gt; 글자
* 정답란에 띄어쓰기 없이 입력 후 제출해주세요.</t>
  </si>
  <si>
    <t>도덕산근린공원</t>
  </si>
  <si>
    <t>광명 사랑니 치과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</si>
  <si>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{ㅁㄱㄹㅊ}
정답 : &lt;4&gt; 글자
* 정답란에 띄어쓰기 없이 입력 후 제출해주세요.</t>
  </si>
  <si>
    <t>먹거리촌</t>
  </si>
  <si>
    <t>금련산역 육회</t>
  </si>
  <si>
    <t>광안 1동 뭉티기</t>
  </si>
  <si>
    <t>서면역 라미네이트 추천</t>
  </si>
  <si>
    <t>서면역 라미네이트 치과 예약</t>
  </si>
  <si>
    <t>서면역 전체 임플란트</t>
  </si>
  <si>
    <t>서면역 전체 임플란트 예약</t>
  </si>
  <si>
    <t>남양주 형사전문 법률사무소 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</si>
  <si>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4.[***혼전문 법률사무소나인 김현수변호사]플레이스를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{ㄴㅍㄹㄱㅇ}
정답 : &lt;5&gt; 글자
* 정답란에 띄어쓰기 없이 입력 후 제출해주세요.</t>
  </si>
  <si>
    <t>***혼전문 법률사무소나인 김현수변호사</t>
  </si>
  <si>
    <t>남양주 이혼전문 법률사무소</t>
  </si>
  <si>
    <t>남양주 이혼전문 법률사무소 추천</t>
  </si>
  <si>
    <t>남양주 이혼전문 법률사무소 상담</t>
  </si>
  <si>
    <t>남양주 이혼전문 법률사무소 예약</t>
  </si>
  <si>
    <t>신중동역 사랑니발치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</si>
  <si>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4.[***터스치과의원]플레이스를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{ㅇㅎㄱㅇ}
정답 : &lt;4&gt; 글자
* 정답란에 띄어쓰기 없이 입력 후 제출해주세요.</t>
  </si>
  <si>
    <t>***터스치과의원</t>
  </si>
  <si>
    <t>신중동역 사랑니발치 예약</t>
  </si>
  <si>
    <t>신중동역 잇몸신경치료</t>
  </si>
  <si>
    <t>신중동역 잇몸신경치료 치과</t>
  </si>
  <si>
    <t>신중동역 잇몸신경치료 치과 예약</t>
  </si>
  <si>
    <t>대전 조정이혼전문 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</si>
  <si>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4.[***혼전문변호사 법률사무소나인 최서희대전형사전문변호사]플레이스를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{ㄷㅅㄷㄱㅇ}
정답 : &lt;5&gt; 글자
* 정답란에 띄어쓰기 없이 입력 후 제출해주세요.</t>
  </si>
  <si>
    <t>***혼전문변호사 법률사무소나인 최서희대전형사전문변호사</t>
  </si>
  <si>
    <t>대전 조정이혼전문 법률사무소</t>
  </si>
  <si>
    <t>대전 조정이혼전문 법률사무소 추천</t>
  </si>
  <si>
    <t>대전 조정이혼전문 법률사무소 상담</t>
  </si>
  <si>
    <t>대전 조정이혼전문 법률사무소 예약</t>
  </si>
  <si>
    <t>01월 14일 마감</t>
  </si>
  <si>
    <t>포터2리스 슈퍼캡 AT 26년형 5년 LPG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</si>
  <si>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[렌탈] 현대 *터2 리스 슈*캡 초장* 스*트 AT 1톤 26*형 LPG 5년 3*승 2WD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더케이특가대표</t>
    </r>
    <r>
      <rPr>
        <sz val="0"/>
        <color theme="1"/>
        <rFont val="Arial"/>
      </rPr>
      <t xml:space="preserve">
5. 상품 상세설명에서 빈칸의 정답을 찾아 입력해주세요 
6. 정답 &lt; OOO 차량유지 및 신차의 만족감 &gt; </t>
    </r>
    <r>
      <rPr>
        <sz val="0"/>
        <color rgb="FFFF0000"/>
        <rFont val="Arial"/>
      </rPr>
      <t>3</t>
    </r>
    <r>
      <rPr>
        <sz val="0"/>
        <color theme="1"/>
        <rFont val="Arial"/>
      </rPr>
      <t>글자
* 정답란에 띄어쓰기 없이 입력 후 제출해주세요</t>
    </r>
  </si>
  <si>
    <t>편리한</t>
  </si>
  <si>
    <t>더케이특가대표</t>
  </si>
  <si>
    <t>https://thek-rentlease.com/home/m_view_car.php?ps_db=goods&amp;ps_boid=1101&amp;NaPm=ct%3Dmkdppjco%7Cci%3De32166baa29f0df5a9cff74f96af370ecdd2d964%7Ctr%3Dslsl%7Csn%3D12253417%7Chk%3D8ec5f154f804d634a598c62a2565a47c83f0b9b2</t>
  </si>
  <si>
    <t>포터2리스 슈퍼캡 AT 26년형 5년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</si>
  <si>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[렌탈] 현대 *터2 리스 슈*캡 초장* 스*트 AT 1톤 26*형 LPG 5년 3*승 2WD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더케이특가대표</t>
    </r>
    <r>
      <rPr>
        <sz val="0"/>
        <color theme="1"/>
        <rFont val="Arial"/>
      </rPr>
      <t xml:space="preserve">
5. 상품 상세설명에서 빈칸의 정답을 찾아 입력해주세요 
6. 정답 &lt; OOO 차량유지 및 신차의 만족감 &gt; </t>
    </r>
    <r>
      <rPr>
        <sz val="0"/>
        <color rgb="FFFF0000"/>
        <rFont val="Arial"/>
      </rPr>
      <t>3</t>
    </r>
    <r>
      <rPr>
        <sz val="0"/>
        <color theme="1"/>
        <rFont val="Arial"/>
      </rPr>
      <t>글자
* 정답란에 띄어쓰기 없이 입력 후 제출해주세요</t>
    </r>
  </si>
  <si>
    <t>https://m.search.naver.com/search.naver?sm=mtp_hty.top&amp;where=m&amp;query=%ED%8F%AC%ED%84%B02%EB%A6%AC%EC%8A%A4&amp;ackey=zcbizgke</t>
  </si>
  <si>
    <t>포터2리스 슈퍼캡 AT 26년형 5년 3인승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</si>
  <si>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[렌탈] 현대 *터2 리스 슈*캡 초장* 스*트 AT 1톤 26*형 LPG 5년 3*승 2WD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더케이특가대표</t>
    </r>
    <r>
      <rPr>
        <sz val="0"/>
        <color theme="1"/>
        <rFont val="Arial"/>
      </rPr>
      <t xml:space="preserve">
5. 상품 상세설명에서 빈칸의 정답을 찾아 입력해주세요 
6. 정답 &lt; OOO 차량유지 및 신차의 만족감 &gt; </t>
    </r>
    <r>
      <rPr>
        <sz val="0"/>
        <color rgb="FFFF0000"/>
        <rFont val="Arial"/>
      </rPr>
      <t>3</t>
    </r>
    <r>
      <rPr>
        <sz val="0"/>
        <color theme="1"/>
        <rFont val="Arial"/>
      </rPr>
      <t>글자
* 정답란에 띄어쓰기 없이 입력 후 제출해주세요</t>
    </r>
  </si>
  <si>
    <t>https://msearch.shopping.naver.com/search/all?query=%ED%8F%AC%ED%84%B02%EB%A6%AC%EC%8A%A4&amp;vertical=search</t>
  </si>
  <si>
    <t>포터2리스 슈퍼캡 초장축 AT 26년형 5년 LPG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</si>
  <si>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[렌탈] 현대 *터2 리스 슈*캡 초장* 스*트 AT 1톤 26*형 LPG 5년 3*승 2WD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더케이특가대표</t>
    </r>
    <r>
      <rPr>
        <sz val="0"/>
        <color theme="1"/>
        <rFont val="Arial"/>
      </rPr>
      <t xml:space="preserve">
5. 상품 상세설명에서 빈칸의 정답을 찾아 입력해주세요 
6. 정답 &lt; OOO 차량유지 및 신차의 만족감 &gt; </t>
    </r>
    <r>
      <rPr>
        <sz val="0"/>
        <color rgb="FFFF0000"/>
        <rFont val="Arial"/>
      </rPr>
      <t>3</t>
    </r>
    <r>
      <rPr>
        <sz val="0"/>
        <color theme="1"/>
        <rFont val="Arial"/>
      </rPr>
      <t>글자
* 정답란에 띄어쓰기 없이 입력 후 제출해주세요</t>
    </r>
  </si>
  <si>
    <t>냉동탑차 리스 하이 포터2 모던플러스 MT 24년형 2년 2WD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</si>
  <si>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 렌탈 ]현대 *터2 특장* 냉*탑차 리스 *이 초장* 슈퍼캡 *던플*스 MT 트윈컴* 1톤 LPG 24*형 2년 3인승 2WD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더케이특가대표</t>
    </r>
    <r>
      <rPr>
        <sz val="0"/>
        <color theme="1"/>
        <rFont val="Arial"/>
      </rPr>
      <t xml:space="preserve">
5. 상품 상세설명에서 빈칸의 정답을 찾아 입력해주세요 
6. 정답 &lt; OOO 없이 자유로운 반납 &gt; </t>
    </r>
    <r>
      <rPr>
        <sz val="0"/>
        <color rgb="FFFF0000"/>
        <rFont val="Arial"/>
      </rPr>
      <t>3</t>
    </r>
    <r>
      <rPr>
        <sz val="0"/>
        <color theme="1"/>
        <rFont val="Arial"/>
      </rPr>
      <t>글자
* 정답란에 띄어쓰기 없이 입력 후 제출해주세요</t>
    </r>
  </si>
  <si>
    <t>위약금</t>
  </si>
  <si>
    <t>https://thek-rentlease.com/home/m_view_car.php?ps_db=goods&amp;ps_boid=1434&amp;NaPm=ct%3Dmkdps9cg%7Cci%3D108e2a7371157551a504e6c6224eb07d241dbd0e%7Ctr%3Dslsl%7Csn%3D12253417%7Chk%3D4052beb0acf16fc4f1556fff3113531da3e64791</t>
  </si>
  <si>
    <t>냉동탑차 리스 하이 포터2 모던플러스 MT 24년형 2년 LPG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</si>
  <si>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 렌탈 ]현대 *터2 특장* 냉*탑차 리스 *이 초장* 슈퍼캡 *던플*스 MT 트윈컴* 1톤 LPG 24*형 2년 3인승 2WD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더케이특가대표</t>
    </r>
    <r>
      <rPr>
        <sz val="0"/>
        <color theme="1"/>
        <rFont val="Arial"/>
      </rPr>
      <t xml:space="preserve">
5. 상품 상세설명에서 빈칸의 정답을 찾아 입력해주세요 
6. 정답 &lt; OOO 없이 자유로운 반납 &gt; </t>
    </r>
    <r>
      <rPr>
        <sz val="0"/>
        <color rgb="FFFF0000"/>
        <rFont val="Arial"/>
      </rPr>
      <t>3</t>
    </r>
    <r>
      <rPr>
        <sz val="0"/>
        <color theme="1"/>
        <rFont val="Arial"/>
      </rPr>
      <t>글자
* 정답란에 띄어쓰기 없이 입력 후 제출해주세요</t>
    </r>
  </si>
  <si>
    <t>https://m.search.naver.com/search.naver?sm=mtp_hty.top&amp;where=m&amp;query=%EB%83%89%EB%8F%99%ED%83%91%EC%B0%A8+%EB%A6%AC%EC%8A%A4&amp;ackey=i2wl8bhs</t>
  </si>
  <si>
    <t>냉동탑차 리스 하이 포터2 모던플러스 MT 24년형 2년 3인승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</si>
  <si>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 렌탈 ]현대 *터2 특장* 냉*탑차 리스 *이 초장* 슈퍼캡 *던플*스 MT 트윈컴* 1톤 LPG 24*형 2년 3인승 2WD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더케이특가대표</t>
    </r>
    <r>
      <rPr>
        <sz val="0"/>
        <color theme="1"/>
        <rFont val="Arial"/>
      </rPr>
      <t xml:space="preserve">
5. 상품 상세설명에서 빈칸의 정답을 찾아 입력해주세요 
6. 정답 &lt; OOO 없이 자유로운 반납 &gt; </t>
    </r>
    <r>
      <rPr>
        <sz val="0"/>
        <color rgb="FFFF0000"/>
        <rFont val="Arial"/>
      </rPr>
      <t>3</t>
    </r>
    <r>
      <rPr>
        <sz val="0"/>
        <color theme="1"/>
        <rFont val="Arial"/>
      </rPr>
      <t>글자
* 정답란에 띄어쓰기 없이 입력 후 제출해주세요</t>
    </r>
  </si>
  <si>
    <t>https://msearch.shopping.naver.com/search/all?query=%EB%83%89%EB%8F%99%ED%83%91%EC%B0%A8%20%EB%A6%AC%EC%8A%A4&amp;vertical=search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</si>
  <si>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 렌탈 ]현대 *터2 특장* 냉*탑차 리스 *이 초장* 슈퍼캡 *던플*스 MT 트윈컴* 1톤 LPG 24*형 2년 3인승 2WD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더케이특가대표</t>
    </r>
    <r>
      <rPr>
        <sz val="0"/>
        <color theme="1"/>
        <rFont val="Arial"/>
      </rPr>
      <t xml:space="preserve">
5. 상품 상세설명에서 빈칸의 정답을 찾아 입력해주세요 
6. 정답 &lt; OOO 없이 자유로운 반납 &gt; </t>
    </r>
    <r>
      <rPr>
        <sz val="0"/>
        <color rgb="FFFF0000"/>
        <rFont val="Arial"/>
      </rPr>
      <t>3</t>
    </r>
    <r>
      <rPr>
        <sz val="0"/>
        <color theme="1"/>
        <rFont val="Arial"/>
      </rPr>
      <t>글자
* 정답란에 띄어쓰기 없이 입력 후 제출해주세요</t>
    </r>
  </si>
  <si>
    <t>어린이 치약 고불소 1450ppm 100g 민트향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</si>
  <si>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*미앤부 *티부 *450ppm *불소어린이치약 *00g *트향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미미앤부 민티부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</si>
  <si>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미미앤부 민티부</t>
  </si>
  <si>
    <t>https://smartstore.naver.com/mintyboo/products/12539672178</t>
  </si>
  <si>
    <t>LoKE</t>
  </si>
  <si>
    <t>어린이 치약 민티부 민트향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</si>
  <si>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*미앤부 *티부 *450ppm *불소어린이치약 *00g *트향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미미앤부 민티부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</si>
  <si>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https://m.search.naver.com/search.naver?sm=mtp_hty.top&amp;where=m&amp;query=%EC%96%B4%EB%A6%B0%EC%9D%B4%EC%B9%98%EC%95%BD&amp;ackey=3bo01w3u</t>
  </si>
  <si>
    <t>어린이 치약 1450ppm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</si>
  <si>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*미앤부 *티부 *450ppm *불소어린이치약 *00g *트향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미미앤부 민티부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</si>
  <si>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https://msearch.shopping.naver.com/search/all?query=%EC%96%B4%EB%A6%B0%EC%9D%B4%EC%B9%98%EC%95%BD&amp;vertical=search</t>
  </si>
  <si>
    <t>어린이 치약 민트향 100g 1450ppm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</si>
  <si>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*미앤부 *티부 *450ppm *불소어린이치약 *00g *트향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미미앤부 민티부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</si>
  <si>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590개</t>
  </si>
  <si>
    <t>어린이 치약 민티부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</si>
  <si>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*미앤부 *티부 *450ppm *불소어린이치약 *00g *트향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미미앤부 민티부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</si>
  <si>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https://m.smartstore.naver.com/mintyboo/products/12539672178</t>
  </si>
  <si>
    <t>겨울골프장갑 양손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</si>
  <si>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</si>
  <si>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</si>
  <si>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겨울골프장갑 양손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</si>
  <si>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</si>
  <si>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</si>
  <si>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맥*티 엔* 겨울 *프장갑 *손
 ( '광고' 클릭 절대 금지 )
 ▶판매처 : MacKulty
 5. 찜하기 클릭
 6. 바로가기 클릭
 7. 상품 클릭
 8. 링크(url) 복사 후 정답에 붙여넣기 후 제출</t>
    </r>
  </si>
  <si>
    <t>아이폰 케이스 럭키레드포니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</si>
  <si>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럭*레드*니 G*imm GRi*m. 아*폰 17 *이스 갤럭* 케이*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</si>
  <si>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https://smartstore.naver.com/grimm_grimm/products/12740609347</t>
  </si>
  <si>
    <t>아이폰 케이스 GRimm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</si>
  <si>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럭*레드*니 G*imm GRi*m. 아*폰 17 *이스 갤럭* 케이*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</si>
  <si>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https://m.search.naver.com/search.naver?sm=mtp_hty.top&amp;where=m&amp;query=%EC%95%84%EC%9D%B4%ED%8F%B0+%EC%BC%80%EC%9D%B4%EC%8A%A4&amp;ackey=zjwv8ixq</t>
  </si>
  <si>
    <t>아이폰 케이스 갤럭시 케이스 럭키레드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</si>
  <si>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럭*레드*니 G*imm GRi*m. 아*폰 17 *이스 갤럭* 케이*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</si>
  <si>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https://msearch.shopping.naver.com/search/all?query=%EC%95%84%EC%9D%B4%ED%8F%B0%20%EC%BC%80%EC%9D%B4%EC%8A%A4&amp;vertical=search</t>
  </si>
  <si>
    <t>아이폰 케이스 갤럭시 케이스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</si>
  <si>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럭*레드*니 G*imm GRi*m. 아*폰 17 *이스 갤럭* 케이*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</si>
  <si>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19개</t>
  </si>
  <si>
    <t>아이폰 케이스 Grimm 갤럭시 케이스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</si>
  <si>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럭*레드*니 G*imm GRi*m. 아*폰 17 *이스 갤럭* 케이*
 ( '광고' 클릭 절대 금지 )
 ▶판매처 : GRimm GRimm.
 5. 찜하기 클릭
 6. 바로가기 클릭
 7. 상품 클릭
 8. 링크(url) 복사 후 정답에 붙여넣기 후 제출</t>
    </r>
  </si>
  <si>
    <t>https://m.smartstore.naver.com/grimm_grimm/products/12740609347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</si>
  <si>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</si>
  <si>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</si>
  <si>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</si>
  <si>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</si>
  <si>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1,164개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</si>
  <si>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석* 통영 생* 각굴 삼*체 반*굴 하*셀 캠*용 구이
 ( '광고' 클릭 절대 금지 )
 ▶판매처 : 바다의품격
 5. 찜하기 클릭
 6. 바로가기 클릭
 7. 상품 클릭
 8. 링크(url) 복사 후 정답에 붙여넣기 후 제출</t>
    </r>
  </si>
  <si>
    <t>굴구이 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</si>
  <si>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</si>
  <si>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굴구이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</si>
  <si>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</si>
  <si>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</si>
  <si>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</si>
  <si>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2,252개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</si>
  <si>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통영 굴 *철 최*급 석화 *굴 세척 생굴 1kg
 ( '광고' 클릭 절대 금지 )
 ▶판매처 : 바다의 품격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</si>
  <si>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</si>
  <si>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</si>
  <si>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</si>
  <si>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</si>
  <si>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5,322개</t>
  </si>
  <si>
    <t>가리비 조개찜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</si>
  <si>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통영 가*비 제철 세척 비단 홍**비 1kg 캠핑 조**이 찜
 ( '광고' 클릭 절대 금지 )
 ▶판매처 : 바다의품격
 5. 찜하기 클릭
 6. 바로가기 클릭
 7. 상품 클릭
 8. 링크(url) 복사 후 정답에 붙여넣기 후 제출</t>
    </r>
  </si>
  <si>
    <t>K</t>
  </si>
  <si>
    <t>AS 재세팅</t>
  </si>
  <si>
    <t>ARTE DEL SOGNO 파티 미술관</t>
  </si>
  <si>
    <t>평택 꿈의 미술관 이벤트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</si>
  <si>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4.[*이수마]플레이스를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&lt;7&gt; 글자
* 정답란에 띄어쓰기 없이 입력 후 제출해주세요.</t>
  </si>
  <si>
    <t>2월 세팅 완 ~ 2/13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</si>
  <si>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4.[*이수마]플레이스를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</si>
  <si>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4.[*이수마]플레이스를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&lt;5&gt; 글자
* 정답란에 띄어쓰기 없이 입력 후 제출해주세요.</t>
  </si>
  <si>
    <t>울산 입주청소 4285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</si>
  <si>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4.[*주청소]플레이스를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</si>
  <si>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4.[*주청소]플레이스를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&lt;3&gt;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</si>
  <si>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&lt;7&gt; 글자
* 정답란에 띄어쓰기 없이 입력 후 제출해주세요.</t>
  </si>
  <si>
    <t>신사동 포차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</si>
  <si>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&lt;6&gt; 글자
* 정답란에 띄어쓰기 없이 입력 후 제출해주세요.</t>
  </si>
  <si>
    <t>신사동 단체 포차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</si>
  <si>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&lt;8&gt; 글자
* 정답란에 띄어쓰기 없이 입력 후 제출해주세요.</t>
  </si>
  <si>
    <t>고성 생선회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</si>
  <si>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4.[*락간횟집]플레이스를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&lt;5&gt; 글자
* 정답란에 띄어쓰기 없이 입력 후 제출해주세요.</t>
  </si>
  <si>
    <t>켄싱턴해변</t>
  </si>
  <si>
    <t>https://m.place.naver.com/restaurant/1621134588/home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</si>
  <si>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4.[*락간횟집]플레이스를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&lt;7&gt; 글자
* 정답란에 띄어쓰기 없이 입력 후 제출해주세요.</t>
  </si>
  <si>
    <t>교암리해수욕장</t>
  </si>
  <si>
    <t>고성 청간해변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</si>
  <si>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4.[*락간횟집]플레이스를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&lt;4&gt; 글자
* 정답란에 띄어쓰기 없이 입력 후 제출해주세요.</t>
  </si>
  <si>
    <t>고성 청간해변 물회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</si>
  <si>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4.[*락간횟집]플레이스를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&lt;6&gt; 글자
* 정답란에 띄어쓰기 없이 입력 후 제출해주세요.</t>
  </si>
  <si>
    <t xml:space="preserve">고성 청간해변 모듬회
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</si>
  <si>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4.[**글 라운지 토스트 브런치 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</si>
  <si>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4.[**글 라운지 토스트 브런치 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&lt;6&gt; 글자
* 정답란에 띄어쓰기 없이 입력 후 제출해주세요.</t>
  </si>
  <si>
    <t>제주 협재 브런치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</si>
  <si>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4.[**글 라운지 토스트 브런치 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&lt;8&gt; 글자
* 정답란에 띄어쓰기 없이 입력 후 제출해주세요.</t>
  </si>
  <si>
    <t>제주 협재 토스트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</si>
  <si>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4.[**글 라운지 토스트 브런치 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&lt;4&gt; 글자
* 정답란에 띄어쓰기 없이 입력 후 제출해주세요.</t>
  </si>
  <si>
    <t>제주 협재 토스트 카페</t>
  </si>
  <si>
    <t>가산디지털 구축물해체공사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</si>
  <si>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4.[*거의정석 금천구점]플레이스를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&lt;7&gt; 글자
* 정답란에 띄어쓰기 없이 입력 후 제출해주세요.</t>
  </si>
  <si>
    <t>구룡어린이공원</t>
  </si>
  <si>
    <t>*거의정석 금천구점</t>
  </si>
  <si>
    <t>https://m.place.naver.com/place/2089033796/home</t>
  </si>
  <si>
    <t>가산디지털 구축물해체공사 업체</t>
  </si>
  <si>
    <t>철산로데오거리</t>
  </si>
  <si>
    <t>수완동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</si>
  <si>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4.[*후의치과의원 광주]플레이스를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&lt;6&gt; 글자
* 정답란에 띄어쓰기 없이 입력 후 제출해주세요.</t>
  </si>
  <si>
    <t>수완동 임플란트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</si>
  <si>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4.[*후의치과의원 광주]플레이스를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&lt;7&gt; 글자
* 정답란에 띄어쓰기 없이 입력 후 제출해주세요.</t>
  </si>
  <si>
    <t>수완동 야간진료치과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</si>
  <si>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4.[*후의치과의원 광주]플레이스를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&lt;4&gt; 글자
* 정답란에 띄어쓰기 없이 입력 후 제출해주세요.</t>
  </si>
  <si>
    <t>수완동 치아미백</t>
  </si>
  <si>
    <t>장덕공원</t>
  </si>
  <si>
    <t>광주 수완동 소아치과</t>
  </si>
  <si>
    <t>수완동왕버들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</si>
  <si>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4.[*날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{ㅍㅇㅎㄱㅈ}
정답 : &lt;5&gt; 글자
* 정답란에 띄어쓰기 없이 입력 후 제출해주세요.</t>
  </si>
  <si>
    <t>잠실역 이자카야 추천</t>
  </si>
  <si>
    <t>잠실역 이자카야 맛집</t>
  </si>
  <si>
    <t>방이동 이자카야 술집</t>
  </si>
  <si>
    <t>무주 능이버섯전골 맛집</t>
  </si>
  <si>
    <t>https://m.place.naver.com/restaurant/1067622555/home?entry=plt</t>
  </si>
  <si>
    <t>무주 산채비빔밥</t>
  </si>
  <si>
    <t>무주 불고기백반</t>
  </si>
  <si>
    <t>무주 능이해장국</t>
  </si>
  <si>
    <t>전포동 마파두부</t>
  </si>
  <si>
    <t>전포역 마파두부 추천</t>
  </si>
  <si>
    <t>전포동 마파두부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</si>
  <si>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4.[*파로우]플레이스를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{ㅅㅅㅎㄱㅈ}
정답 : &lt;5&gt; 글자
* 정답란에 띄어쓰기 없이 입력 후 제출해주세요.</t>
  </si>
  <si>
    <t>곤지암읍 오향리 돼지고기</t>
  </si>
  <si>
    <t>곤지암읍 돼지고기 맛집</t>
  </si>
  <si>
    <t>상주 개운동 돼지갈비</t>
  </si>
  <si>
    <t>상수역 칵테일바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</si>
  <si>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{ㅎㄷㄱㄱㅅㅇㄱㄹ}
정답 : &lt;8&gt; 글자
* 정답란에 띄어쓰기 없이 입력 후 제출해주세요.</t>
  </si>
  <si>
    <t>상수역 칵테일바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</si>
  <si>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{ㅇㅎㅈㅇㅅㄱㅇ}
정답 : &lt;7&gt; 글자
* 정답란에 띄어쓰기 없이 입력 후 제출해주세요.</t>
  </si>
  <si>
    <t>수원역 생딸기우유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</si>
  <si>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4.[*트2]플레이스를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{ㅅㅎㅊ}
정답 : &lt;3&gt; 글자
* 정답란에 띄어쓰기 없이 입력 후 제출해주세요.</t>
  </si>
  <si>
    <t>*트2</t>
  </si>
  <si>
    <t>https://m.place.naver.com/restaurant/2077138001/home</t>
  </si>
  <si>
    <t>수원역 뱅쇼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</si>
  <si>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4.[*트2]플레이스를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{ㅅㅇㅎㄱ}
정답 : &lt;4&gt; 글자
* 정답란에 띄어쓰기 없이 입력 후 제출해주세요.</t>
  </si>
  <si>
    <t>양산 손두부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</si>
  <si>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4.[*성산가는길 양산본점]플레이스를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{ㅇㅇㅇ}
정답 : &lt;3&gt; 글자
* 정답란에 띄어쓰기 없이 입력 후 제출해주세요.</t>
  </si>
  <si>
    <t>안양암</t>
  </si>
  <si>
    <t>*성산가는길 양산본점</t>
  </si>
  <si>
    <t>https://m.place.naver.com/restaurant/11879404/home</t>
  </si>
  <si>
    <t>양산 순두부찌개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</si>
  <si>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4.[*성산가는길 양산본점]플레이스를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{ㅌㄷㅅ}
정답 : &lt;3&gt; 글자
* 정답란에 띄어쓰기 없이 입력 후 제출해주세요.</t>
  </si>
  <si>
    <t>통도사</t>
  </si>
  <si>
    <t>용연리 손두부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</si>
  <si>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4.[*성산가는길 양산본점]플레이스를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{ㅅㅁㅇ}
정답 : &lt;3&gt; 글자
* 정답란에 띄어쓰기 없이 입력 후 제출해주세요.</t>
  </si>
  <si>
    <t>사명암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</si>
  <si>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4.[**84 한우클래식 천안본점]플레이스를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{ㅆㅇㄱㅇ}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</si>
  <si>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4.[1984 한우클래식 프라**]플레이스를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{ㅆㅇㄷㅅㄷ}
정답 : &lt;5&gt; 글자
* 정답란에 띄어쓰기 없이 입력 후 제출해주세요.</t>
  </si>
  <si>
    <t>쌍용동성당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</si>
  <si>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4.[1984 한우클래식 하이**]플레이스를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{ㅊㅇㄱㄹㄱㅇ}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</si>
  <si>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4.[1984 한우클래식 울**]플레이스를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{ㅎㅇㅅ}
정답 : &lt;3&gt;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</si>
  <si>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4.[*채색]플레이스를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{ㅇㅇㅅ}
정답 : &lt;3&gt; 글자
* 정답란에 띄어쓰기 없이 입력 후 제출해주세요.</t>
  </si>
  <si>
    <t>01월 15일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</si>
  <si>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*인오프너 *동 *프너 *인따개 *르크 *따기 *인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더카인드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</si>
  <si>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*인오프너 *동 *프너 *인따개 *르크 *따기 *인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더카인드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</si>
  <si>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https://m.search.naver.com/search.naver?sm=mtp_hty.top&amp;where=m&amp;query=%EC%98%A4%ED%94%84%EB%84%88&amp;ackey=7x40gd4i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</si>
  <si>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*인오프너 *동 *프너 *인따개 *르크 *따기 *인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더카인드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</si>
  <si>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*인오프너 *동 *프너 *인따개 *르크 *따기 *인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더카인드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</si>
  <si>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540개</t>
  </si>
  <si>
    <t>와인오프너 병따개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</si>
  <si>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*인오프너 *동 *프너 *인따개 *르크 *따기 *인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더카인드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</si>
  <si>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*퍼와사비 *백 *추냉이 잎 *아찌 *00g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</si>
  <si>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*퍼와사비 *백 *추냉이 잎 *아찌 *00g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</si>
  <si>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https://m.search.naver.com/search.naver?sm=mtp_hty.top&amp;where=m&amp;query=%EB%B0%98%EC%B0%AC&amp;ackey=aeal70xt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</si>
  <si>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*퍼와사비 *백 *추냉이 잎 *아찌 *00g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</si>
  <si>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https://msearch.shopping.naver.com/search/all?query=%EB%B0%98%EC%B0%AC&amp;vertical=search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</si>
  <si>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*퍼와사비 *백 *추냉이 잎 *아찌 *00g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</si>
  <si>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419개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</si>
  <si>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*퍼와사비 *백 *추냉이 잎 *아찌 *00g
 ( '광고' 클릭 절대 금지 )
 ▶판매처 : 슈퍼와사비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</si>
  <si>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</si>
  <si>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</si>
  <si>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화장대 YWG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</si>
  <si>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</si>
  <si>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</si>
  <si>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736개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</si>
  <si>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</si>
  <si>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파로마 소이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</si>
  <si>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</si>
  <si>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</si>
  <si>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파로마 통큰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</si>
  <si>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</si>
  <si>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파로마 소이 SS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</si>
  <si>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소* 빅 *라이딩 통큰 수*침* SS 프*임
 ( '광고' 클릭 절대 금지 )
 ▶판매처 : 온라인 브랜드 가구
 5. 찜하기 클릭
 6. 바로가기 클릭
 7. 상품 클릭
 8. 링크(url) 복사 후 정답에 붙여넣기 후 제출</t>
    </r>
  </si>
  <si>
    <t>모션데스크 파로마 자작엣지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</si>
  <si>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파로* 소이 *동책* 모션데*크 1000x650mm, 자*엣지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</si>
  <si>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https://smartstore.naver.com/furnionehome/products/12765179173</t>
  </si>
  <si>
    <t>모션데스크 파로마 소이 전동책상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</si>
  <si>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파로* 소이 *동책* 모션데*크 1000x650mm, 자*엣지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</si>
  <si>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https://m.search.naver.com/search.naver?sm=mtp_hty.top&amp;where=m&amp;query=%EB%AA%A8%EC%85%98%EB%8D%B0%EC%8A%A4%ED%81%AC&amp;ackey=njsa2o0q</t>
  </si>
  <si>
    <t>모션데스크 파로마 1000x650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</si>
  <si>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파로* 소이 *동책* 모션데*크 1000x650mm, 자*엣지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</si>
  <si>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https://msearch.shopping.naver.com/search/all?query=%EB%AA%A8%EC%85%98%EB%8D%B0%EC%8A%A4%ED%81%AC&amp;vertical=search</t>
  </si>
  <si>
    <t>모션데스크 파로마 소이 자작엣지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</si>
  <si>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파로* 소이 *동책* 모션데*크 1000x650mm, 자*엣지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</si>
  <si>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</si>
  <si>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파로* 소이 *동책* 모션데*크 1000x650mm, 자*엣지
 ( '광고' 클릭 절대 금지 )
 ▶판매처 : 온라인 브랜드 가구
 5. 찜하기 클릭
 6. 바로가기 클릭
 7. 상품 클릭
 8. 링크(url) 복사 후 정답에 붙여넣기 후 제출</t>
    </r>
  </si>
  <si>
    <t>https://m.smartstore.naver.com/furnionehome/products/12765179173</t>
  </si>
  <si>
    <t>침대 파로마 심플 본넬스프링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</si>
  <si>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파로* 소이 *플 일*형 침* SS 본넬*프링 *CD040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</si>
  <si>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https://smartstore.naver.com/furnionehome/products/5403844054</t>
  </si>
  <si>
    <t>침대 파로마 일체형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</si>
  <si>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파로* 소이 *플 일*형 침* SS 본넬*프링 *CD040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</si>
  <si>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파로마 YCD040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</si>
  <si>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파로* 소이 *플 일*형 침* SS 본넬*프링 *CD040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</si>
  <si>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파로마 소이 일체형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</si>
  <si>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파로* 소이 *플 일*형 침* SS 본넬*프링 *CD040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</si>
  <si>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274개</t>
  </si>
  <si>
    <t>침대 파로마 본넬스프링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</si>
  <si>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파로* 소이 *플 일*형 침* SS 본넬*프링 *CD040
 ( '광고' 클릭 절대 금지 )
 ▶판매처 : 온라인 브랜드 가구
 5. 찜하기 클릭
 6. 바로가기 클릭
 7. 상품 클릭
 8. 링크(url) 복사 후 정답에 붙여넣기 후 제출</t>
    </r>
  </si>
  <si>
    <t>https://m.smartstore.naver.com/furnionehome/products/5403844054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</si>
  <si>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</si>
  <si>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</si>
  <si>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라자가구 모노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</si>
  <si>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</si>
  <si>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</si>
  <si>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라*가구 *드 키* 모노 *문 옷* 1000
 ( '광고' 클릭 절대 금지 )
 ▶판매처 : 라자가구 스토어
 5. 찜하기 클릭
 6. 바로가기 클릭
 7. 상품 클릭
 8. 링크(url) 복사 후 정답에 붙여넣기 후 제출</t>
    </r>
  </si>
  <si>
    <t>주방수납장 라자가구 밥솥장 수납장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</si>
  <si>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</si>
  <si>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</si>
  <si>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https://m.search.naver.com/search.naver?sm=mtp_hty.top&amp;where=m&amp;query=%EC%A3%BC%EB%B0%A9%EC%88%98%EB%82%A9%EC%9E%A5&amp;ackey=sjtiwgdk</t>
  </si>
  <si>
    <t>주방수납장 라자가구 밥솥장 3단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</si>
  <si>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</si>
  <si>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주방수납장 라자가구 화이트 3단 데코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</si>
  <si>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</si>
  <si>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460개</t>
  </si>
  <si>
    <t>주방수납장 라자가구 밥솥장 인출</t>
  </si>
  <si>
    <t>옷장 라자가구 위드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</si>
  <si>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</si>
  <si>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라자가구 위드 1200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</si>
  <si>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</si>
  <si>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</si>
  <si>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</si>
  <si>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331개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</si>
  <si>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라**구 위드 빅 1**0 슬라이딩 옷장 행거형 j*195
 ( '광고' 클릭 절대 금지 )
 ▶판매처 : 라자가구 스토어
 5. 찜하기 클릭
 6. 바로가기 클릭
 7. 상품 클릭
 8. 링크(url) 복사 후 정답에 붙여넣기 후 제출</t>
    </r>
  </si>
  <si>
    <t>펫공기청정기 클라르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</si>
  <si>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클*르 펫*기청*기 *양이*기청정* 강*지 반*동물 털 냄새 *레르기 흡* 공청*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클라르.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</si>
  <si>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클라르.</t>
  </si>
  <si>
    <t>https://smartstore.naver.com/_klar/products/12966603587</t>
  </si>
  <si>
    <t>펫공기청정기 클라르 반려동물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</si>
  <si>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클*르 펫*기청*기 *양이*기청정* 강*지 반*동물 털 냄새 *레르기 흡* 공청*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클라르.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</si>
  <si>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https://m.search.naver.com/search.naver?sm=mtp_hty.top&amp;where=m&amp;query=%ED%8E%AB%EA%B3%B5%EA%B8%B0%EC%B2%AD%EC%A0%95%EA%B8%B0&amp;ackey=mfohyuoi</t>
  </si>
  <si>
    <t>펫공기청정기 클라르 알레르기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</si>
  <si>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클*르 펫*기청*기 *양이*기청정* 강*지 반*동물 털 냄새 *레르기 흡* 공청*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클라르.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</si>
  <si>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https://msearch.shopping.naver.com/search/all?query=%ED%8E%AB%EA%B3%B5%EA%B8%B0%EC%B2%AD%EC%A0%95%EA%B8%B0&amp;vertical=search</t>
  </si>
  <si>
    <t>펫공기청정기 클라르 고양이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</si>
  <si>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클*르 펫*기청*기 *양이*기청정* 강*지 반*동물 털 냄새 *레르기 흡* 공청*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클라르.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</si>
  <si>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펫공기청정기 클라르 강아지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</si>
  <si>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클*르 펫*기청*기 *양이*기청정* 강*지 반*동물 털 냄새 *레르기 흡* 공청*
 ( '광고' 클릭 절대 금지 )
 ▶판매처 : 클라르.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</si>
  <si>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</si>
  <si>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수제청과일청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</si>
  <si>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</si>
  <si>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페션후르츠 자몽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</si>
  <si>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</si>
  <si>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</si>
  <si>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747개</t>
  </si>
  <si>
    <t>수제청 과일청 650G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</si>
  <si>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멜**우어 수*청 과일청 선**트 650g 레몬 자몽 청귤 패션**츠 생강 답례품
 ( '광고' 클릭 절대 금지 )
 ▶판매처 : Melihour
 5. 찜하기 클릭
 6. 바로가기 클릭
 7. 상품 클릭
 8. 링크(url) 복사 후 정답에 붙여넣기 후 제출</t>
    </r>
  </si>
  <si>
    <t>냉동귀뚜라미 파충류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</si>
  <si>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</si>
  <si>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냉동귀뚜라미 도마뱀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</si>
  <si>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</si>
  <si>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냉동귀뚜라미 먹이용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</si>
  <si>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</si>
  <si>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냉동귀뚜라미 냉뚜리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</si>
  <si>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</si>
  <si>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냉동귀뚜라미 크레스티드게코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</si>
  <si>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냉동 귀**미 냉*리 크레***게코 도*뱀 파*류 먹이 먹*용 중 20g 약 120*리
 ( '광고' 클릭 절대 금지 )
 ▶판매처 : 랩티케어
 5. 찜하기 클릭
 6. 바로가기 클릭
 7. 상품 클릭
 8. 링크(url) 복사 후 정답에 붙여넣기 후 제출</t>
    </r>
  </si>
  <si>
    <t>쌍별귀뚜라미 먹이용 소 50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</si>
  <si>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쌍**뚜라미 귀**미 도마뱀 파*류 살**는 먹이 크레스**게코 먹*용 소 50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</si>
  <si>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쌍별귀뚜라미 파충류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</si>
  <si>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쌍**뚜라미 귀**미 도마뱀 파*류 살**는 먹이 크레스**게코 먹*용 소 50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</si>
  <si>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쌍별귀뚜라미 소50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</si>
  <si>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쌍**뚜라미 귀**미 도마뱀 파*류 살**는 먹이 크레스**게코 먹*용 소 50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</si>
  <si>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쌍별귀뚜라미 먹이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</si>
  <si>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쌍**뚜라미 귀**미 도마뱀 파*류 살**는 먹이 크레스**게코 먹*용 소 50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</si>
  <si>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940개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</si>
  <si>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쌍**뚜라미 귀**미 도마뱀 파*류 살**는 먹이 크레스**게코 먹*용 소 50
 ( '광고' 클릭 절대 금지 )
 ▶판매처 : 랩티케어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</si>
  <si>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안동 장마 안*마 참마 생마 산마 **앗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</si>
  <si>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안동 장마 안*마 참마 생마 산마 **앗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</si>
  <si>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안동 장마 안*마 참마 생마 산마 **앗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</si>
  <si>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안동마 티알마켓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</si>
  <si>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안동 장마 안*마 참마 생마 산마 **앗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</si>
  <si>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안동 장마 안*마 참마 생마 산마 **앗
 ( '광고' 클릭 절대 금지 )
 ▶판매처 : 티알마켓
 5. 찜하기 클릭
 6. 바로가기 클릭
 7. 상품 클릭
 8. 링크(url) 복사 후 정답에 붙여넣기 후 제출</t>
    </r>
  </si>
  <si>
    <t>구좌당근 국내산 제주맛쟁이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</si>
  <si>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제주* 구좌 흙*근 왕 5kg 10kg *내산 요*용 *스용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제주맛쟁이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</si>
  <si>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제주맛쟁이</t>
  </si>
  <si>
    <t>https://smartstore.naver.com/jejumat/products/11895371795</t>
  </si>
  <si>
    <t>구좌당근 5kg 제주맛쟁이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</si>
  <si>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제주* 구좌 흙*근 왕 5kg 10kg *내산 요*용 *스용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제주맛쟁이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</si>
  <si>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https://m.search.naver.com/search.naver?sm=mtp_hty.top&amp;where=m&amp;query=%EA%B5%AC%EC%A2%8C%EB%8B%B9%EA%B7%BC&amp;ackey=u7ehmbae</t>
  </si>
  <si>
    <t>구좌당근 요리용 제주맛쟁이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</si>
  <si>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제주* 구좌 흙*근 왕 5kg 10kg *내산 요*용 *스용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제주맛쟁이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</si>
  <si>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https://msearch.shopping.naver.com/search/all?query=%EA%B5%AC%EC%A2%8C%EB%8B%B9%EA%B7%BC&amp;vertical=search</t>
  </si>
  <si>
    <t>구좌당근 제주맛쟁이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</si>
  <si>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제주* 구좌 흙*근 왕 5kg 10kg *내산 요*용 *스용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제주맛쟁이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</si>
  <si>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구좌당근 10kg 제주맛쟁이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</si>
  <si>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제주* 구좌 흙*근 왕 5kg 10kg *내산 요*용 *스용
 ( '광고' 클릭 절대 금지 )
 ▶판매처 : 제주맛쟁이
 5. 찜하기 클릭
 6. 바로가기 클릭
 7. 상품 클릭
 8. 링크(url) 복사 후 정답에 붙여넣기 후 제출</t>
    </r>
  </si>
  <si>
    <t>https://m.smartstore.naver.com/jejumat/products/11895371795</t>
  </si>
  <si>
    <t>캣타워 스크래처 창문해먹 선반 캣워크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</si>
  <si>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창*전망* 에*(AI*) 고*이 미니 캣*워 스*래쳐 창*해먹 선* 캣워*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차차네점빵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</si>
  <si>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차차네점빵</t>
  </si>
  <si>
    <t>https://smartstore.naver.com/chacha_mall/products/12973388302</t>
  </si>
  <si>
    <t>캣타워 창틀전망대 에어 고양이 미니 캣타워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</si>
  <si>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창*전망* 에*(AI*) 고*이 미니 캣*워 스*래쳐 창*해먹 선* 캣워*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차차네점빵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</si>
  <si>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https://m.search.naver.com/search.naver?sm=mtp_hty.top&amp;where=m&amp;query=%EC%BA%A3%ED%83%80%EC%9B%8C&amp;ackey=pj99jmik</t>
  </si>
  <si>
    <t>캣타워 창틀전망대 에어 고양이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</si>
  <si>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창*전망* 에*(AI*) 고*이 미니 캣*워 스*래쳐 창*해먹 선* 캣워*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차차네점빵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</si>
  <si>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https://msearch.shopping.naver.com/search/all?query=%EC%BA%A3%ED%83%80%EC%9B%8C&amp;vertical=search</t>
  </si>
  <si>
    <t>캣타워 창틀전망대 에어 스크래쳐 창문해먹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</si>
  <si>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창*전망* 에*(AI*) 고*이 미니 캣*워 스*래쳐 창*해먹 선* 캣워*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차차네점빵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</si>
  <si>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캣타워 창틀전망대 에어 스크래쳐 선반 캣워크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</si>
  <si>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창*전망* 에*(AI*) 고*이 미니 캣*워 스*래쳐 창*해먹 선* 캣워*
 ( '광고' 클릭 절대 금지 )
 ▶판매처 : 차차네점빵
 5. 찜하기 클릭
 6. 바로가기 클릭
 7. 상품 클릭
 8. 링크(url) 복사 후 정답에 붙여넣기 후 제출</t>
    </r>
  </si>
  <si>
    <t>https://m.smartstore.naver.com/chacha_mall/products/12973388302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</si>
  <si>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</si>
  <si>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</si>
  <si>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</si>
  <si>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</si>
  <si>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520개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</si>
  <si>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소량 쇼*백 로* 인쇄 *문 제작 *원 관공* 행사 *이 가* 200매 *매-A
 ( '광고' 클릭 절대 금지 )
 ▶판매처 : 다잇다인쇄
 5. 찜하기 클릭
 6. 바로가기 클릭
 7. 상품 클릭
 8. 링크(url) 복사 후 정답에 붙여넣기 후 제출</t>
    </r>
  </si>
  <si>
    <t>바라클라바 버프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</si>
  <si>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*라클*바 겨울 *닝 골프 등산 *키 넥*머 남자 바*클라* 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</si>
  <si>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바라클라바 청풍문 넥워머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</si>
  <si>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*라클*바 겨울 *닝 골프 등산 *키 넥*머 남자 바*클라* 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</si>
  <si>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바라클라바 겨울 러닝 넥워머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</si>
  <si>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*라클*바 겨울 *닝 골프 등산 *키 넥*머 남자 바*클라* 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</si>
  <si>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바라클라바 겨울 러닝 등산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</si>
  <si>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*라클*바 겨울 *닝 골프 등산 *키 넥*머 남자 바*클라* 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</si>
  <si>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561개</t>
  </si>
  <si>
    <t>바라클라바 겨울 러닝 스키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</si>
  <si>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*라클*바 겨울 *닝 골프 등산 *키 넥*머 남자 바*클라* 버*
 ( '광고' 클릭 절대 금지 )
 ▶판매처 : 청풍문-bluewind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</si>
  <si>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</si>
  <si>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2월 세팅 완~ 2/15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</si>
  <si>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</si>
  <si>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</si>
  <si>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</si>
  <si>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420개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</si>
  <si>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하*이꽃 플*메리* 결혼 돌*치 *례품 천*비누
 ( '광고' 클릭 절대 금지 )
 ▶판매처 : 온비다
 5. 찜하기 클릭
 6. 바로가기 클릭
 7. 상품 클릭
 8. 링크(url) 복사 후 정답에 붙여넣기 후 제출</t>
    </r>
  </si>
  <si>
    <t>넥워머 청풍문 발라클라바 목토시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</si>
  <si>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청풍* 넥*머 겨울 *닝 골프 등* 스키 *라클*바 넥*머 *라클*바 *토시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</si>
  <si>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https://smartstore.naver.com/bluewind-korea/products/7894592401</t>
  </si>
  <si>
    <t>넥워머 청풍문 바라클라바 넥워머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</si>
  <si>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청풍* 넥*머 겨울 *닝 골프 등* 스키 *라클*바 넥*머 *라클*바 *토시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</si>
  <si>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https://m.search.naver.com/search.naver?sm=mtp_hty.top&amp;where=m&amp;query=%EB%84%A5%EC%9B%8C%EB%A8%B8&amp;ackey=drclky8i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</si>
  <si>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청풍* 넥*머 겨울 *닝 골프 등* 스키 *라클*바 넥*머 *라클*바 *토시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</si>
  <si>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넥워머 청풍문 목토시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</si>
  <si>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청풍* 넥*머 겨울 *닝 골프 등* 스키 *라클*바 넥*머 *라클*바 *토시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</si>
  <si>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142개</t>
  </si>
  <si>
    <t>넥워머 청풍문 겨울 러닝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</si>
  <si>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청풍* 넥*머 겨울 *닝 골프 등* 스키 *라클*바 넥*머 *라클*바 *토시
 ( '광고' 클릭 절대 금지 )
 ▶판매처 : 청풍문-bluewind
 5. 찜하기 클릭
 6. 바로가기 클릭
 7. 상품 클릭
 8. 링크(url) 복사 후 정답에 붙여넣기 후 제출</t>
    </r>
  </si>
  <si>
    <t>https://m.smartstore.naver.com/bluewind-korea/products/7894592401</t>
  </si>
  <si>
    <t>자외선차단마스크 청풍문 자외선차단마스크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</si>
  <si>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청풍* 자*선*단마*크 겨울 골* 스키 방* 안면 페*스 *스크 *굴가리*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</si>
  <si>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자외선차단마스크 청풍문 안면페이스 얼굴가리개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</si>
  <si>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청풍* 자*선*단마*크 겨울 골* 스키 방* 안면 페*스 *스크 *굴가리*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</si>
  <si>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자외선차단마스크 청풍문 얼굴가리개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</si>
  <si>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청풍* 자*선*단마*크 겨울 골* 스키 방* 안면 페*스 *스크 *굴가리*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</si>
  <si>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자외선차단마스크 청풍문 마스크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</si>
  <si>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청풍* 자*선*단마*크 겨울 골* 스키 방* 안면 페*스 *스크 *굴가리*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</si>
  <si>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개</t>
  </si>
  <si>
    <t>자외선차단마스크 청풍문 마스크 스키 방한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</si>
  <si>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청풍* 자*선*단마*크 겨울 골* 스키 방* 안면 페*스 *스크 *굴가리*
 ( '광고' 클릭 절대 금지 )
 ▶판매처 : 청풍문-bluewind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</si>
  <si>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대형 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</si>
  <si>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대형 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</si>
  <si>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대형 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</si>
  <si>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대형 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</si>
  <si>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졸*식 꽃*발 생**송 축하 기념 연인 선물 대형 L
 ( '광고' 클릭 절대 금지 )
 ▶판매처 : 토일월플라워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</si>
  <si>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중형 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</si>
  <si>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중형 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</si>
  <si>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중형 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</si>
  <si>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중형 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</si>
  <si>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졸*식 꽃*발 생**송 축하 기념 연인 선물 중형 M
 ( '광고' 클릭 절대 금지 )
 ▶판매처 : 토일월플라워
 5. 찜하기 클릭
 6. 바로가기 클릭 
 7. 상품 클릭
 8. 링크(url) 복사 후 정답에 붙여넣기 후 제출</t>
    </r>
  </si>
  <si>
    <t>빨아쓰는마스크 귀편한 새부리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</si>
  <si>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 마스* *레스*리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</si>
  <si>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빨아쓰는마스크 귀편한 면 새부리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</si>
  <si>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 마스* *레스*리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</si>
  <si>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https://m.search.naver.com/search.naver?sm=mtp_hty.top&amp;where=m&amp;query=%EB%A7%88%EC%8A%A4%ED%81%AC&amp;ackey=4k0vkvqp</t>
  </si>
  <si>
    <t>빨아쓰는마스크 청풍문 천 마스크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</si>
  <si>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 마스* *레스*리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</si>
  <si>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https://msearch.shopping.naver.com/search/all?query=%EB%A7%88%EC%8A%A4%ED%81%AC&amp;vertical=search</t>
  </si>
  <si>
    <t>빨아쓰는마스크 귀편한 새부리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</si>
  <si>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 마스* *레스*리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</si>
  <si>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64개</t>
  </si>
  <si>
    <t>빨아쓰는마스크 숨쉬기편한 새부리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</si>
  <si>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빨*쓰는 면 천 *스크 숨*기편* 귀*한 *부리 마스* *레스*리
 ( '광고' 클릭 절대 금지 )
 ▶판매처 : 청풍문-bluewind
 5. 찜하기 클릭
 6. 바로가기 클릭 
 7. 상품 클릭
 8. 링크(url) 복사 후 정답에 붙여넣기 후 제출</t>
    </r>
  </si>
  <si>
    <t>2월 세팅 완~ 2/14</t>
  </si>
  <si>
    <t>삼척횟집 해원펠리스횟집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</si>
  <si>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4.[*원펠리스횟집]플레이스를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{ㅇㅅㅊ}
정답 : &lt;3&gt; 글자
* 정답란에 띄어쓰기 없이 입력 후 제출해주세요.</t>
  </si>
  <si>
    <t>오십천</t>
  </si>
  <si>
    <t>*원펠리스횟집</t>
  </si>
  <si>
    <t>https://m.place.naver.com/restaurant/1797345400/home?entry=pll</t>
  </si>
  <si>
    <t>삼척 해원펠리스횟집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</si>
  <si>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4.[*원펠리스횟집]플레이스를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{ㅇㅂㅎㅂ}
정답 : &lt;4&gt; 글자
* 정답란에 띄어쓰기 없이 입력 후 제출해주세요.</t>
  </si>
  <si>
    <t>오분해변</t>
  </si>
  <si>
    <t>삼척 정하동 해원펠리스횟집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</si>
  <si>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4.[*원펠리스횟집]플레이스를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{ㅂㅊㅈㄱㄱㅇ}
정답 : &lt;6&gt; 글자
* 정답란에 띄어쓰기 없이 입력 후 제출해주세요.</t>
  </si>
  <si>
    <t>비치조각공원</t>
  </si>
  <si>
    <t>버티컬 써니앤창 커튼블라인드 평택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</si>
  <si>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4.[*니앤창 커튼블라인드 평택]플레이스를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{ㅈㄷㄱㄹㄱㅇ}
정답 : &lt;6&gt; 글자
* 정답란에 띄어쓰기 없이 입력 후 제출해주세요.</t>
  </si>
  <si>
    <t>장당근린공원</t>
  </si>
  <si>
    <t>*니앤창 커튼블라인드 평택</t>
  </si>
  <si>
    <t>https://m.place.naver.com/place/1005166855/home?entry=pll</t>
  </si>
  <si>
    <t>써니앤창 커튼블라인드 평택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</si>
  <si>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4.[*니앤창 커튼블라인드 평택]플레이스를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{ㅅㄱㅅ}
정답 : &lt;3&gt; 글자
* 정답란에 띄어쓰기 없이 입력 후 제출해주세요.</t>
  </si>
  <si>
    <t>써니앤창 커튼블라인드 평택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</si>
  <si>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4.[*니앤창 커튼블라인드 평택]플레이스를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{ㅊㅇㄱㅇ}
정답 : &lt;4&gt; 글자
* 정답란에 띄어쓰기 없이 입력 후 제출해주세요.</t>
  </si>
  <si>
    <t>대구커플마사지 대구마사지엔 헤스티아</t>
  </si>
  <si>
    <t>대구마사지엔 헤스티아 체형관리</t>
  </si>
  <si>
    <t>대구마사지엔 헤스티아 피부관리</t>
  </si>
  <si>
    <t>안산 이자카야 숙성회</t>
  </si>
  <si>
    <t>https://m.place.naver.com/restaurant/1582300344/</t>
  </si>
  <si>
    <t>안산 이자카야 갑오징어숙회</t>
  </si>
  <si>
    <t>안산 이자카야 석화</t>
  </si>
  <si>
    <t>대전 입주청소 3043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</si>
  <si>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4.[*주청소]플레이스를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{ㅇㅅㅌㅎㄱㄹ}
정답 : &lt;6&gt; 글자
* 정답란에 띄어쓰기 없이 입력 후 제출해주세요.</t>
  </si>
  <si>
    <t>인쇄특화거리</t>
  </si>
  <si>
    <t>https://m.place.naver.com/place/1777868408/</t>
  </si>
  <si>
    <t>홍도동 입주청소 3043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</si>
  <si>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4.[*주청소]플레이스를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{ㄷㄷㅊ}
정답 : &lt;3&gt; 글자
* 정답란에 띄어쓰기 없이 입력 후 제출해주세요.</t>
  </si>
  <si>
    <t>대동천</t>
  </si>
  <si>
    <t>공항동 라움주차대행</t>
  </si>
  <si>
    <t>https://m.place.naver.com/place/2040912315/home</t>
  </si>
  <si>
    <t>강서구 라움주차대행</t>
  </si>
  <si>
    <t>강서구 공항대로 라움주차대행</t>
  </si>
  <si>
    <t>라움주차대행 강서구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</si>
  <si>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4.[*움주차대행]플레이스를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{ㅅㄴㅁㅈㅅㅅㅌㄱㅇ}
정답 : &lt;9&gt; 글자
* 정답란에 띄어쓰기 없이 입력 후 제출해주세요.</t>
  </si>
  <si>
    <t>서남물재생센터공원</t>
  </si>
  <si>
    <t>철산역 치과의원</t>
  </si>
  <si>
    <t>https://m.place.naver.com/hospital/11569511</t>
  </si>
  <si>
    <t>철산역 소아치과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</si>
  <si>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{ㄷㄷㅅ}
정답 : &lt;3&gt; 글자
* 정답란에 띄어쓰기 없이 입력 후 제출해주세요.</t>
  </si>
  <si>
    <t>도덕산</t>
  </si>
  <si>
    <t>광명 철산동 구강내과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</si>
  <si>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{ㅁㄱㅊ}
정답 : &lt;3&gt; 글자
* 정답란에 띄어쓰기 없이 입력 후 제출해주세요.</t>
  </si>
  <si>
    <t>목감천</t>
  </si>
  <si>
    <t>https://m.place.naver.com/restaurant/2090588135</t>
  </si>
  <si>
    <t>전포 중식당 마파두부</t>
  </si>
  <si>
    <t>부산 전포역 마파두부</t>
  </si>
  <si>
    <t>부산 전포역 중식당 마파두부</t>
  </si>
  <si>
    <t>신반포 소고기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</si>
  <si>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4.[*고집]플레이스를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{ㅊㅂㅅ}
정답 : &lt;3&gt; 글자
* 정답란에 띄어쓰기 없이 입력 후 제출해주세요.</t>
  </si>
  <si>
    <t>*고집</t>
  </si>
  <si>
    <t>https://m.place.naver.com/place/2012067445</t>
  </si>
  <si>
    <t>고속버스터미널역 소고기 영업시간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</si>
  <si>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4.[*고집]플레이스를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{ㅅㅂㅅ}
정답 : &lt;3&gt; 글자
* 정답란에 띄어쓰기 없이 입력 후 제출해주세요.</t>
  </si>
  <si>
    <t>고속버스터미널역 소고기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</si>
  <si>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4.[*고집]플레이스를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{ㅇㅂㅅ}
정답 : &lt;3&gt; 글자
* 정답란에 띄어쓰기 없이 입력 후 제출해주세요.</t>
  </si>
  <si>
    <t>예빛섬</t>
  </si>
  <si>
    <t>https://m.place.naver.com/place/1071156655</t>
  </si>
  <si>
    <t>울산 삼산동 헬스장 위치</t>
  </si>
  <si>
    <t>울산 삼산동 PT 가격</t>
  </si>
  <si>
    <t>울산 삼산동 PT 헬스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</si>
  <si>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{ㅅㄴㄷㅎㅍㄱㅁ}
정답 : &lt;7&gt; 글자
* 정답란에 띄어쓰기 없이 입력 후 제출해주세요.</t>
  </si>
  <si>
    <t>성남동호프골목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</si>
  <si>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4.[*토리 바지락손칼국수]플레이스를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{ㅎㅇㄷㄷ}
정답 : &lt;4&gt; 글자
* 정답란에 띄어쓰기 없이 입력 후 제출해주세요.</t>
  </si>
  <si>
    <t>후애돈대</t>
  </si>
  <si>
    <t>강화도 도토리 손칼국수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</si>
  <si>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4.[*토리 바지락손칼국수]플레이스를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{ㅅㄱㄷㄷ}
정답 : &lt;4&gt; 글자
* 정답란에 띄어쓰기 없이 입력 후 제출해주세요.</t>
  </si>
  <si>
    <t>송곶돈대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</si>
  <si>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4.[*토리 바지락손칼국수]플레이스를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{ㅂㄹㅇㄷㄷ}
정답 : &lt;5&gt; 글자
* 정답란에 띄어쓰기 없이 입력 후 제출해주세요.</t>
  </si>
  <si>
    <t>강화도 바지락손칼국수</t>
  </si>
  <si>
    <t>광안리 소고기 타다끼</t>
  </si>
  <si>
    <t>광안리 교자</t>
  </si>
  <si>
    <t>광안리 나베 이자카야</t>
  </si>
  <si>
    <t>금련산역 브런치</t>
  </si>
  <si>
    <t>부산 수영구 브런치카페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</si>
  <si>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4.[*타팜 테라스 광안리점]플레이스를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{ㅂㅅㅁㄹㄷㅎㅈㄱㄹ}
정답 : &lt;9&gt; 글자
* 정답란에 띄어쓰기 없이 입력 후 제출해주세요.</t>
  </si>
  <si>
    <t>부산민락동횟집거리</t>
  </si>
  <si>
    <t>광안동 브런치</t>
  </si>
  <si>
    <t>논현 하이퍼 청담 세차</t>
  </si>
  <si>
    <t>강남 하이퍼 청담 세차</t>
  </si>
  <si>
    <t>대부도 왕할머니 칼국수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</si>
  <si>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4.[*부도 왕할머니 바지락 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{ㅎㄱㅅ}
정답 : &lt;3&gt; 글자
* 정답란에 띄어쓰기 없이 입력 후 제출해주세요.</t>
  </si>
  <si>
    <t>황금산</t>
  </si>
  <si>
    <t>*부도 왕할머니 바지락 칼국수</t>
  </si>
  <si>
    <t>https://m.place.naver.com/restaurant/20567154/home?entry=plt</t>
  </si>
  <si>
    <t>대부도 왕할머니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</si>
  <si>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4.[*부도 왕할머니 바지락 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{ㄱㅂㄷ}
정답 : &lt;3&gt; 글자
* 정답란에 띄어쓰기 없이 입력 후 제출해주세요.</t>
  </si>
  <si>
    <t>구봉도</t>
  </si>
  <si>
    <t>대부도 맛집 왕할머니 칼국수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</si>
  <si>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4.[*부도 왕할머니 바지락 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{ㅆㅅ}
정답 : &lt;2&gt; 글자
* 정답란에 띄어쓰기 없이 입력 후 제출해주세요.</t>
  </si>
  <si>
    <t>쌀섬</t>
  </si>
  <si>
    <t>대부도 낙지 해물파전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</si>
  <si>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4.[*부도 왕할머니 바지락 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{ㅊㅈㄱㄷㅂㄷㅅㄷ}
정답 : &lt;8&gt; 글자
* 정답란에 띄어쓰기 없이 입력 후 제출해주세요.</t>
  </si>
  <si>
    <t>천주교대부동성당</t>
  </si>
  <si>
    <t>왕할머니 칼국수 대부도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</si>
  <si>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4.[*부도 왕할머니 바지락 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{ㅅㄷㅂㅇ}
정답 : &lt;4&gt; 글자
* 정답란에 띄어쓰기 없이 입력 후 제출해주세요.</t>
  </si>
  <si>
    <t>선돌바위</t>
  </si>
  <si>
    <t>사당역 소갈비살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</si>
  <si>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4.[*이집 사당본점]플레이스를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{ㅇㄱㅅ}
정답 : &lt;3&gt; 글자
* 정답란에 띄어쓰기 없이 입력 후 제출해주세요.</t>
  </si>
  <si>
    <t>원각사</t>
  </si>
  <si>
    <t>*이집 사당본점</t>
  </si>
  <si>
    <t>https://m.place.naver.com/restaurant/1766140389/home</t>
  </si>
  <si>
    <t>사당역 양념갈비살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</si>
  <si>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4.[*이집 사당본점]플레이스를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{ㅎㄱㄱㅇㅈㅇㅁㅇ}
정답 : &lt;8&gt; 글자
* 정답란에 띄어쓰기 없이 입력 후 제출해주세요.</t>
  </si>
  <si>
    <t>효간공이정영묘역</t>
  </si>
  <si>
    <t>사당역 소갈비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</si>
  <si>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4.[*이집 사당본점]플레이스를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{ㅂㅂㄱㄹㄱㅇ}
정답 : &lt;6&gt; 글자
* 정답란에 띄어쓰기 없이 입력 후 제출해주세요.</t>
  </si>
  <si>
    <t>사당역 소갈비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</si>
  <si>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4.[*이집 사당본점]플레이스를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{ㄷㄹㅈㅆㅅㄷ}
정답 : &lt;6&gt; 글자
* 정답란에 띄어쓰기 없이 입력 후 제출해주세요.</t>
  </si>
  <si>
    <t>동래정씨사당</t>
  </si>
  <si>
    <t>사당역 양념갈비살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</si>
  <si>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4.[*이집 사당본점]플레이스를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{ㅂㅂㅊㅇㄱㅇ}
정답 : &lt;6&gt; 글자
* 정답란에 띄어쓰기 없이 입력 후 제출해주세요.</t>
  </si>
  <si>
    <t>강서구 명지동 가브리살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</si>
  <si>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4.[*북이동네 부산명지점]플레이스를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{ㅁㅈㄷㄱㄹㄱㅇ}
정답 : &lt;7&gt; 글자
* 정답란에 띄어쓰기 없이 입력 후 제출해주세요.</t>
  </si>
  <si>
    <t>명지동근린공원</t>
  </si>
  <si>
    <t>강서구 명지동 우삼겹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</si>
  <si>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4.[*북이동네 부산명지점]플레이스를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{ㄴㅈㅈ}
정답 : &lt;3&gt; 글자
* 정답란에 띄어쓰기 없이 입력 후 제출해주세요.</t>
  </si>
  <si>
    <t>강서구 명지동 오겹살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</si>
  <si>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4.[*북이동네 부산명지점]플레이스를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{ㄴㄷㄱㄹㄲㄱㅇ}
정답 : &lt;7&gt; 글자
* 정답란에 띄어쓰기 없이 입력 후 제출해주세요.</t>
  </si>
  <si>
    <t>강서구 명지동 숙성삼겹살</t>
  </si>
  <si>
    <t>강서구 명지동 오겹살 추천</t>
  </si>
  <si>
    <t>01월 16일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</si>
  <si>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</si>
  <si>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LKE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</si>
  <si>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</si>
  <si>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</si>
  <si>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</si>
  <si>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894개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</si>
  <si>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</si>
  <si>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"swidn.com"을 찾아주세요.
5. "스위든바 | 스위든액상 | 아이스녹차,그린티 | 쿠반시가 공식 총판 (주)가람컴퍼니"를 클릭해주세요.
6. 사이트 방문 후 제일 하단으로 이동해주세요.
7. [ 힌트 ] 를 보고 정답을 찾아주세요.
8. 초성힌트 : [ 예금주 : 주식회사 OOOOO ]
정답 : &lt;5&gt;  글자
* 정답란에 - 포함하여 띄어쓰기 없이 입력 후 제출해주세요.</t>
  </si>
  <si>
    <t>가람컴퍼니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</si>
  <si>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</si>
  <si>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</si>
  <si>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멜리아우어 답례품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</si>
  <si>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</si>
  <si>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청귤 과일청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</si>
  <si>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</si>
  <si>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768개</t>
  </si>
  <si>
    <t>수제청 패션후르츠 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</si>
  <si>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</si>
  <si>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</si>
  <si>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</si>
  <si>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</si>
  <si>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</si>
  <si>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1+1 *미제 사*리 500ml 대용* 디*저 디퓨* 화장실 *들이 선물 *량용 실*방향*
 ( '광고' 클릭 절대 금지 )
 ▶판매처 : 선유아로마틱스향미제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</si>
  <si>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주*어 상*복 겨울 초**생 상**트 기모 키즈 옷 투*스 셋업 남아 형*룩 남자**복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오즈의방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</si>
  <si>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남아옷 초등학생 겨울 상하세트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</si>
  <si>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주*어 상*복 겨울 초**생 상**트 기모 키즈 옷 투*스 셋업 남아 형*룩 남자**복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오즈의방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</si>
  <si>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주*어 상*복 겨울 초**생 상**트 기모 키즈 옷 투*스 셋업 남아 형*룩 남자**복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오즈의방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</si>
  <si>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남아옷 투피스 아동복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</si>
  <si>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주*어 상*복 겨울 초**생 상**트 기모 키즈 옷 투*스 셋업 남아 형*룩 남자**복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오즈의방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</si>
  <si>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남아옷 기모 형제룩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</si>
  <si>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주*어 상*복 겨울 초**생 상**트 기모 키즈 옷 투*스 셋업 남아 형*룩 남자**복
 ( '광고' 클릭 절대 금지 )
 ▶판매처 : 오즈의방
 5. 찜하기 클릭
 6. 바로가기 클릭
 7. 상품 클릭
 8. 링크(url) 복사 후 정답에 붙여넣기 후 제출</t>
    </r>
  </si>
  <si>
    <t>소형 건조기 4KG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</si>
  <si>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스*어 AI 미니 의류**기 4KG UV살균 소형***조기 원**조기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</si>
  <si>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소형 건조기 보닉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</si>
  <si>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스*어 AI 미니 의류**기 4KG UV살균 소형***조기 원**조기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</si>
  <si>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소형 건조기 원룸 미니 UV살균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</si>
  <si>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스*어 AI 미니 의류**기 4KG UV살균 소형***조기 원**조기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</si>
  <si>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소형 건조기 스퀘어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</si>
  <si>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스*어 AI 미니 의류**기 4KG UV살균 소형***조기 원**조기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</si>
  <si>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161개</t>
  </si>
  <si>
    <t>소형 건조기 AI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</si>
  <si>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보닉 스*어 AI 미니 의류**기 4KG UV살균 소형***조기 원**조기
 ( '광고' 클릭 절대 금지 )
 ▶판매처 : corezone
 5. 찜하기 클릭
 6. 바로가기 클릭
 7. 상품 클릭
 8. 링크(url) 복사 후 정답에 붙여넣기 후 제출</t>
    </r>
  </si>
  <si>
    <t>무선물걸레청소기 배터리 잔량표시 듀얼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</si>
  <si>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크린 무선 물***소기 극**패드 4P LE**이팅 배*리 잔**시 듀얼 무**소기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</si>
  <si>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무선물걸레청소기 보닉 극세사패드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</si>
  <si>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크린 무선 물***소기 극**패드 4P LE**이팅 배*리 잔**시 듀얼 무**소기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</si>
  <si>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무선물걸레청소기 4P LED라이팅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</si>
  <si>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크린 무선 물***소기 극**패드 4P LE**이팅 배*리 잔**시 듀얼 무**소기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</si>
  <si>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크린 무선 물***소기 극**패드 4P LE**이팅 배*리 잔**시 듀얼 무**소기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</si>
  <si>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154개</t>
  </si>
  <si>
    <t>무선물걸레청소기 보닉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</si>
  <si>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보닉 크린 무선 물***소기 극**패드 4P LE**이팅 배*리 잔**시 듀얼 무**소기
 ( '광고' 클릭 절대 금지 )
 ▶판매처 : corezone
 5. 찜하기 클릭
 6. 바로가기 클릭
 7. 상품 클릭
 8. 링크(url) 복사 후 정답에 붙여넣기 후 제출</t>
    </r>
  </si>
  <si>
    <t>러닝마스크 하프런 얼굴가리개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</si>
  <si>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</si>
  <si>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</si>
  <si>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하프런 운동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</si>
  <si>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</si>
  <si>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자외선차단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</si>
  <si>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</si>
  <si>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자외선차단 골프 운동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</si>
  <si>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하*런 *포츠 러닝 마스* 자*선차*마*크 골프 *동 안면 얼*가리*
 ( '광고' 클릭 절대 금지 )
 ▶판매처 : 청풍문-bluewind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</si>
  <si>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라*블리* 룸 *유향수 섬*탈취* 향* 룸*프*이 침구*취 패*릭퍼* 100ml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라이블리 브리즈 ROOM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</si>
  <si>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라*블리* 룸 *유향수 섬*탈취* 향* 룸*프*이 침구*취 패*릭퍼* 100ml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라이블리 브리즈 ROOM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</si>
  <si>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라*블리* 룸 *유향수 섬*탈취* 향* 룸*프*이 침구*취 패*릭퍼* 100ml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라이블리 브리즈 ROOM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</si>
  <si>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섬유탈취제 라이블리즈 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</si>
  <si>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라*블리* 룸 *유향수 섬*탈취* 향* 룸*프*이 침구*취 패*릭퍼* 100ml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라이블리 브리즈 ROOM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</si>
  <si>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272개</t>
  </si>
  <si>
    <t>섬유탈취제 라이블리즈 향균</t>
  </si>
  <si>
    <t>강아지간식 백투베이직 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</si>
  <si>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백*베이*500g X 사*미 2개 *용량 강*지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</si>
  <si>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백*베이*500g X 사*미 2개 *용량 강*지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</si>
  <si>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강아지간식 백투베이직 대용량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</si>
  <si>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백*베이*500g X 사*미 2개 *용량 강*지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</si>
  <si>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강아지간식 백투베이직500g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</si>
  <si>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백*베이*500g X 사*미 2개 *용량 강*지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</si>
  <si>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5개</t>
  </si>
  <si>
    <t>강아지간식 백투베이직 사사미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</si>
  <si>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백*베이*500g X 사*미 2개 *용량 강*지 간*
 ( '광고' 클릭 절대 금지 )
 ▶판매처 : 사료영양학교실
 5. 찜하기 클릭
 6. 바로가기 클릭 
 7. 상품 클릭
 8. 링크(url) 복사 후 정답에 붙여넣기 후 제출</t>
    </r>
  </si>
  <si>
    <t>미나리 글로벌푸드샵 청도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</si>
  <si>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당*수확 싱*한 청도 *나리 1kg 2kg 선*구매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</si>
  <si>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https://smartstore.naver.com/youn5255/products/11213665393</t>
  </si>
  <si>
    <t>미나리 글로벌푸드샵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</si>
  <si>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당*수확 싱*한 청도 *나리 1kg 2kg 선*구매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</si>
  <si>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https://m.search.naver.com/search.naver?sm=mtp_hty.top&amp;where=m&amp;query=%EB%AF%B8%EB%82%98%EB%A6%AC&amp;ackey=5ztyk2p5</t>
  </si>
  <si>
    <t>미나리 글로벌푸드샵 선택구매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</si>
  <si>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당*수확 싱*한 청도 *나리 1kg 2kg 선*구매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</si>
  <si>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https://msearch.shopping.naver.com/search/all?query=%EB%AF%B8%EB%82%98%EB%A6%AC&amp;vertical=search</t>
  </si>
  <si>
    <t>미나리 글로벌푸드샵 당일수확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</si>
  <si>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당*수확 싱*한 청도 *나리 1kg 2kg 선*구매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</si>
  <si>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미나리 글로벌푸드샵 싱싱한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</si>
  <si>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당*수확 싱*한 청도 *나리 1kg 2kg 선*구매
 ( '광고' 클릭 절대 금지 )
 ▶판매처 : 글로벌푸드샵
 5. 찜하기 클릭
 6. 바로가기 클릭 
 7. 상품 클릭
 8. 링크(url) 복사 후 정답에 붙여넣기 후 제출</t>
    </r>
  </si>
  <si>
    <t>https://m.smartstore.naver.com/youn5255/products/11213665393</t>
  </si>
  <si>
    <t>고양이캔 사료영양학교실 24개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</si>
  <si>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X 24개 맛*는 6종 고양*캔 고*이 간식 습*사료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</si>
  <si>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고양이캔 사료영양학교실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</si>
  <si>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X 24개 맛*는 6종 고양*캔 고*이 간식 습*사료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</si>
  <si>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고양이캔 사료영양학교실 맛있는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</si>
  <si>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X 24개 맛*는 6종 고양*캔 고*이 간식 습*사료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</si>
  <si>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고양이캔 사료영양학교실 습식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</si>
  <si>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X 24개 맛*는 6종 고양*캔 고*이 간식 습*사료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</si>
  <si>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고양이캔 사료영양학교실 간식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</si>
  <si>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먹*별난*치 170g X 24개 맛*는 6종 고양*캔 고*이 간식 습*사료
 ( '광고' 클릭 절대 금지 )
 ▶판매처 : 사료영양학교실
 5. 찜하기 클릭
 6. 바로가기 클릭 
 7. 상품 클릭
 8. 링크(url) 복사 후 정답에 붙여넣기 후 제출</t>
    </r>
  </si>
  <si>
    <t>쌀 백미 2025년산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</si>
  <si>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</si>
  <si>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쌀 가가호호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</si>
  <si>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</si>
  <si>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쌀 가가호호 햅쌀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</si>
  <si>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</si>
  <si>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쌀 신동진쌀 10kg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</si>
  <si>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</si>
  <si>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85개</t>
  </si>
  <si>
    <t>쌀 단일품종미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</si>
  <si>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가*호호 신*진쌀 10kg 특*급 단*품종* 백* 2025년산 햅*
 ( '광고' 클릭 절대 금지 )
 ▶판매처 : 농사꾼쌀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</si>
  <si>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</si>
  <si>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</si>
  <si>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헤나염색약 천연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</si>
  <si>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</si>
  <si>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</si>
  <si>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244개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</si>
  <si>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인*농장 *송 골*포션 천* 헤나 *색약 가* 로소*아 2.75%
 ( '광고' 클릭 절대 금지 )
 ▶판매처 : 헤어스페셜
 5. 찜하기 클릭
 6. 바로가기 클릭 
 7. 상품 클릭
 8. 링크(url) 복사 후 정답에 붙여넣기 후 제출</t>
    </r>
  </si>
  <si>
    <t>빨아쓰는마스크 연예인 패션 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</si>
  <si>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연*인 패션 마스*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</si>
  <si>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빨아쓰는마스크 귀편한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</si>
  <si>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연*인 패션 마스*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</si>
  <si>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빨아쓰는마스크 패션 귀편한 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</si>
  <si>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연*인 패션 마스*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</si>
  <si>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빨아쓰는마스크 숨쉬기편한 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</si>
  <si>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연*인 패션 마스*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</si>
  <si>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빨*쓰는 면 천 *스크 숨*기편* 귀*한 *부리형 연*인 패션 마스*
 ( '광고' 클릭 절대 금지 )
 ▶판매처 : 청풍문-bluewind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</si>
  <si>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</si>
  <si>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치과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</si>
  <si>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</si>
  <si>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</si>
  <si>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맞춤제작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</si>
  <si>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</si>
  <si>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438개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</si>
  <si>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200매 소* 쇼*백제* 맞춤*작 빠른 *이가* 초*속 7일 관*서 *원 치*
 ( '광고' 클릭 절대 금지 )
 ▶판매처 : 인쇄공장
 5. 찜하기 클릭
 6. 바로가기 클릭
 7. 상품 클릭
 8. 링크(url) 복사 후 정답에 붙여넣기 후 제출</t>
    </r>
  </si>
  <si>
    <t>2월 세팅 완~ 2/17</t>
  </si>
  <si>
    <t>배곧법무사 서광법무사사무소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</si>
  <si>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4.[*광법무사사무소]플레이스를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{ㅈㅇㄱㅇ}
정답 : &lt;4&gt; 글자
* 정답란에 띄어쓰기 없이 입력 후 제출해주세요.</t>
  </si>
  <si>
    <t>*광법무사사무소</t>
  </si>
  <si>
    <t>https://m.place.naver.com/place/1186454031/home?entry=pll</t>
  </si>
  <si>
    <t>배곧 서광법무사사무소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</si>
  <si>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4.[*광법무사사무소]플레이스를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{ㅎㅇㄹㅎㅅㄱㅇ}
정답 : &lt;7&gt; 글자
* 정답란에 띄어쓰기 없이 입력 후 제출해주세요.</t>
  </si>
  <si>
    <t>해오름호수공원</t>
  </si>
  <si>
    <t>시흥 서광법무사사무소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</si>
  <si>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4.[*광법무사사무소]플레이스를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{ㅇㄱㅍㄱ}
정답 : &lt;4&gt; 글자
* 정답란에 띄어쓰기 없이 입력 후 제출해주세요.</t>
  </si>
  <si>
    <t>월곶포구</t>
  </si>
  <si>
    <t>옥정 마인드업 수학학원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</si>
  <si>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4.[*인드업수학학원]플레이스를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{ㄱㅇㄱㄹㄱㅇ}
정답 : &lt;6&gt; 글자
* 정답란에 띄어쓰기 없이 입력 후 제출해주세요.</t>
  </si>
  <si>
    <t>*인드업수학학원</t>
  </si>
  <si>
    <t>https://m.place.naver.com/place/2072087375/home</t>
  </si>
  <si>
    <t>https://docs.google.com/spreadsheets/d/1yPtxtNL9-vZGv6SmBpbmhn-AE5hsnKUajpFDLUD4wcI/edit?gid=0#gid=0</t>
  </si>
  <si>
    <t>양주시 마인드업 수학학원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</si>
  <si>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4.[*인드업수학학원]플레이스를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{ㄱㅈㅅ}
정답 : &lt;3&gt; 글자
* 정답란에 띄어쓰기 없이 입력 후 제출해주세요.</t>
  </si>
  <si>
    <t>고장산</t>
  </si>
  <si>
    <t>목포 사진관 증명사진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</si>
  <si>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4.[**진관 그날우리는]플레이스를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{ㅇㅇㄱㄹㄱㅇ}
정답 : &lt;6&gt; 글자
* 정답란에 띄어쓰기 없이 입력 후 제출해주세요.</t>
  </si>
  <si>
    <t>**진관 그날우리는</t>
  </si>
  <si>
    <t>목포 사진관 가족사진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</si>
  <si>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4.[**진관 그날우리는]플레이스를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{ㅅㅂㄱㅇ}
정답 : &lt;4&gt; 글자
* 정답란에 띄어쓰기 없이 입력 후 제출해주세요.</t>
  </si>
  <si>
    <t>동성로 양식 피자</t>
  </si>
  <si>
    <t>동성로 양식 숨은 맛집</t>
  </si>
  <si>
    <t>동성로 피자 숨은 맛집</t>
  </si>
  <si>
    <t>반월당역 데이트 맛집</t>
  </si>
  <si>
    <t>반월당역 피자 추천</t>
  </si>
  <si>
    <t>수성못역 맛집 추천</t>
  </si>
  <si>
    <t>수성구 텐동 맛집</t>
  </si>
  <si>
    <t>수성구 일식 맛집</t>
  </si>
  <si>
    <t>수성구 일식 추천</t>
  </si>
  <si>
    <t>광안리 생고기 추천</t>
  </si>
  <si>
    <t>광안리 고기전문점 예약</t>
  </si>
  <si>
    <t>광안리 생고기 육회 맛집</t>
  </si>
  <si>
    <t>청주 퀵서비스 6749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</si>
  <si>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4.[*방가유]플레이스를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{ㅊㅈㄱㅇㄷㅎㄱ}
정답 : &lt;7&gt; 글자
* 정답란에 띄어쓰기 없이 입력 후 제출해주세요.</t>
  </si>
  <si>
    <t>청주교육대학교</t>
  </si>
  <si>
    <t>*방가유</t>
  </si>
  <si>
    <t>https://m.place.naver.com/place/2073862174/home?entry=pll&amp;bk_query=%EC%B2%AD%EC%A3%BC%ED%80%B5%20%EA%B8%88%EB%B0%A9%EA%B0%80%EC%9C%A0</t>
  </si>
  <si>
    <t>서원구 퀵서비스 6749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</si>
  <si>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4.[*방가유]플레이스를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{ㅅㅎㅇㅅㅈ}
정답 : &lt;5&gt; 글자
* 정답란에 띄어쓰기 없이 입력 후 제출해주세요.</t>
  </si>
  <si>
    <t>성화유수지</t>
  </si>
  <si>
    <t>여수 소호동 소고기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</si>
  <si>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4.[*신정]플레이스를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{ㅅㅅ}
정답 : &lt;2&gt; 글자
* 정답란에 띄어쓰기 없이 입력 후 제출해주세요.</t>
  </si>
  <si>
    <t>선소</t>
  </si>
  <si>
    <t>*신정</t>
  </si>
  <si>
    <t>https://m.place.naver.com/restaurant/2001931828/home?entry=plt</t>
  </si>
  <si>
    <t>여수 소호동 한우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</si>
  <si>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4.[*신정]플레이스를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{ㅇㄱㄱㅇ}
정답 : &lt;4&gt; 글자
* 정답란에 띄어쓰기 없이 입력 후 제출해주세요.</t>
  </si>
  <si>
    <t>용기공원</t>
  </si>
  <si>
    <t>여수 소호동 한우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</si>
  <si>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4.[*신정]플레이스를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{ㅇㅅㄱㅇ}
정답 : &lt;4&gt; 글자
* 정답란에 띄어쓰기 없이 입력 후 제출해주세요.</t>
  </si>
  <si>
    <t>안산공원</t>
  </si>
  <si>
    <t>여수 소호동 한우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</si>
  <si>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4.[*신정]플레이스를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{ㅁㅁㅅ}
정답 : &lt;3&gt; 글자
* 정답란에 띄어쓰기 없이 입력 후 제출해주세요.</t>
  </si>
  <si>
    <t>망마산</t>
  </si>
  <si>
    <t>가산디지털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</si>
  <si>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4.[*산곧바로로의원]플레이스를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{ㅎㅊㄱㄹㄱㅇ}
정답 : &lt;6&gt; 글자
* 정답란에 띄어쓰기 없이 입력 후 제출해주세요.</t>
  </si>
  <si>
    <t>현충근린공원</t>
  </si>
  <si>
    <t>*산곧바로로의원</t>
  </si>
  <si>
    <t>https://m.place.naver.com/hospital/1164980535/home?entry=pll</t>
  </si>
  <si>
    <t>가산디지털 정형외과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</si>
  <si>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4.[*산곧바로로의원]플레이스를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{ㄱㅁㅎㅅㄱㅈ}
정답 : &lt;6&gt; 글자
* 정답란에 띄어쓰기 없이 입력 후 제출해주세요.</t>
  </si>
  <si>
    <t>광명햇살광장</t>
  </si>
  <si>
    <t>가산디지털 정형외과 도수치료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</si>
  <si>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4.[*산곧바로로의원]플레이스를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{ㄱㅂㅅㄷ}
정답 : &lt;4&gt; 글자
* 정답란에 띄어쓰기 없이 입력 후 제출해주세요.</t>
  </si>
  <si>
    <t>가산디지털 정형외과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</si>
  <si>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4.[*산곧바로로의원]플레이스를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{ㅅㅅㄱㅇ}
정답 : &lt;4&gt; 글자
* 정답란에 띄어쓰기 없이 입력 후 제출해주세요.</t>
  </si>
  <si>
    <t>사성공원</t>
  </si>
  <si>
    <t>가산디지털 정형외과 통증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</si>
  <si>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4.[*산곧바로로의원]플레이스를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{ㅊㅅㅅㄷ}
정답 : &lt;4&gt; 글자
* 정답란에 띄어쓰기 없이 입력 후 제출해주세요.</t>
  </si>
  <si>
    <t>철산성당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</si>
  <si>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4.[*산본튼튼의원]플레이스를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{ㅊㅅㄹㄷㅇㄱㄹ}
정답 : &lt;7&gt; 글자
* 정답란에 띄어쓰기 없이 입력 후 제출해주세요.</t>
  </si>
  <si>
    <t>*산본튼튼의원</t>
  </si>
  <si>
    <t>https://m.place.naver.com/hospital/1214750814/home?entry=pll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</si>
  <si>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4.[*산본튼튼의원]플레이스를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{ㄲㄲㄱㄹ}
정답 : &lt;4&gt; 글자
* 정답란에 띄어쓰기 없이 입력 후 제출해주세요.</t>
  </si>
  <si>
    <t>깔깔거리</t>
  </si>
  <si>
    <t>가산디지털 정형외과 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</si>
  <si>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4.[*산본튼튼의원]플레이스를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{ㄱㄷㅅㄱㄹㄱㅇ}
정답 : &lt;7&gt; 글자
* 정답란에 띄어쓰기 없이 입력 후 제출해주세요.</t>
  </si>
  <si>
    <t>광덕산근린공원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</si>
  <si>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4.[*산본튼튼의원]플레이스를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{ㄱㅁㅎㅅㄱㅈ}
정답 : &lt;6&gt; 글자
* 정답란에 띄어쓰기 없이 입력 후 제출해주세요.</t>
  </si>
  <si>
    <t>가산디지털 정형외과 진료시간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</si>
  <si>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4.[*산본튼튼의원]플레이스를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{ㅎㅊㄱㄹㄱㅇ}
정답 : &lt;6&gt; 글자
* 정답란에 띄어쓰기 없이 입력 후 제출해주세요.</t>
  </si>
  <si>
    <t>송내역 정형외과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</si>
  <si>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4.[*울온정형외과의원]플레이스를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{ㅅㅊㄱㅇ}
정답 : &lt;4&gt; 글자
* 정답란에 띄어쓰기 없이 입력 후 제출해주세요.</t>
  </si>
  <si>
    <t>석천공원</t>
  </si>
  <si>
    <t>*울온정형외과의원</t>
  </si>
  <si>
    <t>https://m.place.naver.com/hospital/1062843959/home?entry=pll</t>
  </si>
  <si>
    <t>송내역 정형외과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</si>
  <si>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4.[*울온정형외과의원]플레이스를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{ㅎㄱㄴㅅㅁㅇ}
정답 : &lt;6&gt; 글자
* 정답란에 띄어쓰기 없이 입력 후 제출해주세요.</t>
  </si>
  <si>
    <t>해그늘식물원</t>
  </si>
  <si>
    <t>송내역 정형외과 영업시간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</si>
  <si>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4.[*울온정형외과의원]플레이스를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{ㅂㅇㄱㅇ}
정답 : &lt;4&gt; 글자
* 정답란에 띄어쓰기 없이 입력 후 제출해주세요.</t>
  </si>
  <si>
    <t>송내역 정형외과 신경치료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</si>
  <si>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4.[*울온정형외과의원]플레이스를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{ㄷㅊㄱㅇ}
정답 : &lt;4&gt; 글자
* 정답란에 띄어쓰기 없이 입력 후 제출해주세요.</t>
  </si>
  <si>
    <t>송내역 정형외과 재활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</si>
  <si>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4.[*울온정형외과의원]플레이스를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{ㅅㄷㅎㅅㄱㅇ}
정답 : &lt;6&gt; 글자
* 정답란에 띄어쓰기 없이 입력 후 제출해주세요.</t>
  </si>
  <si>
    <t>서울 중구 퇴계로 상품권판매</t>
  </si>
  <si>
    <t>https://m.place.naver.com/place/2087834664?entry=pll</t>
  </si>
  <si>
    <t>https://docs.google.com/spreadsheets/d/1RFvPpzfQdzdVIpuyoKnwOeDKJW3DzSNwR3IBKsydHrs/edit?usp=sharing</t>
  </si>
  <si>
    <t>서울 중구 퇴계로 상품권매입</t>
  </si>
  <si>
    <t>서울 중구 퇴계로 상품권교환</t>
  </si>
  <si>
    <t>명동 상품권교환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</si>
  <si>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4.[*스트탑글로벌]플레이스를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{ㅇㄹㅁ}
정답 : &lt;3&gt; 글자
* 정답란에 띄어쓰기 없이 입력 후 제출해주세요.</t>
  </si>
  <si>
    <t>와룡묘</t>
  </si>
  <si>
    <t>https://m.place.naver.com/place/1387359960?entry=pll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</si>
  <si>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 공유오피스 안양역점]플레이스를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{ㅎㅇㅊ}
정답 : &lt;3&gt; 글자
* 정답란에 띄어쓰기 없이 입력 후 제출해주세요.</t>
  </si>
  <si>
    <t>학의천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</si>
  <si>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 공유오피스 안양역점]플레이스를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{ㅂㅁㅇㅅㅁㄱㅇ}
정답 : &lt;7&gt; 글자
* 정답란에 띄어쓰기 없이 입력 후 제출해주세요.</t>
  </si>
  <si>
    <t>병목안시민공원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</si>
  <si>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 공유오피스 안양역점]플레이스를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{ㅁㅇㄱ}
정답 : &lt;3&gt; 글자
* 정답란에 띄어쓰기 없이 입력 후 제출해주세요.</t>
  </si>
  <si>
    <t>만안교</t>
  </si>
  <si>
    <t>미사역 통증관리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</si>
  <si>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4.[*렌시아 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{ㄱㅇㄷㅅㄷ}
정답 : &lt;5&gt; 글자
* 정답란에 띄어쓰기 없이 입력 후 제출해주세요.</t>
  </si>
  <si>
    <t>망월동 안면윤곽관리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</si>
  <si>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4.[*렌시아 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{ㅎㄴㅁㅅㄹㅅㅅㅇㅈ}
정답 : &lt;9&gt; 글자
* 정답란에 띄어쓰기 없이 입력 후 제출해주세요.</t>
  </si>
  <si>
    <t>하남미사리선사유적</t>
  </si>
  <si>
    <t>망월동 안면윤곽관리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</si>
  <si>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4.[*마라인]플레이스를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{ㅎㅁㄱㅇ}
정답 : &lt;4&gt; 글자
* 정답란에 띄어쓰기 없이 입력 후 제출해주세요.</t>
  </si>
  <si>
    <t>*마라인</t>
  </si>
  <si>
    <t>https://m.place.naver.com/place/2065975693/home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</si>
  <si>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4.[*마라인]플레이스를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{ㅂㅇㄱㅇ}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</si>
  <si>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4.[*마라인]플레이스를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</si>
  <si>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4.[*마라인]플레이스를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{ㅇㅊㄱㅇ}
정답 : &lt;4&gt; 글자
* 정답란에 띄어쓰기 없이 입력 후 제출해주세요.</t>
  </si>
  <si>
    <t>원천공원</t>
  </si>
  <si>
    <t>https://m.place.naver.com/place/1168717927/home</t>
  </si>
  <si>
    <t>인천 중구 공항로 실내주차대행 전화번호</t>
  </si>
  <si>
    <t>인천 중구 공항로 실내주차 예약</t>
  </si>
  <si>
    <t>인천 중구 공항로 실내주차 전화번호</t>
  </si>
  <si>
    <t>인천 중구 공항로 실내주차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</si>
  <si>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 실내 주차대행 인천공항로점]플레이스를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{ㅁㄷㄹ}
정답 : &lt;3&gt; 글자
* 정답란에 띄어쓰기 없이 입력 후 제출해주세요.</t>
  </si>
  <si>
    <t>매도랑</t>
  </si>
  <si>
    <t>인천공항 실내 주차대행 추천</t>
  </si>
  <si>
    <t>세종 조치원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</si>
  <si>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4.[*쌩맥주 세종조치원점]플레이스를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{ㅅㄱㅅ}
정답 : &lt;3&gt; 글자
* 정답란에 띄어쓰기 없이 입력 후 제출해주세요.</t>
  </si>
  <si>
    <t>신광사</t>
  </si>
  <si>
    <t>*쌩맥주 세종조치원점</t>
  </si>
  <si>
    <t>https://m.place.naver.com/restaurant/2049085933/home</t>
  </si>
  <si>
    <t>세종 조치원 술집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</si>
  <si>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4.[*쌩맥주 세종조치원점]플레이스를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{ㅈㅊㅇㄲㄱㅇ}
정답 : &lt;6&gt; 글자
* 정답란에 띄어쓰기 없이 입력 후 제출해주세요.</t>
  </si>
  <si>
    <t>조천연꽃공원</t>
  </si>
  <si>
    <t>세종 조치원 인쌩맥주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</si>
  <si>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4.[*쌩맥주 세종조치원점]플레이스를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{ㅎㅇㅅ}
정답 : &lt;3&gt; 글자
* 정답란에 띄어쓰기 없이 입력 후 제출해주세요.</t>
  </si>
  <si>
    <t>현암사</t>
  </si>
  <si>
    <t>세종 조치원 맥주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</si>
  <si>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4.[*쌩맥주 세종조치원점]플레이스를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{ㅇㅅㅅㄷ}
정답 : &lt;4&gt; 글자
* 정답란에 띄어쓰기 없이 입력 후 제출해주세요.</t>
  </si>
  <si>
    <t>오송성당</t>
  </si>
  <si>
    <t>세종 조치원 호프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</si>
  <si>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4.[*쌩맥주 세종조치원점]플레이스를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{ㅇㅂㅅ}
정답 : &lt;3&gt; 글자
* 정답란에 띄어쓰기 없이 입력 후 제출해주세요.</t>
  </si>
  <si>
    <t>오봉산</t>
  </si>
  <si>
    <t>여주 홍문동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</si>
  <si>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 여주홍문점]플레이스를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{ㅇㅅㅈㄱㄱㅇ}
정답 : &lt;6&gt; 글자
* 정답란에 띄어쓰기 없이 입력 후 제출해주세요.</t>
  </si>
  <si>
    <t>양섬지구공원</t>
  </si>
  <si>
    <t>*선 여주홍문점</t>
  </si>
  <si>
    <t>https://m.place.naver.com/restaurant/2050408425/home</t>
  </si>
  <si>
    <t>여주 홍문동 술집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</si>
  <si>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 여주홍문점]플레이스를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{ㅎㅇㅈㄱㄱㅇ}
정답 : &lt;6&gt; 글자
* 정답란에 띄어쓰기 없이 입력 후 제출해주세요.</t>
  </si>
  <si>
    <t>현암지구공원</t>
  </si>
  <si>
    <t>여주 홍문동 이자카야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</si>
  <si>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 여주홍문점]플레이스를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{ㄴㅎㄱㅊㄹㄷㄹ}
정답 : &lt;7&gt; 글자
* 정답란에 띄어쓰기 없이 입력 후 제출해주세요.</t>
  </si>
  <si>
    <t>남한강출렁다리</t>
  </si>
  <si>
    <t>여주 홍문동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</si>
  <si>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 여주홍문점]플레이스를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{ㅎㅎㅅㅅㅁㅇ}
정답 : &lt;6&gt; 글자
* 정답란에 띄어쓰기 없이 입력 후 제출해주세요.</t>
  </si>
  <si>
    <t>황학산수목원</t>
  </si>
  <si>
    <t>여주 홍문동 일식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</si>
  <si>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 여주홍문점]플레이스를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{ㅇㅈㄷㅈㄱㅁㅇ}
정답 : &lt;7&gt; 글자
* 정답란에 띄어쓰기 없이 입력 후 제출해주세요.</t>
  </si>
  <si>
    <t>여주도자기마을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</si>
  <si>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4.[*로우어스]플레이스를 방문 하고 [ 소식 ] 탭을 클릭 해주세요.
 5. [ 소식 ] 탭을 클릭 후 아래 게시글 확인 해주세요. 
 6. 게시글을 보고 빈칸을 확인 후 정답에 입력 해주세요.  
 7.  정답 : &lt;4&gt; 글자
초성힌트 : {EVENT OOOO 슬로우서울 오픈 이벤트!!}
* 정답란에 띄어쓰기 없이 입력 후 제출해주세요.</t>
  </si>
  <si>
    <t>파충류샵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</si>
  <si>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4.[*로우어스]플레이스를 방문 하고 [ 소식 ] 탭을 클릭 해주세요.
 5. [ 소식 ] 탭을 클릭 후 아래 게시글 확인 해주세요. 
 6. 게시글을 보고 빈칸을 확인 후 정답에 입력 해주세요.  
 7.  정답 : &lt;4&gt; 글자
초성힌트 : {EVENT 슬로우어스 OOOO 이벤트 !!(6시 이전 방문 시 와인 위스키 1+1)}
* 정답란에 띄어쓰기 없이 입력 후 제출해주세요.</t>
  </si>
  <si>
    <t>해피아워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</si>
  <si>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4.[*페 슬로우커피]플레이스를 방문 하고 [ 소식 ] 탭을 클릭 해주세요.
 5. [ 소식 ] 탭을 클릭 후 아래 게시글 확인 해주세요. 
 6. 게시글을 보고 빈칸을 확인 후 정답에 입력 해주세요.  
 7.  정답 : &lt;5&gt; 글자
초성힌트 : {EVENT 파충류샵 OOOOO 오픈 이벤트!!}
* 정답란에 띄어쓰기 없이 입력 후 제출해주세요.</t>
  </si>
  <si>
    <t>슬로우서울</t>
  </si>
  <si>
    <t>강남역 슬로우 디저트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</si>
  <si>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{ㄷㄹㅍ}
정답 : &lt;4&gt; 글자
* 정답란에 띄어쓰기 없이 입력 후 제출해주세요.</t>
  </si>
  <si>
    <t>칵테일바 서귀포혼술바수심</t>
  </si>
  <si>
    <t>제주 서귀포혼술바수심 단체석</t>
  </si>
  <si>
    <t>01월 19일 마감</t>
  </si>
  <si>
    <t>남양주 변호사</t>
  </si>
  <si>
    <r>
      <rPr>
        <sz val="0"/>
        <color rgb="FF000000"/>
        <rFont val="Arial"/>
      </rPr>
  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</t>
    </r>
    <r>
      <rPr>
        <u/>
        <sz val="0"/>
        <color rgb="FF1155CC"/>
        <rFont val="Arial"/>
      </rPr>
      <t>ninelawfirm.co.kr</t>
    </r>
    <r>
      <rPr>
        <sz val="0"/>
        <color rgb="FF000000"/>
        <rFont val="Arial"/>
      </rPr>
      <t>"을 찾아주세요.
5. "남양주 이혼변호사, 형사변호사 - 법률사무소 나인"을 클릭해주세요.
6. 사이트 방문 후 우측 상단 "☰(삼선) -&gt; 온라인 상담 -&gt; 온라인 상담"을 클릭해주세요.
7. [ 힌트 ] 를 보고 정답을 찾아주세요.
8. 초성힌트 : [ 법률사무소 나인은 OOOOO가 직접 소송을 수행하고 있습니다. ]
정답 : &lt;5&gt;  글자
* 정답란에 - 포함하여 띄어쓰기 없이 입력 후 제출해주세요.</t>
    </r>
  </si>
  <si>
    <t>okEL</t>
  </si>
  <si>
    <t>명절선물세트 글로벌푸드샵 10입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</si>
  <si>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*있다정 *합세트 *도 *건시 10*+*봉감 *건시 10* *기별 *택 *절선물세트 *감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</si>
  <si>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https://smartstore.naver.com/youn5255/products/12410653288</t>
  </si>
  <si>
    <t>명절선물세트 글로벌푸드샵 맛있다정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</si>
  <si>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*있다정 *합세트 *도 *건시 10*+*봉감 *건시 10* *기별 *택 *절선물세트 *감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</si>
  <si>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https://m.search.naver.com/search.naver?sm=mtp_hty.top&amp;where=m&amp;query=%EC%84%A4%EC%84%A0%EB%AC%BC%EC%84%B8%ED%8A%B8&amp;ackey=eh56u9ic</t>
  </si>
  <si>
    <t>명절선물세트 글로벌푸드샵 곶감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</si>
  <si>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*있다정 *합세트 *도 *건시 10*+*봉감 *건시 10* *기별 *택 *절선물세트 *감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</si>
  <si>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https://msearch.shopping.naver.com/search/all?query=%EC%84%A4%EC%84%A0%EB%AC%BC%EC%84%B8%ED%8A%B8&amp;vertical=search</t>
  </si>
  <si>
    <t>명절선물세트 글로벌푸드샵 청도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</si>
  <si>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*있다정 *합세트 *도 *건시 10*+*봉감 *건시 10* *기별 *택 *절선물세트 *감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</si>
  <si>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명절선물세트 글로벌푸드샵 반건시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</si>
  <si>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*있다정 *합세트 *도 *건시 10*+*봉감 *건시 10* *기별 *택 *절선물세트 *감
 ( '광고' 클릭 절대 금지 )
 ▶판매처 : 글로벌푸드샵
 5. 찜하기 클릭
 6. 바로가기 클릭
 7. 상품 클릭
 8. 링크(url) 복사 후 정답에 붙여넣기 후 제출</t>
    </r>
  </si>
  <si>
    <t>https://m.smartstore.naver.com/youn5255/products/12410653288</t>
  </si>
  <si>
    <t>설선물 곶감 글로벌푸드샵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</si>
  <si>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1+1*청도 *건시 *감 *트 *과(30g20과) *2박스 *보자기동봉 *물세트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</si>
  <si>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https://smartstore.naver.com/youn5255/products/12348927148</t>
  </si>
  <si>
    <t>kLE</t>
  </si>
  <si>
    <t>설선물 청도 곶감 글로벌푸드샵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</si>
  <si>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1+1*청도 *건시 *감 *트 *과(30g20과) *2박스 *보자기동봉 *물세트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</si>
  <si>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https://m.search.naver.com/search.naver?sm=mtp_hty.top&amp;where=m&amp;query=%EC%84%A4%EC%84%A0%EB%AC%BC&amp;ackey=65ceui26</t>
  </si>
  <si>
    <t>설선물 곶감 글로벌푸드샵 1+1 반건시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</si>
  <si>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1+1*청도 *건시 *감 *트 *과(30g20과) *2박스 *보자기동봉 *물세트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</si>
  <si>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https://msearch.shopping.naver.com/search/all?query=%EC%84%A4%EC%84%A0%EB%AC%BC&amp;vertical=search</t>
  </si>
  <si>
    <t>설선물 곶감 글로벌푸드샵 1+1 청도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</si>
  <si>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1+1*청도 *건시 *감 *트 *과(30g20과) *2박스 *보자기동봉 *물세트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</si>
  <si>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설선물 곶감 글로벌푸드샵 금보자기동봉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</si>
  <si>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1+1*청도 *건시 *감 *트 *과(30g20과) *2박스 *보자기동봉 *물세트
 ( '광고' 클릭 절대 금지 )
 ▶판매처 : 글로벌푸드샵
 5. 찜하기 클릭
 6. 바로가기 클릭
 7. 상품 클릭
 8. 링크(url) 복사 후 정답에 붙여넣기 후 제출</t>
    </r>
  </si>
  <si>
    <t>https://m.smartstore.naver.com/youn5255/products/12348927148</t>
  </si>
  <si>
    <t>명절선물세트 글로벌푸드샵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</si>
  <si>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*물세트 *봉감말랭이 *리미엄*작 *말랭이 *산자직*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</si>
  <si>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https://smartstore.naver.com/youn5255/products/12909189035</t>
  </si>
  <si>
    <t>명절선물세트 글로벌푸드샵 명작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</si>
  <si>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*물세트 *봉감말랭이 *리미엄*작 *말랭이 *산자직*
 ( '광고' 클릭 절대 금지 )
 ▶판매처 : 글로벌푸드샵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</si>
  <si>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https://m.search.naver.com/search.naver?sm=mtp_hty.top&amp;where=m&amp;query=%EB%AA%85%EC%A0%88%EC%84%A0%EB%AC%BC%EC%84%B8%ED%8A%B8&amp;ackey=mpxaake1</t>
  </si>
  <si>
    <t>명절선물세트 글로벌푸드샵 프리미엄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</si>
  <si>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*물세트 *봉감말랭이 *리미엄*작 *말랭이 *산자직*
 ( '광고' 클릭 절대 금지 )
 ▶판매처 : 글로벌푸드샵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</si>
  <si>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https://msearch.shopping.naver.com/search/all?query=%EB%AA%85%EC%A0%88%EC%84%A0%EB%AC%BC%EC%84%B8%ED%8A%B8&amp;vertical=search</t>
  </si>
  <si>
    <t>명절선물세트 글로벌푸드샵 직판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</si>
  <si>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*물세트 *봉감말랭이 *리미엄*작 *말랭이 *산자직*
 ( '광고' 클릭 절대 금지 )
 ▶판매처 : 글로벌푸드샵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</si>
  <si>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명절선물세트 글로벌푸드샵 대봉감말랭이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</si>
  <si>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*물세트 *봉감말랭이 *리미엄*작 *말랭이 *산자직*
 ( '광고' 클릭 절대 금지 )
 ▶판매처 : 글로벌푸드샵
 5. 찜하기 클릭
 6. 바로가기 클릭
 7. 상품 클릭
 8. 링크(url) 복사 후 정답에 붙여넣기 후 제출</t>
    </r>
  </si>
  <si>
    <t>https://m.smartstore.naver.com/youn5255/products/12909189035</t>
  </si>
  <si>
    <t>명절선물 대봉 선물용보자기동봉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</si>
  <si>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*절선물 *합세트 *봉반건시 20* + *도반시 *건시 10* *물세트 / *물용보자기동봉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</si>
  <si>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https://smartstore.naver.com/youn5255/products/12210209750</t>
  </si>
  <si>
    <t>명절선물 청도반시 반건시 10입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</si>
  <si>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*절선물 *합세트 *봉반건시 20* + *도반시 *건시 10* *물세트 / *물용보자기동봉
 ( '광고' 클릭 절대 금지 )
 ▶판매처 : 글로벌푸드샵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</si>
  <si>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https://m.search.naver.com/search.naver?sm=mtp_hty.top&amp;where=m&amp;query=%EB%AA%85%EC%A0%88%EC%84%A0%EB%AC%BC&amp;ackey=s9dcudkn</t>
  </si>
  <si>
    <t>명절선물 반건시 10입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</si>
  <si>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*절선물 *합세트 *봉반건시 20* + *도반시 *건시 10* *물세트 / *물용보자기동봉
 ( '광고' 클릭 절대 금지 )
 ▶판매처 : 글로벌푸드샵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</si>
  <si>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https://msearch.shopping.naver.com/search/all?query=%EB%AA%85%EC%A0%88%EC%84%A0%EB%AC%BC&amp;vertical=search</t>
  </si>
  <si>
    <t>명절선물 글로벌푸드샵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</si>
  <si>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*절선물 *합세트 *봉반건시 20* + *도반시 *건시 10* *물세트 / *물용보자기동봉
 ( '광고' 클릭 절대 금지 )
 ▶판매처 : 글로벌푸드샵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</si>
  <si>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명절선물 대봉반건시 20입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</si>
  <si>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*절선물 *합세트 *봉반건시 20* + *도반시 *건시 10* *물세트 / *물용보자기동봉
 ( '광고' 클릭 절대 금지 )
 ▶판매처 : 글로벌푸드샵
 5. 찜하기 클릭
 6. 바로가기 클릭
 7. 상품 클릭
 8. 링크(url) 복사 후 정답에 붙여넣기 후 제출</t>
    </r>
  </si>
  <si>
    <t>https://m.smartstore.naver.com/youn5255/products/12210209750</t>
  </si>
  <si>
    <t>코엔자임Q10 코엔자임 효능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</si>
  <si>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*엔자임Q10 *래티넘 *1개월분 *큐텐 *은혈압 *추는 *움 *텐 *엔자임 *능 *산화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리프네이드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</si>
  <si>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리프네이드</t>
  </si>
  <si>
    <t>https://smartstore.naver.com/leafnade/products/9902567676</t>
  </si>
  <si>
    <t>코엔자임Q10 플래티넘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</si>
  <si>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*엔자임Q10 *래티넘 *1개월분 *큐텐 *은혈압 *추는 *움 *텐 *엔자임 *능 *산화
 ( '광고' 클릭 절대 금지 )
 ▶판매처 : 리프네이드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</si>
  <si>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https://m.search.naver.com/search.naver?sm=mtp_hty.top&amp;where=m&amp;query=%EC%BD%94%EC%97%94%EC%9E%90%EC%9E%84Q10&amp;ackey=7uk08une</t>
  </si>
  <si>
    <t>코엔자임Q10 효능항산화</t>
  </si>
  <si>
    <t>미션 수행하며,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상품을 클릭 해주세요.
*엔자임Q10 *래티넘 *1개월분 *큐텐 *은혈압 *추는 *움 *텐 *엔자임 *능 *산화
 ( '광고' 클릭 절대 금지 )
 ▶판매처 : 리프네이드
 5. 상세페이지 하단 구매 추가정보에서 상품번호 뒤 5자리를
 아래 정답란에 입력 후 제출해주세요.</t>
  </si>
  <si>
    <t>https://msearch.shopping.naver.com/search/all?query=%EC%BD%94%EC%97%94%EC%9E%90%EC%9E%84Q10&amp;vertical=search</t>
  </si>
  <si>
    <t>코엔자임Q10 약1개월분</t>
  </si>
  <si>
    <t>코엔자임Q10 코큐텐 높은혈압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</si>
  <si>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*엔자임Q10 *래티넘 *1개월분 *큐텐 *은혈압 *추는 *움 *텐 *엔자임 *능 *산화
 ( '광고' 클릭 절대 금지 )
 ▶판매처 : 리프네이드
 5. 찜하기 클릭
 6. 바로가기 클릭
 7. 상품 클릭
 8. 링크(url) 복사 후 정답에 붙여넣기 후 제출</t>
    </r>
  </si>
  <si>
    <t>https://m.smartstore.naver.com/leafnade/products/9902567676</t>
  </si>
  <si>
    <t>바나바잎 코로콜산 혈당 관리 크롬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</si>
  <si>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*당케어 *래티넘 약 *개월분 *나바잎 *출물 *나바 *로솔산 *후 *당 *리 *절 *롬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리프네이드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</si>
  <si>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https://smartstore.naver.com/leafnade/products/9902884571</t>
  </si>
  <si>
    <t>바나바잎 혈당케어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</si>
  <si>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*당케어 *래티넘 약 *개월분 *나바잎 *출물 *나바 *로솔산 *후 *당 *리 *절 *롬
 ( '광고' 클릭 절대 금지 )
 ▶판매처 : 리프네이드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</si>
  <si>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https://m.search.naver.com/search.naver?sm=mtp_hty.top&amp;where=m&amp;query=%EC%98%81%EC%96%91%EC%A0%9C&amp;ackey=jeoxp7ov</t>
  </si>
  <si>
    <t>바나바잎 관리 조절 크롬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</si>
  <si>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*당케어 *래티넘 약 *개월분 *나바잎 *출물 *나바 *로솔산 *후 *당 *리 *절 *롬
 ( '광고' 클릭 절대 금지 )
 ▶판매처 : 리프네이드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</si>
  <si>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https://msearch.shopping.naver.com/search/all?query=%EC%98%81%EC%96%91%EC%A0%9C&amp;vertical=search</t>
  </si>
  <si>
    <t>바나바잎 플래티넘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</si>
  <si>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*당케어 *래티넘 약 *개월분 *나바잎 *출물 *나바 *로솔산 *후 *당 *리 *절 *롬
 ( '광고' 클릭 절대 금지 )
 ▶판매처 : 리프네이드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</si>
  <si>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405개</t>
  </si>
  <si>
    <t>바나바잎 약 2개월분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</si>
  <si>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*당케어 *래티넘 약 *개월분 *나바잎 *출물 *나바 *로솔산 *후 *당 *리 *절 *롬
 ( '광고' 클릭 절대 금지 )
 ▶판매처 : 리프네이드
 5. 찜하기 클릭
 6. 바로가기 클릭
 7. 상품 클릭
 8. 링크(url) 복사 후 정답에 붙여넣기 후 제출</t>
    </r>
  </si>
  <si>
    <t>https://m.smartstore.naver.com/leafnade/products/9902884571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</si>
  <si>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</si>
  <si>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</si>
  <si>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https://m.search.naver.com/search.naver?sm=mtp_hty.top&amp;where=m&amp;query=%EB%B2%BD%EC%8B%9C%EA%B3%84&amp;ackey=kd9u0vwj</t>
  </si>
  <si>
    <t>루나리스 사무실 개업선물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</si>
  <si>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</si>
  <si>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https://msearch.shopping.naver.com/search/all?query=%EB%B2%BD%EC%8B%9C%EA%B3%84&amp;vertical=search</t>
  </si>
  <si>
    <t>루나리스 fm전파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</si>
  <si>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</si>
  <si>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194개</t>
  </si>
  <si>
    <t>루나리스 벽시계 54cm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</si>
  <si>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찜하기 클릭
 6. 바로가기 클릭
 7. 상품 클릭
 8. 링크(url) 복사 후 정답에 붙여넣기 후 제출</t>
    </r>
  </si>
  <si>
    <t>LED벽시계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</si>
  <si>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</si>
  <si>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</si>
  <si>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</si>
  <si>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</si>
  <si>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363개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</si>
  <si>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플*이토 와*파이 *시계 인*리어 전자달* 집*이 사*실 LED시* 백라*트 터닝 *랫
( '광고' 클릭 절대 금지 )
 ▶판매처 : 제이앤와이컴퍼니
 5. 찜하기 클릭
 6. 바로가기 클릭
 7. 상품 클릭
 8. 링크(url) 복사 후 정답에 붙여넣기 후 제출</t>
    </r>
  </si>
  <si>
    <t>화장대 화이트 좌형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</si>
  <si>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</si>
  <si>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</si>
  <si>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</si>
  <si>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화장대 틈새 일체형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</si>
  <si>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</si>
  <si>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586개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</si>
  <si>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모디* 르* 틈새 *장대 *툴 일*형 화*트_좌*
 ( '광고' 클릭 절대 금지 )
 ▶판매처 : 모디카
 5. 찜하기 클릭
 6. 바로가기 클릭
 7. 상품 클릭
 8. 링크(url) 복사 후 정답에 붙여넣기 후 제출</t>
    </r>
  </si>
  <si>
    <t>거실테이블 1200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</si>
  <si>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라*가구 *드 1200 리*트업 거실 *이블 cw150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</si>
  <si>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라*가구 *드 1200 리*트업 거실 *이블 cw150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</si>
  <si>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거실테이블 위드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</si>
  <si>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라*가구 *드 1200 리*트업 거실 *이블 cw150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</si>
  <si>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라*가구 *드 1200 리*트업 거실 *이블 cw150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</si>
  <si>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273개</t>
  </si>
  <si>
    <t>거실테이블 cw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</si>
  <si>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라*가구 *드 1200 리*트업 거실 *이블 cw150
 ▶판매처 : 라자가구 스토어
 5. 찜하기 클릭
 6. 바로가기 클릭
 7. 상품 클릭
 8. 링크(url) 복사 후 정답에 붙여넣기 후 제출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</si>
  <si>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*자가구 *드 *러시 1200* 5* *장 *어형 *y246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</si>
  <si>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*자가구 *드 *러시 1200* 5* *장 *어형 *y246
 ( '광고' 클릭 절대 금지 )
 ▶판매처 : 라자가구 스토어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</si>
  <si>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*자가구 *드 *러시 1200* 5* *장 *어형 *y246
 ( '광고' 클릭 절대 금지 )
 ▶판매처 : 라자가구 스토어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</si>
  <si>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*자가구 *드 *러시 1200* 5* *장 *어형 *y246
 ( '광고' 클릭 절대 금지 )
 ▶판매처 : 라자가구 스토어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</si>
  <si>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29개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</si>
  <si>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*자가구 *드 *러시 1200* 5* *장 *어형 *y246
 ( '광고' 클릭 절대 금지 )
 ▶판매처 : 라자가구 스토어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</si>
  <si>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</si>
  <si>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</si>
  <si>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</si>
  <si>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</si>
  <si>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소* 1200 슬*이딩 *장 행*형 Y*R058
 ( '광고' 클릭 절대 금지 )
 ▶판매처 : 온라인 브랜드 가구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</si>
  <si>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</si>
  <si>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</si>
  <si>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https://m.search.naver.com/search.naver?sm=mtp_hty.top&amp;where=m&amp;query=%EC%B9%A8%EB%8C%80&amp;ackey=pxyjoaof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</si>
  <si>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</si>
  <si>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본넬 프라임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</si>
  <si>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</si>
  <si>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2,581개</t>
  </si>
  <si>
    <t>침대 프라임 본넬 매트리스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</si>
  <si>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보루**하우스 프*임 LED 슈퍼싱글 수**대 본넬 매트리스
 ( '광고' 클릭 절대 금지 )
 ▶판매처 : 퍼니처 브랜드몰
 5. 찜하기 클릭
 6. 바로가기 클릭
 7. 상품 클릭
 8. 링크(url) 복사 후 정답에 붙여넣기 후 제출</t>
    </r>
  </si>
  <si>
    <t>파로마 퀸침대 led 인싸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</si>
  <si>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</si>
  <si>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파로마 퀸침대 led 인싸 서랍형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</si>
  <si>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</si>
  <si>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</si>
  <si>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</si>
  <si>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697개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</si>
  <si>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소프 led 인싸 3서랍 퀸*대 수납 서*형 프*임
 ( '광고' 클릭 절대 금지 )
 ▶판매처 : 온라인 브랜드가구
 5. 찜하기 클릭
 6. 바로가기 클릭
 7. 상품 클릭
 8. 링크(url) 복사 후 정답에 붙여넣기 후 제출</t>
    </r>
  </si>
  <si>
    <t>발매트 오셀픽 오브제 규조토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</si>
  <si>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오*픽 오브* 빨*쓰는 *장실 규*토 발*트 M(60x40)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오셀픽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</si>
  <si>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오셀픽</t>
  </si>
  <si>
    <t>https://brand.naver.com/ohselpickr/products/9463842475</t>
  </si>
  <si>
    <t>발매트 오셀픽 빨아쓰는 규조토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</si>
  <si>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오*픽 오브* 빨*쓰는 *장실 규*토 발*트 M(60x40)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오셀픽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</si>
  <si>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https://m.search.naver.com/search.naver?sm=mtp_hty.top&amp;where=m&amp;query=%EB%B0%9C%EB%A7%A4%ED%8A%B8&amp;ackey=xt1kdgee</t>
  </si>
  <si>
    <t>발매트 오셀픽 화장실 규조토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</si>
  <si>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오*픽 오브* 빨*쓰는 *장실 규*토 발*트 M(60x40)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오셀픽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</si>
  <si>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https://msearch.shopping.naver.com/search/all?query=%EB%B0%9C%EB%A7%A4%ED%8A%B8&amp;vertical=search</t>
  </si>
  <si>
    <t>발매트 오셀픽 M 규조토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</si>
  <si>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오*픽 오브* 빨*쓰는 *장실 규*토 발*트 M(60x40)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오셀픽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</si>
  <si>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1,208개</t>
  </si>
  <si>
    <t>발매트 오셀픽 60x40 규조토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</si>
  <si>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오*픽 오브* 빨*쓰는 *장실 규*토 발*트 M(60x40)
 ( '광고' 클릭 절대 금지 )
 ▶판매처 : 오셀픽
 5. 찜하기 클릭
 6. 바로가기 클릭
 7. 상품 클릭
 8. 링크(url) 복사 후 정답에 붙여넣기 후 제출</t>
    </r>
  </si>
  <si>
    <t>https://m.brand.naver.com/ohselpickr/products/9463842475</t>
  </si>
  <si>
    <t>한우선물세트 성삼한우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</si>
  <si>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성*한우 한* 선물*트 ++1등* 소*기 *이용 등심 업*살 추* 설 *절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화성한우마을 성삼한우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</si>
  <si>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화성한우마을 성삼한우</t>
  </si>
  <si>
    <t>https://smartstore.naver.com/sungsamhanuhandon/products/4577303836</t>
  </si>
  <si>
    <t>한우선물세트 ++1등급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</si>
  <si>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성*한우 한* 선물*트 ++1등* 소*기 *이용 등심 업*살 추* 설 *절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화성한우마을 성삼한우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</si>
  <si>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https://m.search.naver.com/search.naver?sm=mtp_hty.top&amp;where=m&amp;query=%ED%95%9C%EC%9A%B0%EC%84%A0%EB%AC%BC%EC%84%B8%ED%8A%B8&amp;ackey=hispmlbu</t>
  </si>
  <si>
    <t>한우선물세트 구이용 업진살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</si>
  <si>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성*한우 한* 선물*트 ++1등* 소*기 *이용 등심 업*살 추* 설 *절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화성한우마을 성삼한우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</si>
  <si>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https://msearch.shopping.naver.com/search/all?query=%ED%95%9C%EC%9A%B0%EC%84%A0%EB%AC%BC%EC%84%B8%ED%8A%B8&amp;vertical=search</t>
  </si>
  <si>
    <t>한우선물세트 ++1등급 업진살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</si>
  <si>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성*한우 한* 선물*트 ++1등* 소*기 *이용 등심 업*살 추* 설 *절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화성한우마을 성삼한우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</si>
  <si>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32개</t>
  </si>
  <si>
    <t>한우선물세트 성삼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</si>
  <si>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성*한우 한* 선물*트 ++1등* 소*기 *이용 등심 업*살 추* 설 *절 1kg
 ( '광고' 클릭 절대 금지 )
 ▶판매처 : 화성한우마을 성삼한우
 5. 찜하기 클릭
 6. 바로가기 클릭
 7. 상품 클릭
 8. 링크(url) 복사 후 정답에 붙여넣기 후 제출</t>
    </r>
  </si>
  <si>
    <t>https://m.smartstore.naver.com/sungsamhanuhandon/products/4577303836</t>
  </si>
  <si>
    <t>압구정 하이퍼 청담</t>
  </si>
  <si>
    <t>용인 삼가역 휴대폰 매장</t>
  </si>
  <si>
    <t>2월 세팅 완 ~ 2/18</t>
  </si>
  <si>
    <t>강동구 변기막힘 6638</t>
  </si>
  <si>
    <t>강동구 둔촌동 변기막힘 6638</t>
  </si>
  <si>
    <t>양산 하북면 맛집</t>
  </si>
  <si>
    <t>양산 하북면 맛집 추천</t>
  </si>
  <si>
    <t>과천 회전초밥 맛집</t>
  </si>
  <si>
    <t>과천 회전초밥 맛집 추천</t>
  </si>
  <si>
    <t>과천 미나리 삼겹살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</si>
  <si>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{ㄱㅁㅊㅇㄱㅇ}
정답 : &lt;6&gt; 글자
* 정답란에 띄어쓰기 없이 입력 후 제출해주세요.</t>
  </si>
  <si>
    <t>***나리식당 과천점</t>
  </si>
  <si>
    <t>과천 미나리 삼겹살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</si>
  <si>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{ㅈㅎㄴㅅ}
정답 : &lt;4&gt; 글자
* 정답란에 띄어쓰기 없이 입력 후 제출해주세요.</t>
  </si>
  <si>
    <t>과천 미나리 샤브샤브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</si>
  <si>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{ㅇㅁㄴㅅ}
정답 : &lt;4&gt; 글자
* 정답란에 띄어쓰기 없이 입력 후 제출해주세요.</t>
  </si>
  <si>
    <t>과천 미나리전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</si>
  <si>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{ㅁㅇㅎㅍㅍ}
정답 : &lt;5&gt; 글자
* 정답란에 띄어쓰기 없이 입력 후 제출해주세요.</t>
  </si>
  <si>
    <t>정부과천청사역 미나리 삼겹살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</si>
  <si>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{ㅁㅇㅍㅍ}
정답 : &lt;4&gt; 글자
* 정답란에 띄어쓰기 없이 입력 후 제출해주세요.</t>
  </si>
  <si>
    <t>송도 양식 술집</t>
  </si>
  <si>
    <t>2월 세팅 완~ 2/4</t>
  </si>
  <si>
    <t>위례 실내 골프레슨</t>
  </si>
  <si>
    <t>위례 실내 골프 연습장</t>
  </si>
  <si>
    <t>위례 실내 골프레슨 추천</t>
  </si>
  <si>
    <t>영일대 바디 테라피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</si>
  <si>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4.[*바디테라피]플레이스를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{ㄷㅎㄷㅅ}
정답 : &lt;4&gt; 글자
* 정답란에 띄어쓰기 없이 입력 후 제출해주세요.</t>
  </si>
  <si>
    <t>두호동산</t>
  </si>
  <si>
    <t>*바디테라피</t>
  </si>
  <si>
    <t>https://m.place.naver.com/place/2069234774/home</t>
  </si>
  <si>
    <t>01월 20일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</si>
  <si>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*컬티 *프 백 *공커버 *디백 *탠드 *퀴형 *두 *환 *우치 *체형 01. *리 *렌지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</si>
  <si>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*컬티 *프 백 *공커버 *디백 *탠드 *퀴형 *두 *환 *우치 *체형 01. *리 *렌지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</si>
  <si>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*컬티 *프 백 *공커버 *디백 *탠드 *퀴형 *두 *환 *우치 *체형 01. *리 *렌지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</si>
  <si>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*컬티 *프 백 *공커버 *디백 *탠드 *퀴형 *두 *환 *우치 *체형 01. *리 *렌지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</si>
  <si>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1,171개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</si>
  <si>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*컬티 *프 백 *공커버 *디백 *탠드 *퀴형 *두 *환 *우치 *체형 01. *리 *렌지
 ( '광고' 클릭 절대 금지 )
 ▶판매처 : MacKulty
 5. 찜하기 클릭
 6. 바로가기 클릭
 7. 상품 클릭
 8. 링크(url) 복사 후 정답에 붙여넣기 후 제출</t>
    </r>
  </si>
  <si>
    <t>갤럭시 케이스 아이폰 17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</si>
  <si>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In th* R*in G*im* GR*mm. 아*폰 17 *이스 갤럭* 케*스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</si>
  <si>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https://smartstore.naver.com/grimm_grimm/products/12997986233</t>
  </si>
  <si>
    <t>갤럭시 케이스 in the rain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</si>
  <si>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In th* R*in G*im* GR*mm. 아*폰 17 *이스 갤럭* 케*스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</si>
  <si>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https://m.search.naver.com/search.naver?sm=mtp_hty.top&amp;where=m&amp;query=%EA%B0%A4%EB%9F%AD%EC%8B%9CS25+%EC%9A%B8%ED%8A%B8%EB%9D%BC+%EC%BC%80%EC%9D%B4%EC%8A%A4&amp;ackey=pgz0app4</t>
  </si>
  <si>
    <t>갤럭시 케이스 grimm in the rain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</si>
  <si>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In th* R*in G*im* GR*mm. 아*폰 17 *이스 갤럭* 케*스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</si>
  <si>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https://msearch.shopping.naver.com/search/all?query=%EA%B0%A4%EB%9F%AD%EC%8B%9CS25%20%EC%9A%B8%ED%8A%B8%EB%9D%BC%20%EC%BC%80%EC%9D%B4%EC%8A%A4&amp;vertical=search</t>
  </si>
  <si>
    <t>갤럭시 케이스 GRimm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</si>
  <si>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In th* R*in G*im* GR*mm. 아*폰 17 *이스 갤럭* 케*스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</si>
  <si>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갤럭시 케이스 GRimm rain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</si>
  <si>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In th* R*in G*im* GR*mm. 아*폰 17 *이스 갤럭* 케*스
 ( '광고' 클릭 절대 금지 )
 ▶판매처 : GRimm GRimm.
 5. 찜하기 클릭
 6. 바로가기 클릭
 7. 상품 클릭
 8. 링크(url) 복사 후 정답에 붙여넣기 후 제출</t>
    </r>
  </si>
  <si>
    <t>https://m.smartstore.naver.com/grimm_grimm/products/12997986233</t>
  </si>
  <si>
    <t>앞접시 영국식 빈티지 스타일 감성 식기 플레이팅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</si>
  <si>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존*브라*스 *국식 앞*시 플레* 감성 식* 플레*팅 접시 *티지 스*일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쥬빌리하우스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</si>
  <si>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쥬빌리하우스</t>
  </si>
  <si>
    <t>https://smartstore.naver.com/jubileehouse/products/11524421083</t>
  </si>
  <si>
    <t>앞접시 영국식 빈티지 스타일 감성 식기 플레이팅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</si>
  <si>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존*브라*스 *국식 앞*시 플레* 감성 식* 플레*팅 접시 *티지 스*일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쥬빌리하우스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</si>
  <si>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https://m.search.naver.com/search.naver?sm=mtp_hty.top&amp;where=m&amp;query=%EC%95%9E%EC%A0%91%EC%8B%9C&amp;ackey=asi8c37u</t>
  </si>
  <si>
    <t>앞접시 영국식 빈티지 스타일 감성 식기 플레이팅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</si>
  <si>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존*브라*스 *국식 앞*시 플레* 감성 식* 플레*팅 접시 *티지 스*일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쥬빌리하우스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</si>
  <si>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https://msearch.shopping.naver.com/search/all?query=%EC%95%9E%EC%A0%91%EC%8B%9C&amp;vertical=search</t>
  </si>
  <si>
    <t>앞접시 영국식 빈티지 스타일 감성 식기 플레이팅 가격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</si>
  <si>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존*브라*스 *국식 앞*시 플레* 감성 식* 플레*팅 접시 *티지 스*일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쥬빌리하우스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</si>
  <si>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앞접시 영국식 빈티지 스타일 감성 식기 플레이팅 정보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</si>
  <si>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존*브라*스 *국식 앞*시 플레* 감성 식* 플레*팅 접시 *티지 스*일
 ( '광고' 클릭 절대 금지 )
 ▶판매처 : 쥬빌리하우스
 5. 찜하기 클릭
 6. 바로가기 클릭
 7. 상품 클릭
 8. 링크(url) 복사 후 정답에 붙여넣기 후 제출</t>
    </r>
  </si>
  <si>
    <t>https://m.smartstore.naver.com/jubileehouse/products/11524421083</t>
  </si>
  <si>
    <t>스포티파이 즉시적용 본인계정 프리미엄 듀오 1년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</si>
  <si>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스*티파* sp*tif* 즉시*용 본인계* 프*미엄 *오 1년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</si>
  <si>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https://smartstore.naver.com/lsbcool/products/12998488100</t>
  </si>
  <si>
    <t>스포티파이 즉시적용 본인계정 프리미엄 듀오 1년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</si>
  <si>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스*티파* sp*tif* 즉시*용 본인계* 프*미엄 *오 1년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</si>
  <si>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https://m.search.naver.com/search.naver?sm=mtp_hty.top&amp;where=m&amp;query=%EC%9D%8C%EC%95%85+%EC%96%B4%ED%94%8C&amp;ackey=cjoaww8u</t>
  </si>
  <si>
    <t>스포티파이 즉시적용 본인계정 프리미엄 듀오 1년 약정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</si>
  <si>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스*티파* sp*tif* 즉시*용 본인계* 프*미엄 *오 1년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</si>
  <si>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https://msearch.shopping.naver.com/search/all?query=%EC%9D%8C%EC%95%85%20%EC%96%B4%ED%94%8C&amp;vertical=search</t>
  </si>
  <si>
    <t>스포티파이 즉시적용 본인계정 프리미엄 듀오 1년 가격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</si>
  <si>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스*티파* sp*tif* 즉시*용 본인계* 프*미엄 *오 1년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</si>
  <si>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스포티파이 즉시적용 본인계정 프리미엄 듀오 1년 정보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</si>
  <si>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스*티파* sp*tif* 즉시*용 본인계* 프*미엄 *오 1년
 ( '광고' 클릭 절대 금지 )
 ▶판매처 : 척척이
 5. 찜하기 클릭
 6. 바로가기 클릭
 7. 상품 클릭
 8. 링크(url) 복사 후 정답에 붙여넣기 후 제출</t>
    </r>
  </si>
  <si>
    <t>https://m.smartstore.naver.com/lsbcool/products/12998488100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</si>
  <si>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</si>
  <si>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</si>
  <si>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https://m.search.naver.com/search.naver?sm=mtp_hty.top&amp;where=m&amp;query=%EC%A0%84%EB%8B%A8%EC%A7%80&amp;ackey=rnf9597z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</si>
  <si>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</si>
  <si>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https://search.shopping.naver.com/search/all?query=%EC%A0%84%EB%8B%A8%EC%A7%80&amp;vertical=search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</si>
  <si>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</si>
  <si>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260개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</si>
  <si>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종*자석 전*지 소*제작 홍보* 음*점 *동산 전* 1000매 배*
 ( '광고' 클릭 절대 금지 )
 ▶판매처 : 다잇다인쇄
 5. 찜하기 클릭
 6. 바로가기 클릭 
 7. 상품 클릭
 8. 링크(url) 복사 후 정답에 붙여넣기 후 제출</t>
    </r>
  </si>
  <si>
    <t>비오틴 유기농 60정 추천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</si>
  <si>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</si>
  <si>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비오틴 500 추천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</si>
  <si>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</si>
  <si>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</si>
  <si>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</si>
  <si>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463개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</si>
  <si>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</si>
  <si>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2월 세팅 완 ~ 2/1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</si>
  <si>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</si>
  <si>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</si>
  <si>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</si>
  <si>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</si>
  <si>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2월 세팅 완 ~ 2/2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</si>
  <si>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</si>
  <si>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</si>
  <si>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</si>
  <si>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'가격비교' 상품을 클릭 해주세요.
 *최저 및 판매처 표시가 있는 상품을 클릭 해주세요*
*생가 *즈로운 *린이홍삼 *5ml x *0포 *개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진생가 몰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</si>
  <si>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산삼 10년근 정삼 부모님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</si>
  <si>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산삼 산양*삼 장뇌* 10*근 7뿌* 정삼 설 *석 부모*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</si>
  <si>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장뇌삼 10년근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</si>
  <si>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산삼 산양*삼 장뇌* 10*근 7뿌* 정삼 설 *석 부모*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</si>
  <si>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산양삼 10년근 정삼 부모님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</si>
  <si>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산삼 산양*삼 장뇌* 10*근 7뿌* 정삼 설 *석 부모*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</si>
  <si>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장뇌삼 10년근 정삼 부모님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</si>
  <si>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산삼 산양*삼 장뇌* 10*근 7뿌* 정삼 설 *석 부모*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</si>
  <si>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495개</t>
  </si>
  <si>
    <t>산삼 10년근 정삼 부모님 설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</si>
  <si>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산*삼 산삼 산양*삼 장뇌* 10*근 7뿌* 정삼 설 *석 부모* 선물 *담
 ( '광고' 클릭 절대 금지 )
 ▶판매처 : 도담산삼
 5. 찜하기 클릭
 6. 바로가기 클릭
 7. 상품 클릭
 8. 링크(url) 복사 후 정답에 붙여넣기 후 제출</t>
    </r>
  </si>
  <si>
    <t>산삼 10년근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</si>
  <si>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장뇌* 산*삼 *양산삼 *삼 10년* 파* 100g (총 10 ~ 50*리 내외)도*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</si>
  <si>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https://m.smartstore.naver.com/minkukss/products/8253634265</t>
  </si>
  <si>
    <t>파삼 10년근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</si>
  <si>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장뇌* 산*삼 *양산삼 *삼 10년* 파* 100g (총 10 ~ 50*리 내외)도*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</si>
  <si>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산양삼 10년근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</si>
  <si>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장뇌* 산*삼 *양산삼 *삼 10년* 파* 100g (총 10 ~ 50*리 내외)도*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</si>
  <si>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산양산삼 10년근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</si>
  <si>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장뇌* 산*삼 *양산삼 *삼 10년* 파* 100g (총 10 ~ 50*리 내외)도*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</si>
  <si>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장뇌삼 10년근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</si>
  <si>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장뇌* 산*삼 *양산삼 *삼 10년* 파* 100g (총 10 ~ 50*리 내외)도*
 ( '광고' 클릭 절대 금지 )
 ▶판매처 : 도담산삼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</si>
  <si>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</si>
  <si>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</si>
  <si>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6년근 30뿌리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</si>
  <si>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</si>
  <si>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장뇌삼 6년근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</si>
  <si>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</si>
  <si>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432개</t>
  </si>
  <si>
    <t>장뇌삼 6년근 30뿌리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</si>
  <si>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산* 장*삼 산양* 산*산삼 6년근 *삼 못*이 30*리 도*
 ( '광고' 클릭 절대 금지 )
 ▶판매처 : 도담산삼
 5. 찜하기 클릭
 6. 바로가기 클릭
 7. 상품 클릭
 8. 링크(url) 복사 후 정답에 붙여넣기 후 제출</t>
    </r>
  </si>
  <si>
    <t>산삼 13년근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</si>
  <si>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산양* *삼 장*삼 13년* 파* 100g(총 10~50뿌* 내외)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</si>
  <si>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https://m.smartstore.naver.com/minkukss/products/11210874242</t>
  </si>
  <si>
    <t>산삼 13년근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</si>
  <si>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산양* *삼 장*삼 13년* 파* 100g(총 10~50뿌* 내외)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</si>
  <si>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13년근 10뿌리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</si>
  <si>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산양* *삼 장*삼 13년* 파* 100g(총 10~50뿌* 내외)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</si>
  <si>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장뇌삼 13년근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</si>
  <si>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산양* *삼 장*삼 13년* 파* 100g(총 10~50뿌* 내외)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</si>
  <si>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202개</t>
  </si>
  <si>
    <t>장뇌삼 13년근 10뿌리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</si>
  <si>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산양* *삼 장*삼 13년* 파* 100g(총 10~50뿌* 내외) 도*
 ( '광고' 클릭 절대 금지 )
 ▶판매처 : 도담산삼
 5. 찜하기 클릭
 6. 바로가기 클릭
 7. 상품 클릭
 8. 링크(url) 복사 후 정답에 붙여넣기 후 제출</t>
    </r>
  </si>
  <si>
    <t>산삼 9년근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</si>
  <si>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산*삼 *뇌삼 8-9년* 파* 100g (총 10 ~ 50뿌* 내*)도담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</si>
  <si>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산*삼 *뇌삼 8-9년* 파* 100g (총 10 ~ 50뿌* 내*)도담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</si>
  <si>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산*삼 *뇌삼 8-9년* 파* 100g (총 10 ~ 50뿌* 내*)도담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</si>
  <si>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장뇌삼 9년근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</si>
  <si>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산*삼 *뇌삼 8-9년* 파* 100g (총 10 ~ 50뿌* 내*)도담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</si>
  <si>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213개</t>
  </si>
  <si>
    <t>장뇌삼 9년근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</si>
  <si>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산* 산*삼 *뇌삼 8-9년* 파* 100g (총 10 ~ 50뿌* 내*)도담
 ( '광고' 클릭 절대 금지 )
 ▶판매처 : 도담산삼
 5. 찜하기 클릭
 6. 바로가기 클릭
 7. 상품 클릭
 8. 링크(url) 복사 후 정답에 붙여넣기 후 제출</t>
    </r>
  </si>
  <si>
    <t>산삼 산양산삼 장뇌삼 7-8년근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</si>
  <si>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산양* *삼 산양*삼 장*삼 7-8년* *삼 100g (총 10 ~ 50뿌리 *외)도*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</si>
  <si>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산양산삼 장뇌삼 파삼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</si>
  <si>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산양* *삼 산양*삼 장*삼 7-8년* *삼 100g (총 10 ~ 50뿌리 *외)도*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</si>
  <si>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산양산삼 파삼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</si>
  <si>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산양* *삼 산양*삼 장*삼 7-8년* *삼 100g (총 10 ~ 50뿌리 *외)도*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</si>
  <si>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8년근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</si>
  <si>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산양* *삼 산양*삼 장*삼 7-8년* *삼 100g (총 10 ~ 50뿌리 *외)도*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</si>
  <si>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8년근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</si>
  <si>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산양* *삼 산양*삼 장*삼 7-8년* *삼 100g (총 10 ~ 50뿌리 *외)도*
 ( '광고' 클릭 절대 금지 )
 ▶판매처 : 도담산삼
 5. 찜하기 클릭
 6. 바로가기 클릭
 7. 상품 클릭
 8. 링크(url) 복사 후 정답에 붙여넣기 후 제출</t>
    </r>
  </si>
  <si>
    <t>장뇌삼 100g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</si>
  <si>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장*삼 산양* *삼 100g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도담산삼
</t>
    </r>
    <r>
      <rPr>
        <sz val="0"/>
        <color theme="1"/>
        <rFont val="Arial"/>
      </rPr>
      <t xml:space="preserve">
5. 올화이트 색상을 선택해주세요.
 6.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</si>
  <si>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산양삼 100g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</si>
  <si>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장*삼 산양* *삼 100g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도담산삼
</t>
    </r>
    <r>
      <rPr>
        <sz val="0"/>
        <color theme="1"/>
        <rFont val="Arial"/>
      </rPr>
      <t xml:space="preserve">
5. 올화이트 색상을 선택해주세요.
 6.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</si>
  <si>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파삼 100g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</si>
  <si>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장*삼 산양* *삼 100g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도담산삼
</t>
    </r>
    <r>
      <rPr>
        <sz val="0"/>
        <color theme="1"/>
        <rFont val="Arial"/>
      </rPr>
      <t xml:space="preserve">
5. 올화이트 색상을 선택해주세요.
 6.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</si>
  <si>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장뇌삼 산양삼 100g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</si>
  <si>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장*삼 산양* *삼 100g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도담산삼
</t>
    </r>
    <r>
      <rPr>
        <sz val="0"/>
        <color theme="1"/>
        <rFont val="Arial"/>
      </rPr>
      <t xml:space="preserve">
5. 올화이트 색상을 선택해주세요.
 6.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</si>
  <si>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장뇌삼 파삼 100g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</si>
  <si>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장*삼 산양* *삼 100g
 ▶판매처 : 도담산삼
5. 올화이트 색상을 선택해주세요.
 6. 찜하기 클릭
 7. 바로가기 클릭
 8. 상품 클릭
 9. 링크(url) 복사 후 정답에 붙여넣기 후 제출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</si>
  <si>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*뇌삼 산*삼 *삼 산양*삼 6년* 12*리 정*설 추석 *모님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</si>
  <si>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6년근 정품설 추석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</si>
  <si>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*뇌삼 산*삼 *삼 산양*삼 6년* 12*리 정*설 추석 *모님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</si>
  <si>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장뇌삼 산양산삼 6년근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</si>
  <si>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*뇌삼 산*삼 *삼 산양*삼 6년* 12*리 정*설 추석 *모님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</si>
  <si>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장뇌삼 산양산삼 6년근 12뿌리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</si>
  <si>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*뇌삼 산*삼 *삼 산양*삼 6년* 12*리 정*설 추석 *모님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</si>
  <si>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275개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</si>
  <si>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*뇌삼 산*삼 *삼 산양*삼 6년* 12*리 정*설 추석 *모님 선물 *담
 ( '광고' 클릭 절대 금지 )
 ▶판매처 : 도담산삼
 5. 찜하기 클릭
 6. 바로가기 클릭
 7. 상품 클릭
 8. 링크(url) 복사 후 정답에 붙여넣기 후 제출</t>
    </r>
  </si>
  <si>
    <t>산삼 장뇌삼 6년근 7뿌리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</si>
  <si>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</si>
  <si>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산양산삼 6년근 7뿌리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</si>
  <si>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</si>
  <si>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산양산삼 6년근 설선물세트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</si>
  <si>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</si>
  <si>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</si>
  <si>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512개</t>
  </si>
  <si>
    <t>장뇌삼 6년근 7뿌리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</si>
  <si>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산*삼 산양산* 산* 장*삼 *년근 7*리 정* 설선*세* 추**모*선물 도담
 ( '광고' 클릭 절대 금지 )
 ▶판매처 : 도담산삼
 5. 찜하기 클릭
 6. 바로가기 클릭
 7. 상품 클릭
 8. 링크(url) 복사 후 정답에 붙여넣기 후 제출</t>
    </r>
  </si>
  <si>
    <t>노원 안나 아이브로우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</si>
  <si>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4.[*나 아이브로우]플레이스를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{ㅂㅇㅅㅊㅉㄷㅅ}
정답 : &lt;7&gt; 글자
* 정답란에 띄어쓰기 없이 입력 후 제출해주세요.</t>
  </si>
  <si>
    <t>불암산철쭉동산</t>
  </si>
  <si>
    <t>*나 아이브로우</t>
  </si>
  <si>
    <t>https://m.place.naver.com/place/2029942303/home</t>
  </si>
  <si>
    <t>노원구 아이브로우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</si>
  <si>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4.[*나 아이브로우]플레이스를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{ㄴㅇㅁㅎㅇㄱㄹ}
정답 : &lt;7&gt; 글자
* 정답란에 띄어쓰기 없이 입력 후 제출해주세요.</t>
  </si>
  <si>
    <t>노원문화의거리</t>
  </si>
  <si>
    <t>상계역 아이브로우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</si>
  <si>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4.[*나 아이브로우]플레이스를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{ㅈㅇㅅ}
정답 : &lt;3&gt; 글자
* 정답란에 띄어쓰기 없이 입력 후 제출해주세요.</t>
  </si>
  <si>
    <t>정선 고한 한우 맛집</t>
  </si>
  <si>
    <t>정선 고한 한우 예약</t>
  </si>
  <si>
    <t>인천 청라 두피관리</t>
  </si>
  <si>
    <t>인천 청라 탈모관리</t>
  </si>
  <si>
    <t>https://docs.google.com/spreadsheets/d/1wMWDeg9tAYrchJEapTH2u4inm70CoVKzjKSlbriMzsk/edit?pli=1&amp;gid=927678359#gid=927678359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</si>
  <si>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4.[*이비스포크]플레이스를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{ㄹㅅㄹㅅㅌㄱㅇ}
정답 : &lt;7&gt; 글자
* 정답란에 띄어쓰기 없이 입력 후 제출해주세요.</t>
  </si>
  <si>
    <t>여수 막국수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</si>
  <si>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4.[*밀빛 초계국수막국수양평해장국 돌산본점]플레이스를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{ㅈㄱㄷ}
정답 : &lt;3&gt; 글자
* 정답란에 띄어쓰기 없이 입력 후 제출해주세요.</t>
  </si>
  <si>
    <t>장군도</t>
  </si>
  <si>
    <t>*밀빛 초계국수막국수양평해장국 돌산본점</t>
  </si>
  <si>
    <t>https://m.place.naver.com/restaurant/1430066577/home</t>
  </si>
  <si>
    <t>여수 초계국수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</si>
  <si>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4.[*밀빛 초계국수막국수양평해장국 돌산본점]플레이스를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{ㅈㅅㄱㅇ}
정답 : &lt;4&gt; 글자
* 정답란에 띄어쓰기 없이 입력 후 제출해주세요.</t>
  </si>
  <si>
    <t>자산공원</t>
  </si>
  <si>
    <t>여수 양평해장국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</si>
  <si>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4.[*밀빛 초계국수막국수양평해장국 돌산본점]플레이스를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{ㅇㅅㅎㅇㄱㅇ}
정답 : &lt;6&gt; 글자
* 정답란에 띄어쓰기 없이 입력 후 제출해주세요.</t>
  </si>
  <si>
    <t>여수해양공원</t>
  </si>
  <si>
    <t>여수 돌산 현지인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</si>
  <si>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4.[*밀빛 초계국수막국수양평해장국 돌산본점]플레이스를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{ㄷㅅㄱㅇ}
정답 : &lt;4&gt; 글자
* 정답란에 띄어쓰기 없이 입력 후 제출해주세요.</t>
  </si>
  <si>
    <t>돌산공원</t>
  </si>
  <si>
    <t xml:space="preserve">여수 돌산 해장국 예약
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</si>
  <si>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4.[*밀빛 초계국수막국수양평해장국 돌산본점]플레이스를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{ㄷㄱㄷ}
정답 : &lt;3&gt; 글자
* 정답란에 띄어쓰기 없이 입력 후 제출해주세요.</t>
  </si>
  <si>
    <t>대경도</t>
  </si>
  <si>
    <t>인계동 닭볶음탕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</si>
  <si>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4.[*년닭도리탕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{ㅁㅌㄱㅇ}
정답 : &lt;4&gt; 글자
* 정답란에 띄어쓰기 없이 입력 후 제출해주세요.</t>
  </si>
  <si>
    <t>*년닭도리탕 수원인계점</t>
  </si>
  <si>
    <t>https://m.place.naver.com/restaurant/1381827532/home</t>
  </si>
  <si>
    <t>인계동 닭도리탕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</si>
  <si>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4.[*년닭도리탕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{ㅁㅌㄷㅅㄷ}
정답 : &lt;5&gt; 글자
* 정답란에 띄어쓰기 없이 입력 후 제출해주세요.</t>
  </si>
  <si>
    <t>팔달구 닭요리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</si>
  <si>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4.[*년닭도리탕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{ㅁㅇㅇㄱㄹㄱㅇ}
정답 : &lt;7&gt; 글자
* 정답란에 띄어쓰기 없이 입력 후 제출해주세요.</t>
  </si>
  <si>
    <t>팔달구 닭요리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</si>
  <si>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4.[*년닭도리탕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{ㅁㅎㄱㅇ}
정답 : &lt;4&gt; 글자
* 정답란에 띄어쓰기 없이 입력 후 제출해주세요.</t>
  </si>
  <si>
    <t>매화공원</t>
  </si>
  <si>
    <t>인계동 닭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</si>
  <si>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4.[*년닭도리탕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{ㅁㅎㄱㄹㄱㅇ}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</si>
  <si>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{ㅎㅊㄱㄹㄱㅇ}
정답 : &lt;6&gt; 글자
* 정답란에 띄어쓰기 없이 입력 후 제출해주세요.</t>
  </si>
  <si>
    <t>철산동 치과 가격</t>
  </si>
  <si>
    <t>철산동 소아 치과의원</t>
  </si>
  <si>
    <t>철산동 치과의원 위치</t>
  </si>
  <si>
    <t>철산동 치과의원 진료시간</t>
  </si>
  <si>
    <t>전포동 마파두부 영업시간</t>
  </si>
  <si>
    <t>전포역 두부 맛집</t>
  </si>
  <si>
    <t>전포역 중식당 마파두부</t>
  </si>
  <si>
    <t>무주 닭볶음탕 영업시간</t>
  </si>
  <si>
    <t>수완동 치과의원 예약</t>
  </si>
  <si>
    <t>수완동 소아 치과의원</t>
  </si>
  <si>
    <t>정발산역 스포츠 마사지</t>
  </si>
  <si>
    <t>고양 스포츠 마사지 체형관리</t>
  </si>
  <si>
    <t>경기 광주 장작구이 맛집</t>
  </si>
  <si>
    <t>곤지암 고기집 예약</t>
  </si>
  <si>
    <t>을왕동 조개요리 맛집</t>
  </si>
  <si>
    <t>을왕동 조개구이 가격</t>
  </si>
  <si>
    <t>을왕동 조개구이 예약</t>
  </si>
  <si>
    <t>을왕동 조개구이 추천</t>
  </si>
  <si>
    <t>https://m.place.naver.com/restaurant/37725304/home</t>
  </si>
  <si>
    <t>01월 21일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</si>
  <si>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</si>
  <si>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( '광고' 클릭 절대 금지 )
 ▶판매처 :빛내는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</si>
  <si>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( '광고' 클릭 절대 금지 )
 ▶판매처 :빛내는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</si>
  <si>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( '광고' 클릭 절대 금지 )
 ▶판매처 :빛내는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</si>
  <si>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207개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</si>
  <si>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[*처리] *이아몬드 *드등 *멍 *ED *선 *상 *침등 *로라 *명
 ( '광고' 클릭 절대 금지 )
 ▶판매처 :빛내는 사람들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</si>
  <si>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</si>
  <si>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</si>
  <si>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</si>
  <si>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</si>
  <si>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787개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</si>
  <si>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</si>
  <si>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</si>
  <si>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( '광고' 클릭 절대 금지 )
 ▶판매처 : 템x템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</si>
  <si>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( '광고' 클릭 절대 금지 )
 ▶판매처 : 템x템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</si>
  <si>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( '광고' 클릭 절대 금지 )
 ▶판매처 : 템x템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</si>
  <si>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[*처리] *멍 *드등 *ED *명 *난로 *유등 *선 *리스마스 *들이
 ( '광고' 클릭 절대 금지 )
 ▶판매처 : 템x템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</si>
  <si>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</si>
  <si>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</si>
  <si>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</si>
  <si>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</si>
  <si>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</si>
  <si>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*온압착 *내산 *한 *기름 *00ml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읍내방앗간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</si>
  <si>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*온압착 *내산 *한 *기름 *00ml
 ( '광고' 클릭 절대 금지 )
 ▶판매처 : 읍내방앗간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</si>
  <si>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*온압착 *내산 *한 *기름 *00ml
 ( '광고' 클릭 절대 금지 )
 ▶판매처 : 읍내방앗간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</si>
  <si>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u/>
        <sz val="0"/>
        <color rgb="FF1155CC"/>
        <rFont val="Arial"/>
      </rPr>
      <t>https://msearch.shopping.naver.com/search/all?query=%EC%B0%B8%EA%B8%B0%EB%A6%84&amp;vertical=search</t>
    </r>
    <r>
      <rPr>
        <sz val="0"/>
        <color rgb="FF000000"/>
        <rFont val="Arial"/>
      </rPr>
      <t>h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</si>
  <si>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*온압착 *내산 *한 *기름 *00ml
 ( '광고' 클릭 절대 금지 )
 ▶판매처 : 읍내방앗간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</si>
  <si>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*온압착 *내산 *한 *기름 *00ml
 ( '광고' 클릭 절대 금지 )
 ▶판매처 : 읍내방앗간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</si>
  <si>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</t>
    </r>
    <r>
      <rPr>
        <sz val="0"/>
        <color rgb="FF4A86E8"/>
        <rFont val="Arial"/>
      </rPr>
      <t xml:space="preserve"> 
</t>
    </r>
    <r>
      <rPr>
        <sz val="0"/>
        <color theme="1"/>
        <rFont val="Arial"/>
      </rPr>
      <t xml:space="preserve"> *최저 및 판매처 표시가 있는 상품을 클릭 해주세요*
*생가 *삼정 순 *리미엄 *틱 *0g x *0포 *개
 ▶판매처 : 진생가 몰
 5. 찜하기 클릭
 6. 바로가기 클릭
 7. 상품 클릭
 8. 링크(url) 복사 후 정답에 붙여넣기 후 제출</t>
    </r>
  </si>
  <si>
    <t>넥워머 등산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</si>
  <si>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*풍문 *라클라바 *울 *닝 *프 *산 *키 *워머 *자 *라클라바 *프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</si>
  <si>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넥워머 스키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</si>
  <si>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*풍문 *라클라바 *울 *닝 *프 *산 *키 *워머 *자 *라클라바 *프
 ( '광고' 클릭 절대 금지 )
 ▶판매처 : 청풍문-bluewind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</si>
  <si>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https://m.search.naver.com/search.naver?sm=mtp_hty.top&amp;where=m&amp;query=%EB%84%A5%EC%9B%8C%EB%A8%B8&amp;ackey=x58mo7bx</t>
  </si>
  <si>
    <t>넥워머 바라클라바 버프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</si>
  <si>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*풍문 *라클라바 *울 *닝 *프 *산 *키 *워머 *자 *라클라바 *프
 ( '광고' 클릭 절대 금지 )
 ▶판매처 : 청풍문-bluewind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</si>
  <si>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https://msearch.shopping.naver.com/search/all?query=%EB%84%A5%EC%9B%8C%EB%A8%B8&amp;vertical=searchh</t>
  </si>
  <si>
    <t>넥워머 바라클라바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</si>
  <si>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*풍문 *라클라바 *울 *닝 *프 *산 *키 *워머 *자 *라클라바 *프
 ( '광고' 클릭 절대 금지 )
 ▶판매처 : 청풍문-bluewind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</si>
  <si>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582개</t>
  </si>
  <si>
    <t>넥워머 바라클라바 겨울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</si>
  <si>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*풍문 *라클라바 *울 *닝 *프 *산 *키 *워머 *자 *라클라바 *프
 ( '광고' 클릭 절대 금지 )
 ▶판매처 : 청풍문-bluewind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</si>
  <si>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*크린 O2*체 *소계 *백제 2Lx*개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맘크린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</si>
  <si>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*크린 O2*체 *소계 *백제 2Lx*개
 ( '광고' 클릭 절대 금지 )
 ▶판매처 : 맘크린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</si>
  <si>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https://m.search.naver.com/search.naver?sm=mtp_hty.top&amp;where=m&amp;query=%ED%91%9C%EB%B0%B1%EC%A0%9C&amp;ackey=2nptvce2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</si>
  <si>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*크린 O2*체 *소계 *백제 2Lx*개
 ( '광고' 클릭 절대 금지 )
 ▶판매처 : 맘크린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</si>
  <si>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u/>
        <sz val="0"/>
        <color rgb="FF1155CC"/>
        <rFont val="Arial"/>
      </rPr>
      <t>https://msearch.shopping.naver.com/search/all?query=%ED%91%9C%EB%B0%B1%EC%A0%9C&amp;vertical=search</t>
    </r>
    <r>
      <rPr>
        <sz val="0"/>
        <color rgb="FF000000"/>
        <rFont val="Arial"/>
      </rPr>
      <t>h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</si>
  <si>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*크린 O2*체 *소계 *백제 2Lx*개
 ( '광고' 클릭 절대 금지 )
 ▶판매처 : 맘크린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</si>
  <si>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</si>
  <si>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*크린 O2*체 *소계 *백제 2Lx*개
 ( '광고' 클릭 절대 금지 )
 ▶판매처 : 맘크린
 5. 찜하기 클릭
 6. 바로가기 클릭
 7. 상품 클릭
 8. 링크(url) 복사 후 정답에 붙여넣기 후 제출</t>
    </r>
  </si>
  <si>
    <t>디퓨저 1+1 대용량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</si>
  <si>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*+1 *미제 *파리 *00ml *용량 *퓨저 *퓨져 *장실 *들이 *물 *량용 *내방향제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</si>
  <si>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*+1 *미제 *파리 *00ml *용량 *퓨저 *퓨져 *장실 *들이 *물 *량용 *내방향제
 ( '광고' 클릭 절대 금지 )
 ▶판매처 : 선유아로마틱스향미제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</si>
  <si>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디퓨저 사파리 대용량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</si>
  <si>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*+1 *미제 *파리 *00ml *용량 *퓨저 *퓨져 *장실 *들이 *물 *량용 *내방향제
 ( '광고' 클릭 절대 금지 )
 ▶판매처 : 선유아로마틱스향미제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</si>
  <si>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u/>
        <sz val="0"/>
        <color rgb="FF1155CC"/>
        <rFont val="Arial"/>
      </rPr>
      <t>https://msearch.shopping.naver.com/search/all?query=%EB%94%94%ED%93%A8%EC%A0%80&amp;vertical=search</t>
    </r>
    <r>
      <rPr>
        <sz val="0"/>
        <color rgb="FF000000"/>
        <rFont val="Arial"/>
      </rPr>
      <t>h</t>
    </r>
  </si>
  <si>
    <t>디퓨저 사파리 500ml 차량용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</si>
  <si>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*+1 *미제 *파리 *00ml *용량 *퓨저 *퓨져 *장실 *들이 *물 *량용 *내방향제
 ( '광고' 클릭 절대 금지 )
 ▶판매처 : 선유아로마틱스향미제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</si>
  <si>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디퓨저 사파리 화장실 500ml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</si>
  <si>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*+1 *미제 *파리 *00ml *용량 *퓨저 *퓨져 *장실 *들이 *물 *량용 *내방향제
 ( '광고' 클릭 절대 금지 )
 ▶판매처 : 선유아로마틱스향미제
 5. 찜하기 클릭
 6. 바로가기 클릭
 7. 상품 클릭
 8. 링크(url) 복사 후 정답에 붙여넣기 후 제출</t>
    </r>
  </si>
  <si>
    <t>와고 2273-202 1박스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</si>
  <si>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*고 *넥터 *273-*02 *박스 2P *폴 WAGO *선 *선 *이어 *결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KS상사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</si>
  <si>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https://smartstore.naver.com/pvcbox/products/10663829316</t>
  </si>
  <si>
    <t>와고 커넥터 2p 1박스</t>
  </si>
  <si>
    <t>미션 수행하며,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상품을 클릭 해주세요.
*고 *넥터 *273-*02 *박스 2P *폴 WAGO *선 *선 *이어 *결
 ( '광고' 클릭 절대 금지 )
 ▶판매처 : KS상사
 5. 상세페이지 하단 구매 추가정보에서 상품번호 뒤 5자리를
 아래 정답란에 입력 후 제출해주세요.</t>
  </si>
  <si>
    <t>https://m.search.naver.com/search.naver?sm=mtp_hty.top&amp;where=m&amp;query=%EC%99%80%EA%B3%A0&amp;ackey=v9mhhvkd</t>
  </si>
  <si>
    <t>와고 2P 커넥터 연결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</si>
  <si>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*고 *넥터 *273-*02 *박스 2P *폴 WAGO *선 *선 *이어 *결
 ( '광고' 클릭 절대 금지 )
 ▶판매처 : KS상사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</si>
  <si>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https://search.shopping.naver.com/search/all?query=%EC%99%80%EA%B3%A0&amp;vertical=search</t>
  </si>
  <si>
    <t>와고 2폴 단선 연결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</si>
  <si>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*고 *넥터 *273-*02 *박스 2P *폴 WAGO *선 *선 *이어 *결
 ( '광고' 클릭 절대 금지 )
 ▶판매처 : KS상사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</si>
  <si>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7개</t>
  </si>
  <si>
    <t>와고 2폴 전선 연결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</si>
  <si>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*고 *넥터 *273-*02 *박스 2P *폴 WAGO *선 *선 *이어 *결
 ( '광고' 클릭 절대 금지 )
 ▶판매처 : KS상사
 5. 찜하기 클릭
 6. 바로가기 클릭
 7. 상품 클릭
 8. 링크(url) 복사 후 정답에 붙여넣기 후 제출</t>
    </r>
  </si>
  <si>
    <t>https://m.smartstore.naver.com/pvcbox/products/10663829316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</si>
  <si>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잇*건강 입*새제* 구*제거 잇몸 프리*엄 백태 *약치약 미르*약 120g,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</si>
  <si>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입냄새치약 미르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</si>
  <si>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잇*건강 입*새제* 구*제거 잇몸 프리*엄 백태 *약치약 미르*약 120g,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</si>
  <si>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https://m.search.naver.com/search.naver?sm=mtp_hty.top&amp;where=m&amp;query=%EC%B9%98%EC%95%BD&amp;ackey=qs9w0ib4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</si>
  <si>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잇*건강 입*새제* 구*제거 잇몸 프리*엄 백태 *약치약 미르*약 120g,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</si>
  <si>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잇몸치약 몰약치약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</si>
  <si>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잇*건강 입*새제* 구*제거 잇몸 프리*엄 백태 *약치약 미르*약 120g,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</si>
  <si>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잇*건강 입*새제* 구*제거 잇몸 프리*엄 백태 *약치약 미르*약 120g, 3개
 ( '광고' 클릭 절대 금지 )
 ▶판매처 : 오라코드
 5. 찜하기 클릭
 6. 바로가기 클릭
 7. 상품 클릭
 8. 링크(url) 복사 후 정답에 붙여넣기 후 제출</t>
    </r>
  </si>
  <si>
    <t>향남 썬팅 마이노멀티샵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</si>
  <si>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4.[*인보우썬팅 마이노멀티샵]플레이스를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{ㅍㅇㄱㅇ}
정답 : &lt;4&gt; 글자
* 정답란에 띄어쓰기 없이 입력 후 제출해주세요.</t>
  </si>
  <si>
    <t>평원공원</t>
  </si>
  <si>
    <t>*인보우썬팅 마이노멀티샵</t>
  </si>
  <si>
    <t>https://m.place.naver.com/place/1435225655/home?entry=pll</t>
  </si>
  <si>
    <t>향남 마이노멀티샵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</si>
  <si>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4.[*인보우썬팅 마이노멀티샵]플레이스를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{ㅅㄱㄲㄱㅇ}
정답 : &lt;5&gt; 글자
* 정답란에 띄어쓰기 없이 입력 후 제출해주세요.</t>
  </si>
  <si>
    <t>살구꽃공원</t>
  </si>
  <si>
    <t>향남 마이노멀티샵 썬팅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</si>
  <si>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4.[*인보우썬팅 마이노멀티샵]플레이스를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{ㄴㄹㄱㅇ}
정답 : &lt;4&gt; 글자
* 정답란에 띄어쓰기 없이 입력 후 제출해주세요.</t>
  </si>
  <si>
    <t>나래공원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</si>
  <si>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4.[*거의정석 금천구점]플레이스를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{ㄱㄹㅇㄹㅇㄱㅇ}
정답 : &lt;7&gt;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</si>
  <si>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4.[*거의정석 금천구점]플레이스를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{ㅊㅅㄹㄷㅇㄱㄹ}
정답 : &lt;7&gt; 글자
* 정답란에 띄어쓰기 없이 입력 후 제출해주세요.</t>
  </si>
  <si>
    <t>2월 세팅 완~ 2/3</t>
  </si>
  <si>
    <t>송파구 이자카야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</si>
  <si>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4.[*날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{ㅍㅇㅇㄱㅈ}
정답 : &lt;5&gt; 글자
* 정답란에 띄어쓰기 없이 입력 후 제출해주세요.</t>
  </si>
  <si>
    <t>방이동 이자카야 단체석</t>
  </si>
  <si>
    <t>송파 먹자골목 이자카야</t>
  </si>
  <si>
    <t>방이동 먹자골목 이자카야 추천</t>
  </si>
  <si>
    <t>성북구 청소대행 대성기업</t>
  </si>
  <si>
    <t>성북구 청소 대성기업</t>
  </si>
  <si>
    <t>수영구 카페 추천</t>
  </si>
  <si>
    <t>금련산역 카페 맛집</t>
  </si>
  <si>
    <t>청주 상당로 꽃집 추천</t>
  </si>
  <si>
    <t>인천 모듬전 맛집</t>
  </si>
  <si>
    <t>https://m.place.naver.com/restaurant/2049729949/home</t>
  </si>
  <si>
    <t>인천 모듬전 추천</t>
  </si>
  <si>
    <t>청주 오송읍 커튼 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</si>
  <si>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4.[*튼블라인드]플레이스를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{ㅆㅊㄱㅇ}
정답 : &lt;4&gt; 글자
* 정답란에 띄어쓰기 없이 입력 후 제출해주세요.</t>
  </si>
  <si>
    <t>쌍청공원</t>
  </si>
  <si>
    <t>*튼블라인드</t>
  </si>
  <si>
    <t>https://m.place.naver.com/place/1947962857/home</t>
  </si>
  <si>
    <t>청주 오송읍 블라인드</t>
  </si>
  <si>
    <t>오송 블라인드 업체</t>
  </si>
  <si>
    <t>오송 블라인드 업체 추천</t>
  </si>
  <si>
    <t>오송 버티컬</t>
  </si>
  <si>
    <t>종로3가역 커튼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</si>
  <si>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4.[*튼블라인드]플레이스를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{ㅇㅈㅊㄱ}
정답 : &lt;4&gt; 글자
* 정답란에 띄어쓰기 없이 입력 후 제출해주세요.</t>
  </si>
  <si>
    <t>우정총국</t>
  </si>
  <si>
    <t>https://m.place.naver.com/place/1256402209/home</t>
  </si>
  <si>
    <t>낙원동 커튼</t>
  </si>
  <si>
    <t>종로 낙원동 커튼</t>
  </si>
  <si>
    <t>종로 낙원동 커튼업체</t>
  </si>
  <si>
    <t>종로3가역 커튼업체</t>
  </si>
  <si>
    <t>중원구 블라인드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</si>
  <si>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4.[*튼블라인드]플레이스를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{ㅇㅈㄱㅇ}
정답 : &lt;4&gt; 글자
* 정답란에 띄어쓰기 없이 입력 후 제출해주세요.</t>
  </si>
  <si>
    <t>https://m.place.naver.com/place/1257477541/home</t>
  </si>
  <si>
    <t>중원구 블라인드 업체</t>
  </si>
  <si>
    <t>중원구 커튼</t>
  </si>
  <si>
    <t>단대오거리역 커튼</t>
  </si>
  <si>
    <t>금광동 커튼</t>
  </si>
  <si>
    <t>우장산역 커튼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</si>
  <si>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4.[*튼블라인드]플레이스를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{ㅂㅈㅅㄱㄹㄱㅇ}
정답 : &lt;7&gt; 글자
* 정답란에 띄어쓰기 없이 입력 후 제출해주세요.</t>
  </si>
  <si>
    <t>https://m.place.naver.com/place/1756600583/home</t>
  </si>
  <si>
    <t>화곡동 커튼</t>
  </si>
  <si>
    <t>화곡동 커튼업체</t>
  </si>
  <si>
    <t>우장산역 커튼업체</t>
  </si>
  <si>
    <t>서울 강서구 커튼</t>
  </si>
  <si>
    <t>의정부 커튼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</si>
  <si>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4.[*튼블라인드]플레이스를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{ㅈㄷㄱㄹㄱㅇ}
정답 : &lt;6&gt; 글자
* 정답란에 띄어쓰기 없이 입력 후 제출해주세요.</t>
  </si>
  <si>
    <t>직동근린공원</t>
  </si>
  <si>
    <t>https://m.place.naver.com/place/1735287146/home</t>
  </si>
  <si>
    <t>회룡역 커튼</t>
  </si>
  <si>
    <t>호원동 커튼</t>
  </si>
  <si>
    <t>의정부 커튼업체</t>
  </si>
  <si>
    <t>회룡역 커튼업체</t>
  </si>
  <si>
    <t>김포 커튼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</si>
  <si>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4.[*라인드커튼]플레이스를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{ㅅㄴㄱㅇ}
정답 : &lt;4&gt; 글자
* 정답란에 띄어쓰기 없이 입력 후 제출해주세요.</t>
  </si>
  <si>
    <t>*라인드커튼</t>
  </si>
  <si>
    <t>https://m.place.naver.com/place/1071135568/home</t>
  </si>
  <si>
    <t>구래역 커튼</t>
  </si>
  <si>
    <t>구래동 커튼</t>
  </si>
  <si>
    <t>구래동 커튼업체</t>
  </si>
  <si>
    <t>김포 커튼업체</t>
  </si>
  <si>
    <t>양주 커튼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</si>
  <si>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4.[*튼블라인드]플레이스를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{ㅇㄲㅈㅂ}
정답 : &lt;4&gt; 글자
* 정답란에 띄어쓰기 없이 입력 후 제출해주세요.</t>
  </si>
  <si>
    <t>임꺽정봉</t>
  </si>
  <si>
    <t>https://m.place.naver.com/place/1263827994/home</t>
  </si>
  <si>
    <t>덕계역 커튼</t>
  </si>
  <si>
    <t>덕계동 커튼</t>
  </si>
  <si>
    <t>덕계동 커튼 업체</t>
  </si>
  <si>
    <t>덕계역 커튼 업체</t>
  </si>
  <si>
    <t>시흥커튼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</si>
  <si>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4.[*라인드커튼]플레이스를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{ㅁㅈㅈㅅㅈ}
정답 : &lt;5&gt; 글자
* 정답란에 띄어쓰기 없이 입력 후 제출해주세요.</t>
  </si>
  <si>
    <t>마전저수지</t>
  </si>
  <si>
    <t>https://m.place.naver.com/place/1435674008/home</t>
  </si>
  <si>
    <t>시흥커튼 추천</t>
  </si>
  <si>
    <t>정왕동 커튼</t>
  </si>
  <si>
    <t>정왕동 커튼 추천</t>
  </si>
  <si>
    <t>시흥 커튼업체</t>
  </si>
  <si>
    <t>송리단길 웰하우스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</si>
  <si>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{ㅇㄹㅍㄱㅇㅈㄱㄱㅇ}
정답 : &lt;9&gt; 글자
* 정답란에 띄어쓰기 없이 입력 후 제출해주세요.</t>
  </si>
  <si>
    <t>올림픽공원조각공원</t>
  </si>
  <si>
    <t>웰하우스 카페 송리단길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</si>
  <si>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{ㅍㅎㅇㄱㅈ}
정답 : &lt;5&gt; 글자
* 정답란에 띄어쓰기 없이 입력 후 제출해주세요.</t>
  </si>
  <si>
    <t>웰하우스 송리단길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</si>
  <si>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{ㅊㅈㄱㄱㄹㄷㄱㅎ}
정답 : &lt;8&gt; 글자
* 정답란에 띄어쓰기 없이 입력 후 제출해주세요.</t>
  </si>
  <si>
    <t>천주교가락동교회</t>
  </si>
  <si>
    <t>송리단길 웰하우스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</si>
  <si>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{ㅅㅇㄱㄹㄱㅇ}
정답 : &lt;6&gt; 글자
* 정답란에 띄어쓰기 없이 입력 후 제출해주세요.</t>
  </si>
  <si>
    <t>송리단길 케이크</t>
  </si>
  <si>
    <t>송리단길 초코케이크</t>
  </si>
  <si>
    <t>송리단길 피스타치오</t>
  </si>
  <si>
    <t>송리단길 홀케이크</t>
  </si>
  <si>
    <t>송리단길 맛집 케이크</t>
  </si>
  <si>
    <t>송리단길 맛집 웰하우스</t>
  </si>
  <si>
    <t>송리단길 웰하우스 맛집</t>
  </si>
  <si>
    <t>송리단길 맛집 케이크 추천</t>
  </si>
  <si>
    <t>송파동 케이크 카페</t>
  </si>
  <si>
    <t>송파동 웰하우스</t>
  </si>
  <si>
    <t>송파동 케이크 웰하우스</t>
  </si>
  <si>
    <t>송파동 웰하우스 케이크</t>
  </si>
  <si>
    <t>송파동 딸기케이크</t>
  </si>
  <si>
    <t>잠실 케이크</t>
  </si>
  <si>
    <t>잠실 웰하우스</t>
  </si>
  <si>
    <t>잠실 케이크 웰하우스</t>
  </si>
  <si>
    <t>잠실 딸기케이크</t>
  </si>
  <si>
    <t>01월 22일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</si>
  <si>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무*산호*이떡 단*박 *절미 *지않* 떡 1kg 10개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무등산 호랭이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</si>
  <si>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oKLE</t>
  </si>
  <si>
    <t>2월 세팅 완~ 2/21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</si>
  <si>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무*산호*이떡 단*박 *절미 *지않* 떡 1kg 10개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무등산 호랭이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</si>
  <si>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무*산호*이떡 단*박 *절미 *지않* 떡 1kg 10개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무등산 호랭이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</si>
  <si>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무*산호*이떡 단*박 *절미 *지않* 떡 1kg 10개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무등산 호랭이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</si>
  <si>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</si>
  <si>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무*산호*이떡 단*박 *절미 *지않* 떡 1kg 10개
 ( '광고' 클릭 절대 금지 )
 ▶판매처 : 무등산 호랭이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</si>
  <si>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</si>
  <si>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KLE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</si>
  <si>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</si>
  <si>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</si>
  <si>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</si>
  <si>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소* 빅 *라이딩 통큰 수*침* SS 프*임
 ( '광고' 클릭 절대 금지 )
 ▶판매처 : 온라인 브랜드 가구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</si>
  <si>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</si>
  <si>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</si>
  <si>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</si>
  <si>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</si>
  <si>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</si>
  <si>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</si>
  <si>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</si>
  <si>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</si>
  <si>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380개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</si>
  <si>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라*가구 *드 키* 모노 *문 옷* 1000
 ( '광고' 클릭 절대 금지 )
 ▶판매처 : 라자가구 스토어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</si>
  <si>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</si>
  <si>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</si>
  <si>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</si>
  <si>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</si>
  <si>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351개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</si>
  <si>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라**구 위드 빅 1**0 슬라이딩 옷장 행거형 j*195
 ( '광고' 클릭 절대 금지 )
 ▶판매처 : 라자가구 스토어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</si>
  <si>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</si>
  <si>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</si>
  <si>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</si>
  <si>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</si>
  <si>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</si>
  <si>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</si>
  <si>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</si>
  <si>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</si>
  <si>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504개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</si>
  <si>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홈*영 프**엄 논슬립 나무 옷*이 원목 니트 긴목 옷*게 10P 세트
 ( '광고' 클릭 절대 금지 )
 ▶판매처 : 홈앤영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</si>
  <si>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</si>
  <si>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</si>
  <si>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</si>
  <si>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</si>
  <si>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101개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</si>
  <si>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맥*티 엔* 겨울 *프장갑 *손
 ( '광고' 클릭 절대 금지 )
 ▶판매처 : MacKulty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</si>
  <si>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</si>
  <si>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</si>
  <si>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</si>
  <si>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</si>
  <si>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1,192개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</si>
  <si>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(제*직판) *상 온시* WS-1000 따*한 온*변기*버 생*방수
( '광고' 클릭 절대 금지 )
 ▶판매처 : 운상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</si>
  <si>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</si>
  <si>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</si>
  <si>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</si>
  <si>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</si>
  <si>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338개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</si>
  <si>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</si>
  <si>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</si>
  <si>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</si>
  <si>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</si>
  <si>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</si>
  <si>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</si>
  <si>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2월 세팅 완~ 2/22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</si>
  <si>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</si>
  <si>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</si>
  <si>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</si>
  <si>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258개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</si>
  <si>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지수의 스튜디오
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</si>
  <si>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*리미엄 *제 *페 *품 *스크 *즈 *이크 *익 *니 *룰로스 *일 *체 *약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바스크담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</si>
  <si>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*리미엄 *제 *페 *품 *스크 *즈 *이크 *익 *니 *룰로스 *일 *체 *약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바스크담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</si>
  <si>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https://m.search.naver.com/search.naver?sm=mtp_hty.top&amp;where=m&amp;query=%EC%BC%80%EC%9D%B4%ED%81%AC&amp;ackey=53jwcj38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</si>
  <si>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*리미엄 *제 *페 *품 *스크 *즈 *이크 *익 *니 *룰로스 *일 *체 *약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바스크담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</si>
  <si>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https://msearch.shopping.naver.com/search/all?query=%EC%BC%80%EC%9D%B4%ED%81%AC&amp;vertical=search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</si>
  <si>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*리미엄 *제 *페 *품 *스크 *즈 *이크 *익 *니 *룰로스 *일 *체 *약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바스크담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</si>
  <si>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*리미엄 *제 *페 *품 *스크 *즈 *이크 *익 *니 *룰로스 *일 *체 *약
( '광고' 클릭 절대 금지 )
 ▶판매처 : 바스크담
 5. 찜하기 클릭
 6. 바로가기 클릭
 7. 상품 클릭
 8. 링크(url) 복사 후 정답에 붙여넣기 후 제출</t>
    </r>
  </si>
  <si>
    <t>대구 대명동 커튼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</si>
  <si>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4.[*구 밝은창 커튼&amp;블라인드 남구점]플레이스를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{ㄷㅂㅅㄷ}
정답 : &lt;4&gt; 글자
* 정답란에 띄어쓰기 없이 입력 후 제출해주세요.</t>
  </si>
  <si>
    <t>대봉성당</t>
  </si>
  <si>
    <t>*구 밝은창 커튼&amp;블라인드 남구점</t>
  </si>
  <si>
    <t>https://m.place.naver.com/place/1958395714/home</t>
  </si>
  <si>
    <t>https://docs.google.com/spreadsheets/d/1PNXWWNfFl9R3RxiEMmA5zxFGch_H3abMKxdtOB7nbn0/edit?gid=1791231073#gid=1791231073</t>
  </si>
  <si>
    <t>대구 대명동 커튼 추천</t>
  </si>
  <si>
    <t>대구 대명동 커튼 전문점</t>
  </si>
  <si>
    <t>대구 대명동 블라인드</t>
  </si>
  <si>
    <t>대구 대명동 블라인드 추천</t>
  </si>
  <si>
    <t>인계동 PT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</si>
  <si>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4.[*공다이어트짐 PT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{ㅁㅌㄱㅇ}
정답 : &lt;4&gt; 글자
* 정답란에 띄어쓰기 없이 입력 후 제출해주세요.</t>
  </si>
  <si>
    <t>*공다이어트짐 PT 수원인계점</t>
  </si>
  <si>
    <t>https://m.place.naver.com/place/1729151012/home</t>
  </si>
  <si>
    <t>인계동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</si>
  <si>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4.[*공다이어트짐 PT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{ㄱㅂㅅㄷ}
정답 : &lt;4&gt; 글자
* 정답란에 띄어쓰기 없이 입력 후 제출해주세요.</t>
  </si>
  <si>
    <t>거북산당</t>
  </si>
  <si>
    <t>인계동 다이어트 운동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</si>
  <si>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4.[*공다이어트짐 PT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{ㅅㅇㅊ}
정답 : &lt;3&gt; 글자
* 정답란에 띄어쓰기 없이 입력 후 제출해주세요.</t>
  </si>
  <si>
    <t>수원시청역 PT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</si>
  <si>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4.[*공다이어트짐 PT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{ㅁㅌㄷㅅㄷ}
정답 : &lt;5&gt; 글자
* 정답란에 띄어쓰기 없이 입력 후 제출해주세요.</t>
  </si>
  <si>
    <t>수원시청역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</si>
  <si>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4.[*공다이어트짐 PT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{ㅅㅂㅅㄱㅇ}
정답 : &lt;5&gt; 글자
* 정답란에 띄어쓰기 없이 입력 후 제출해주세요.</t>
  </si>
  <si>
    <t>거제도 한식당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</si>
  <si>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4.[보그*]플레이스를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{ㅁㄷㅎㅇㄹ}
정답 : &lt;5&gt; 글자
* 정답란에 띄어쓰기 없이 입력 후 제출해주세요.</t>
  </si>
  <si>
    <t>문동휴양림</t>
  </si>
  <si>
    <t>보그*</t>
  </si>
  <si>
    <t>https://m.place.naver.com/restaurant/1862523116/home?entry=plt</t>
  </si>
  <si>
    <t>https://docs.google.com/spreadsheets/d/1dmeL8IaOzTefxlFNQtPasgzmvPkOpL8fygTYkJuhkVA/edit?gid=0#gid=0</t>
  </si>
  <si>
    <t>거제도 한식당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</si>
  <si>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4.[보그*]플레이스를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{ㄱㄹㅅㅇㅊ}
정답 : &lt;5&gt; 글자
* 정답란에 띄어쓰기 없이 입력 후 제출해주세요.</t>
  </si>
  <si>
    <t>계룡산온천</t>
  </si>
  <si>
    <t>거제도 솥밥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</si>
  <si>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4.[보그*]플레이스를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{ㅇㅈㅅ}
정답 : &lt;3&gt; 글자
* 정답란에 띄어쓰기 없이 입력 후 제출해주세요.</t>
  </si>
  <si>
    <t>용주사</t>
  </si>
  <si>
    <t>거제도 솥밥 한식당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</si>
  <si>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4.[보그*]플레이스를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{ㅇㅅㅂ}
정답 : &lt;3&gt; 글자
* 정답란에 띄어쓰기 없이 입력 후 제출해주세요.</t>
  </si>
  <si>
    <t>약수봉</t>
  </si>
  <si>
    <t>거제도 솥밥 한식당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</si>
  <si>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4.[보그*]플레이스를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{ㄱㄹㅅ}
정답 : &lt;3&gt;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</si>
  <si>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4.[대구마사지엔 헤스티*]플레이스를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{ㅇㅇㅈ}
정답 : &lt;3&gt;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</si>
  <si>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4.[대구마사지엔 헤스티*]플레이스를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{ㄱㅇㅅㄷ}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</si>
  <si>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4.[대구마사지엔 헤스티*]플레이스를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{ㄱㅇㄷㄱㅂㄱ}
정답 : &lt;6&gt; 글자
* 정답란에 띄어쓰기 없이 입력 후 제출해주세요.</t>
  </si>
  <si>
    <t>송도마사지 스파더벨렉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</si>
  <si>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4.[*파더벨렉 송도마사지 센트럴파크점]플레이스를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{ㅂㅈㅅ}
정답 : &lt;3&gt; 글자
* 정답란에 띄어쓰기 없이 입력 후 제출해주세요.</t>
  </si>
  <si>
    <t>봉재산</t>
  </si>
  <si>
    <t>*파더벨렉 송도마사지 센트럴파크점</t>
  </si>
  <si>
    <t>https://m.place.naver.com/place/1141956714/home</t>
  </si>
  <si>
    <t>송도 스파더벨렉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</si>
  <si>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4.[*파더벨렉 송도마사지 센트럴파크점]플레이스를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{ㄷㅊㄷㅅㄷ}
정답 : &lt;5&gt; 글자
* 정답란에 띄어쓰기 없이 입력 후 제출해주세요.</t>
  </si>
  <si>
    <t>송도 스파더벨렉 마사지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</si>
  <si>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4.[*파더벨렉 송도마사지 센트럴파크점]플레이스를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{ㅅㅊㄱㅇ}
정답 : &lt;4&gt; 글자
* 정답란에 띄어쓰기 없이 입력 후 제출해주세요.</t>
  </si>
  <si>
    <t>광안리 뭉티기 맛집 추천</t>
  </si>
  <si>
    <t>금련산역 뭉티기 맛집 추천</t>
  </si>
  <si>
    <t>을왕리 조개구이 무한리필 맛집</t>
  </si>
  <si>
    <t>을왕리 조개구이 무한리필 맛집 추천</t>
  </si>
  <si>
    <t>을왕리 조개구이 무한리필 예약</t>
  </si>
  <si>
    <t>을왕리 조개구이 무한리필 가격</t>
  </si>
  <si>
    <t>안산 최군로바다야끼</t>
  </si>
  <si>
    <t>안산 고잔동 일식 술집 예약</t>
  </si>
  <si>
    <t>고잔동 일식 술집 예약</t>
  </si>
  <si>
    <t>왕산해수욕장 조개구이 맛집 추천</t>
  </si>
  <si>
    <t>정발산역 마사지</t>
  </si>
  <si>
    <t>01월 23일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</si>
  <si>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</si>
  <si>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</si>
  <si>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</si>
  <si>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</si>
  <si>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1,122개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</si>
  <si>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석* 통영 생* 각굴 삼*체 반*굴 하*셀 캠*용 구이
 ( '광고' 클릭 절대 금지 )
 ▶판매처 : 바다의품격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</si>
  <si>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</si>
  <si>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</si>
  <si>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</si>
  <si>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</si>
  <si>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2,270개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</si>
  <si>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통영 굴 *철 최*급 석화 *굴 세척 생굴 1kg
 ( '광고' 클릭 절대 금지 )
 ▶판매처 : 바다의 품격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</si>
  <si>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</si>
  <si>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</si>
  <si>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</si>
  <si>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</si>
  <si>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5,271개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</si>
  <si>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통영 가*비 제철 세척 비단 홍**비 1kg 캠핑 조**이 찜
 ( '광고' 클릭 절대 금지 )
 ▶판매처 : 바다의품격
 5. 찜하기 클릭
 6. 바로가기 클릭
 7. 상품 클릭
 8. 링크(url) 복사 후 정답에 붙여넣기 후 제출</t>
    </r>
  </si>
  <si>
    <t>01월 23일 2차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</si>
  <si>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비*디파* 렌*샵 장비 *류 스키*드 대* 리프트*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</si>
  <si>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비*디파* 렌*샵 장비 *류 스키*드 대* 리프트*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</si>
  <si>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비*디파* 렌*샵 장비 *류 스키*드 대* 리프트*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</si>
  <si>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비*디파* 렌*샵 장비 *류 스키*드 대* 리프트*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</si>
  <si>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180개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</si>
  <si>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홍* 비*디파* 렌*샵 장비 *류 스키*드 대* 리프트* 패*지
 ( '광고' 클릭 절대 금지 )
 ▶판매처 : 비발디파크렌탈샵스키야놀자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</si>
  <si>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</si>
  <si>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</si>
  <si>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</si>
  <si>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</si>
  <si>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811개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</si>
  <si>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</si>
  <si>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고당* 과*이 팡팡 *타맛 윈*프린* 만*류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</si>
  <si>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고당* 과*이 팡팡 *타맛 윈*프린* 만*류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</si>
  <si>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고당* 과*이 팡팡 *타맛 윈*프린* 만*류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</si>
  <si>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고당* 과*이 팡팡 *타맛 윈*프린* 만*류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</si>
  <si>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고당* 과*이 팡팡 *타맛 윈*프린* 만*류
 ( '광고' 클릭 절대 금지 )
 ▶판매처 : 티알마켓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</si>
  <si>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도*뱀 *육장 3*30*5 아크* 게코 케*지 크레 *충류 크*스*드게* 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</si>
  <si>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도*뱀 *육장 3*30*5 아크* 게코 케*지 크레 *충류 크*스*드게* 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</si>
  <si>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도*뱀 *육장 3*30*5 아크* 게코 케*지 크레 *충류 크*스*드게* 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</si>
  <si>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도*뱀 *육장 3*30*5 아크* 게코 케*지 크레 *충류 크*스*드게* 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</si>
  <si>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</si>
  <si>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도*뱀 *육장 3*30*5 아크* 게코 케*지 크레 *충류 크*스*드게* 집
 ( '광고' 클릭 절대 금지 )
 ▶판매처 : 랩티케어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</si>
  <si>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</si>
  <si>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</si>
  <si>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https://m.search.naver.com/search.naver?sm=mtp_hty.top&amp;where=m&amp;query=%EA%B7%80%EB%9A%9C%EB%9D%BC%EB%AF%B8&amp;ackey=nglx4h0n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</si>
  <si>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</si>
  <si>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https://msearch.shopping.naver.com/search/all?query=%EA%B7%80%EB%9A%9C%EB%9D%BC%EB%AF%B8&amp;vertical=search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</si>
  <si>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</si>
  <si>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냉동 귀**미 냉*리 크레***게코 도*뱀 파*류 먹이 먹*용 중 20g 약 120*리
 ( '광고' 클릭 절대 금지 )
 ▶판매처 : 랩티케어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</si>
  <si>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[설*벤트 1+1] *순렬 원* 맑*샘 녹*쌍화*감 (100ml x 30포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맑은샘생활건강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</si>
  <si>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[설*벤트 1+1] *순렬 원* 맑*샘 녹*쌍화*감 (100ml x 30포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맑은샘생활건강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</si>
  <si>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[설*벤트 1+1] *순렬 원* 맑*샘 녹*쌍화*감 (100ml x 30포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맑은샘생활건강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</si>
  <si>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[설*벤트 1+1] *순렬 원* 맑*샘 녹*쌍화*감 (100ml x 30포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맑은샘생활건강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</si>
  <si>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89개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</si>
  <si>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[설*벤트 1+1] *순렬 원* 맑*샘 녹*쌍화*감 (100ml x 30포 )
 ( '광고' 클릭 절대 금지 )
 ▶판매처 : 맑은샘생활건강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</si>
  <si>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</si>
  <si>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</si>
  <si>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</si>
  <si>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</si>
  <si>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라*필 *마 콜라* *오틴*스 신*아 라*필 어린 저분* 3.5g x 150포 3*스
 ( '광고' 클릭 절대 금지 )
 ▶판매처 : 마넬리 코스메틱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</si>
  <si>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</si>
  <si>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</si>
  <si>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</si>
  <si>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</si>
  <si>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555개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</si>
  <si>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라이* 더마 *분자 콜*겐 시*니처 173*톤 초저*자 비오* 신*아 *린 6병 24주
 ( '광고' 클릭 절대 금지 )
 ▶판매처 : 마넬리 코스메틱
 5. 찜하기 클릭
 6. 바로가기 클릭 
 7. 상품 클릭
 8. 링크(url) 복사 후 정답에 붙여넣기 후 제출</t>
    </r>
  </si>
  <si>
    <t>2월 세팅 완~ 2/24</t>
  </si>
  <si>
    <t>광교 에잇디헤어 펌</t>
  </si>
  <si>
    <t>광교 에잇디헤어 커트</t>
  </si>
  <si>
    <t>행주동 오리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</si>
  <si>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{ㅂㄷㅅ}
정답 : &lt;3&gt; 글자
* 정답란에 띄어쓰기 없이 입력 후 제출해주세요.</t>
  </si>
  <si>
    <t>****야 철판 행주산성본점</t>
  </si>
  <si>
    <t>행주동 철판 삼겹살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</si>
  <si>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{ㅇㅎㅈㄱㅁ}
정답 : &lt;5&gt; 글자
* 정답란에 띄어쓰기 없이 입력 후 제출해주세요.</t>
  </si>
  <si>
    <t>행주동 고기집 단체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</si>
  <si>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{ㅂㄷㅁㄱㅇ}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</si>
  <si>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{ㄱㅁㄷㅅㄱ}
정답 : &lt;5&gt; 글자
* 정답란에 띄어쓰기 없이 입력 후 제출해주세요.</t>
  </si>
  <si>
    <t>행주산성 흑돼지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</si>
  <si>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{ㅊㅊㄱㅇ}
정답 : &lt;4&gt; 글자
* 정답란에 띄어쓰기 없이 입력 후 제출해주세요.</t>
  </si>
  <si>
    <t>성수 에스프레소 카페</t>
  </si>
  <si>
    <t>성동구 티라미수</t>
  </si>
  <si>
    <t>성수 티라미수 카페</t>
  </si>
  <si>
    <t>진주시 부동산 중개 업체</t>
  </si>
  <si>
    <t>익산역 중앙동 닭강정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</si>
  <si>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4.[*개날다]플레이스를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{ㅁㅎㄱㅇ}
정답 : &lt;4&gt; 글자
* 정답란에 띄어쓰기 없이 입력 후 제출해주세요.</t>
  </si>
  <si>
    <t>모현공원</t>
  </si>
  <si>
    <t>*개날다</t>
  </si>
  <si>
    <t>익산역 중앙동 닭강정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</si>
  <si>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4.[*개날다]플레이스를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{ㅇㅎㄱㅇ}
정답 : &lt;4&gt; 글자
* 정답란에 띄어쓰기 없이 입력 후 제출해주세요.</t>
  </si>
  <si>
    <t>인화공원</t>
  </si>
  <si>
    <t>2월 세팅 완~ 2/25</t>
  </si>
  <si>
    <t>송리단길 말차라떼 맛집</t>
  </si>
  <si>
    <t>송리단길 티 카페</t>
  </si>
  <si>
    <t>인천공항 실내주차</t>
  </si>
  <si>
    <t>인천공항 실내주차 업체</t>
  </si>
  <si>
    <t>인천공항 실내주차대행 업체</t>
  </si>
  <si>
    <t>남부터미널헬스장</t>
  </si>
  <si>
    <t>01월 26일 마감</t>
  </si>
  <si>
    <t>2월 세팅 완~2/1</t>
  </si>
  <si>
    <t>2월 세팅 완~2/2</t>
  </si>
  <si>
    <r>
      <rPr>
        <sz val="0"/>
        <color rgb="FF000000"/>
        <rFont val="Arial"/>
      </rPr>
      <t xml:space="preserve"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"네이버TV · </t>
    </r>
    <r>
      <rPr>
        <u/>
        <sz val="0"/>
        <color rgb="FF1155CC"/>
        <rFont val="Arial"/>
      </rPr>
      <t>tv.naver.com</t>
    </r>
    <r>
      <rPr>
        <sz val="0"/>
        <color rgb="FF000000"/>
        <rFont val="Arial"/>
      </rPr>
      <t xml:space="preserve"> › ninelaw24call"을 찾아주세요.
5. "남양주개인회생 변호사 상담"을 클릭해주세요.
6. 사이트 방문 후 "정보" 탭을 클릭해주세요.
7. [ 힌트 ] 를 보고 정답을 찾아주세요.
8. 초성힌트 : [ 채널 카테고리 : OOO ]
정답 : &lt;3&gt;  글자
* 정답란에 - 포함하여 띄어쓰기 없이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</si>
  <si>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</si>
  <si>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2월 세팅 완~2/7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</si>
  <si>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</si>
  <si>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https://m.search.naver.com/search.naver?sm=mtp_hty.top&amp;where=m&amp;query=%EB%B0%98%EC%B0%AC&amp;ackey=nzw6j7un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</si>
  <si>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</si>
  <si>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</si>
  <si>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465개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</si>
  <si>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슈*와사* 태* 고*냉이 잎 장*찌 300g
 ( '광고' 클릭 절대 금지 )
 ▶판매처 : 슈퍼와사비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</si>
  <si>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</si>
  <si>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</si>
  <si>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</si>
  <si>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</si>
  <si>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628개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</si>
  <si>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소량 쇼*백 로* 인쇄 *문 제작 *원 관공* 행사 *이 가* 200매 *매-A
 ( '광고' 클릭 절대 금지 )
 ▶판매처 : 다잇다인쇄
 5. 찜하기 클릭
 6. 바로가기 클릭
 7. 상품 클릭
 8. 링크(url) 복사 후 정답에 붙여넣기 후 제출</t>
    </r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</si>
  <si>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구글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</si>
  <si>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2월 세팅 완~2/6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</si>
  <si>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</si>
  <si>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</si>
  <si>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</si>
  <si>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554개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</si>
  <si>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전동 와*오프너 *동 오*너 와*따개 코르* 병*기 각*
 ( '광고' 클릭 절대 금지 )
 ▶판매처 : 더카인드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</si>
  <si>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*리스마스 *명 *선 *난로 *품 *ED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</si>
  <si>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2월 세팅 완~2/5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</si>
  <si>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*리스마스 *명 *선 *난로 *품 *ED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</si>
  <si>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https://m.search.naver.com/search.naver?sm=mtb_hty.top&amp;where=m&amp;ssc=tab.m.all&amp;oquery=%E3%85%8D&amp;tqi=jUm4nwqX6IKssfaAKGV-467674&amp;query=%EB%B6%88%EB%A9%8D+%EB%AC%B4%EB%93%9C%EB%93%B1&amp;ackey=wyv1cefz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</si>
  <si>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*리스마스 *명 *선 *난로 *품 *ED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</si>
  <si>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*리스마스 *명 *선 *난로 *품 *ED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</si>
  <si>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107개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</si>
  <si>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[*처리] *멍 *드등 *리스마스 *명 *선 *난로 *품 *ED *들이
 ( '광고' 클릭 절대 금지 )
 ▶판매처 : 템x템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</si>
  <si>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*드등 *유등 *면등 *침등 *선 *실 *ED *멍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</si>
  <si>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*드등 *유등 *면등 *침등 *선 *실 *ED *멍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</si>
  <si>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*드등 *유등 *면등 *침등 *선 *실 *ED *멍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</si>
  <si>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*드등 *유등 *면등 *침등 *선 *실 *ED *멍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</si>
  <si>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*무 *드등 *유등 *면등 *침등 *선 *실 *ED *멍 *들이
 ( '광고' 클릭 절대 금지 )
 ▶판매처 : 빛내는 사람들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</si>
  <si>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*운신각 *적 *물 *회 *재 *교 *제 *적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LIFE IS FUN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</si>
  <si>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*운신각 *적 *물 *회 *재 *교 *제 *적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LIFE IS FUN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</si>
  <si>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*운신각 *적 *물 *회 *재 *교 *제 *적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LIFE IS FUN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</si>
  <si>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*운신각 *적 *물 *회 *재 *교 *제 *적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LIFE IS FUN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</si>
  <si>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</si>
  <si>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*운신각 *적 *물 *회 *재 *교 *제 *적
 ( '광고' 클릭 절대 금지 )
 ▶판매처 : LIFE IS FUN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</si>
  <si>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*70x*50mm *림포장박스 *형 *트단프라 *0호 *버스 *술품 *자배송 *품패킹*자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아트단프라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</si>
  <si>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*70x*50mm *림포장박스 *형 *트단프라 *0호 *버스 *술품 *자배송 *품패킹*자
 ( '광고' 클릭 절대 금지 )
 ▶판매처 : 아트단프라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</si>
  <si>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https://m.search.naver.com/search.naver?sm=mtp_hty.top&amp;where=m&amp;query=%EB%B0%95%EC%8A%A4&amp;ackey=ldx69f6x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</si>
  <si>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*70x*50mm *림포장박스 *형 *트단프라 *0호 *버스 *술품 *자배송 *품패킹*자
 ( '광고' 클릭 절대 금지 )
 ▶판매처 : 아트단프라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</si>
  <si>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https://msearch.shopping.naver.com/search/all?query=%EB%B0%95%EC%8A%A4&amp;vertical=search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</si>
  <si>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*70x*50mm *림포장박스 *형 *트단프라 *0호 *버스 *술품 *자배송 *품패킹*자
 ( '광고' 클릭 절대 금지 )
 ▶판매처 : 아트단프라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</si>
  <si>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*70x*50mm *림포장박스 *형 *트단프라 *0호 *버스 *술품 *자배송 *품패킹*자
 ( '광고' 클릭 절대 금지 )
 ▶판매처 : 아트단프라
 5. 찜하기 클릭
 6. 바로가기 클릭
 7. 상품 클릭
 8. 링크(url) 복사 후 정답에 붙여넣기 후 제출</t>
    </r>
  </si>
  <si>
    <r>
      <rPr>
        <sz val="0"/>
        <color rgb="FF000000"/>
        <rFont val="Arial"/>
      </rPr>
      <t xml:space="preserve"> </t>
    </r>
    <r>
      <rPr>
        <u/>
        <sz val="0"/>
        <color rgb="FF1155CC"/>
        <rFont val="Arial"/>
      </rPr>
      <t>https://m.smartstore.naver.com/drart/products/8350354953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</si>
  <si>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위* 꿀*때 국산 *꿀 8g 20*입 아카*아 야생* 라*더밤 *스틱 *례품 선*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위잉2025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</si>
  <si>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위* 꿀*때 국산 *꿀 8g 20*입 아카*아 야생* 라*더밤 *스틱 *례품 선*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위잉2025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</si>
  <si>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위* 꿀*때 국산 *꿀 8g 20*입 아카*아 야생* 라*더밤 *스틱 *례품 선*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위잉2025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</si>
  <si>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위* 꿀*때 국산 *꿀 8g 20*입 아카*아 야생* 라*더밤 *스틱 *례품 선*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위잉2025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</si>
  <si>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214개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</si>
  <si>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위* 꿀*때 국산 *꿀 8g 20*입 아카*아 야생* 라*더밤 *스틱 *례품 선*
 ( '광고' 클릭 절대 금지 )
 ▶판매처 : 위잉2025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</si>
  <si>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</si>
  <si>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</si>
  <si>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</si>
  <si>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</si>
  <si>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가*호호 신*진쌀 10kg 특*급 단*품종* 백* 2025년산 햅*
 ( '광고' 클릭 절대 금지 )
 ▶판매처 : 농사꾼쌀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</si>
  <si>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2025*산 햅* 농*꾼양*쌀 쌀 20kg *미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</si>
  <si>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2025*산 햅* 농*꾼양*쌀 쌀 20kg *미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</si>
  <si>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2025*산 햅* 농*꾼양*쌀 쌀 20kg *미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</si>
  <si>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2025*산 햅* 농*꾼양*쌀 쌀 20kg *미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</si>
  <si>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2025*산 햅* 농*꾼양*쌀 쌀 20kg *미
 ( '광고' 클릭 절대 금지 )
 ▶판매처 : 농사꾼쌀
 5. 찜하기 클릭
 6. 바로가기 클릭 
 7. 상품 클릭
 8. 링크(url) 복사 후 정답에 붙여넣기 후 제출</t>
    </r>
  </si>
  <si>
    <t>서초동속기사무소 서초베스트속기사무소</t>
  </si>
  <si>
    <t>인계동 다이어트짐</t>
  </si>
  <si>
    <t>인계동 성공</t>
  </si>
  <si>
    <t>수원시청역 다이어트짐</t>
  </si>
  <si>
    <t>팔달 인계 다이어트짐</t>
  </si>
  <si>
    <t>인계동 다이어트 헬스</t>
  </si>
  <si>
    <t>용산 옷가게 미즈스모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</si>
  <si>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4.[*즈스모]플레이스를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{ㅎㅅㅎㄱㄴㄱㅇ}
정답 : &lt;7&gt; 글자
* 정답란에 띄어쓰기 없이 입력 후 제출해주세요.</t>
  </si>
  <si>
    <t>함석헌기념공원</t>
  </si>
  <si>
    <t>*즈스모</t>
  </si>
  <si>
    <t>https://m.place.naver.com/place/1969752943/home</t>
  </si>
  <si>
    <t>용산 여성의류 미즈스모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</si>
  <si>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4.[*즈스모]플레이스를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{ㅎㅁㅇㄱㅇ}
정답 : &lt;5&gt; 글자
* 정답란에 띄어쓰기 없이 입력 후 제출해주세요.</t>
  </si>
  <si>
    <t>한마음공원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</si>
  <si>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4.[*즈스모]플레이스를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{ㄴㄷㄴㄹㄱㅇ}
정답 : &lt;6&gt; 글자
* 정답란에 띄어쓰기 없이 입력 후 제출해주세요.</t>
  </si>
  <si>
    <t>노들나루공원</t>
  </si>
  <si>
    <t>대구 대명동 커튼 전문점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</si>
  <si>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4.[*구 밝은창 커튼&amp;블라인드 남구점]플레이스를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{ㅂㅅㄱㄱㄱㅁ}
정답 : &lt;6&gt; 글자
* 정답란에 띄어쓰기 없이 입력 후 제출해주세요.</t>
  </si>
  <si>
    <t>대구 남구 커튼</t>
  </si>
  <si>
    <t>대구 남구 커튼 추천</t>
  </si>
  <si>
    <t>대구 남구 커튼 전문점</t>
  </si>
  <si>
    <t>대구 남구 블라인드</t>
  </si>
  <si>
    <t>2월 세팅 완~ 2/9</t>
  </si>
  <si>
    <t>대구 고양이 목욕</t>
  </si>
  <si>
    <t>01월 27일 마감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</si>
  <si>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*자가구 *드 *200 *프트업 *실 *이블 *w1*0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</si>
  <si>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*자가구 *드 *200 *프트업 *실 *이블 *w1*0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</si>
  <si>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https://m.search.naver.com/search.naver?sm=mtp_hty.top&amp;where=m&amp;query=%ED%85%8C%EC%9D%B4%EB%B8%94&amp;ackey=r4wroyos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</si>
  <si>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*자가구 *드 *200 *프트업 *실 *이블 *w1*0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</si>
  <si>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https://msearch.shopping.naver.com/search/all?query=%ED%85%8C%EC%9D%B4%EB%B8%94&amp;vertical=search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</si>
  <si>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라자가구 위드 1200 리프트업 거실 테이블 cw150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</si>
  <si>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293개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</si>
  <si>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'가격비교' 상품을 클릭 해주세요.
 *최저 및 판매처 표시가 있는 상품을 클릭 해주세요*
*자가구 *드 *200 *프트업 *실 *이블 *w1*0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</si>
  <si>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</t>
    </r>
    <r>
      <rPr>
        <sz val="0"/>
        <color rgb="FFFF0000"/>
        <rFont val="Arial"/>
      </rPr>
      <t xml:space="preserve"> 라자가구 스토어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</t>
    </r>
  </si>
  <si>
    <t>kLoE</t>
  </si>
  <si>
    <r>
      <rPr>
        <sz val="0"/>
        <color rgb="FF000000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rgb="FF000000"/>
        <rFont val="Arial"/>
      </rPr>
      <t xml:space="preserve"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 </t>
    </r>
    <r>
      <rPr>
        <sz val="0"/>
        <color rgb="FFFF0000"/>
        <rFont val="Arial"/>
      </rPr>
      <t>라자가구 스토어</t>
    </r>
    <r>
      <rPr>
        <sz val="0"/>
        <color rgb="FF000000"/>
        <rFont val="Arial"/>
      </rPr>
      <t xml:space="preserve">
 5. 상세페이지 하단 구매 추가정보에서 상품번호 뒤 5자리를
 아래 정답란에 입력 후 제출해주세요</t>
    </r>
  </si>
  <si>
    <r>
      <rPr>
        <sz val="0"/>
        <color rgb="FF000000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rgb="FF000000"/>
        <rFont val="Arial"/>
      </rPr>
      <t xml:space="preserve"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 </t>
    </r>
    <r>
      <rPr>
        <sz val="0"/>
        <color rgb="FFFF0000"/>
        <rFont val="Arial"/>
      </rPr>
      <t>라자가구 스토어</t>
    </r>
    <r>
      <rPr>
        <sz val="0"/>
        <color rgb="FF000000"/>
        <rFont val="Arial"/>
      </rPr>
      <t xml:space="preserve">
 5. 상세페이지 하단 구매 추가정보에서 상품번호 뒤 5자리를
 아래 정답란에 입력 후 제출해주세요</t>
    </r>
  </si>
  <si>
    <r>
      <rPr>
        <sz val="0"/>
        <color rgb="FF000000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rgb="FF000000"/>
        <rFont val="Arial"/>
      </rPr>
      <t xml:space="preserve"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 </t>
    </r>
    <r>
      <rPr>
        <sz val="0"/>
        <color rgb="FFFF0000"/>
        <rFont val="Arial"/>
      </rPr>
      <t>라자가구 스토어</t>
    </r>
    <r>
      <rPr>
        <sz val="0"/>
        <color rgb="FF000000"/>
        <rFont val="Arial"/>
      </rPr>
      <t xml:space="preserve">
 5. 상세페이지 하단 구매 추가정보에서 상품번호 뒤 5자리를
 아래 정답란에 입력 후 제출해주세요</t>
    </r>
  </si>
  <si>
    <t>100개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</si>
  <si>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</t>
    </r>
    <r>
      <rPr>
        <sz val="0"/>
        <color rgb="FFFF0000"/>
        <rFont val="Arial"/>
      </rPr>
      <t xml:space="preserve"> 라자가구 스토어
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</si>
  <si>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*도농장 *나 *색약 *든포션 *연 *색약 *루 *소니아 2.*5%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</si>
  <si>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*도농장 *나 *색약 *든포션 *연 *색약 *루 *소니아 2.*5%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</si>
  <si>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*도농장 *나 *색약 *든포션 *연 *색약 *루 *소니아 2.*5%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</si>
  <si>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*도농장 *나 *색약 *든포션 *연 *색약 *루 *소니아 2.*5%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</si>
  <si>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*도농장 *나 *색약 *든포션 *연 *색약 *루 *소니아 2.*5%
 ( '광고' 클릭 절대 금지 )
 ▶판매처 : 헤어스페셜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</si>
  <si>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*마 안동* *마 *마 *마 *씨앗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</si>
  <si>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*마 안동* *마 *마 *마 *씨앗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</si>
  <si>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*마 안동* *마 *마 *마 *씨앗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</si>
  <si>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*마 안동* *마 *마 *마 *씨앗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</si>
  <si>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</si>
  <si>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*동 *마 안동* *마 *마 *마 *씨앗
 ( '광고' 클릭 절대 금지 )
 ▶판매처 : 티알마켓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</si>
  <si>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</si>
  <si>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</si>
  <si>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</si>
  <si>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</si>
  <si>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소* 1200 슬*이딩 *장 행*형 Y*R058
 ( '광고' 클릭 절대 금지 )
 ▶판매처 : 온라인 브랜드 가구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</si>
  <si>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</si>
  <si>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</si>
  <si>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https://m.search.naver.com/search.naver?sm=mtp_hty.top&amp;where=m&amp;query=%EB%A7%A4%ED%8A%B8&amp;ackey=b7rvkoqr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</si>
  <si>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</si>
  <si>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https://msearch.shopping.naver.com/search/all?query=%EB%A7%A4%ED%8A%B8&amp;vertical=search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</si>
  <si>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</si>
  <si>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corezone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</si>
  <si>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수원 정자동 고등 수학 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</si>
  <si>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4.[*SKY수학]플레이스를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{ㅅㅈㄱㅇ}
정답 : &lt;4&gt; 글자
* 정답란에 띄어쓰기 없이 입력 후 제출해주세요.</t>
  </si>
  <si>
    <t>송죽공원</t>
  </si>
  <si>
    <t>*SKY수학</t>
  </si>
  <si>
    <t>https://m.place.naver.com/place/1720739314/home</t>
  </si>
  <si>
    <t>장안구 중등 수학 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</si>
  <si>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4.[*SKY수학]플레이스를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{ㅎㅅㅇㅁㄱㄹㅊ}
정답 : &lt;7&gt; 글자
* 정답란에 띄어쓰기 없이 입력 후 제출해주세요.</t>
  </si>
  <si>
    <t>장안구 수학 학원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</si>
  <si>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4.[*SKY수학]플레이스를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{ㅅㄴㄱㅇ}
정답 : &lt;4&gt; 글자
* 정답란에 띄어쓰기 없이 입력 후 제출해주세요.</t>
  </si>
  <si>
    <t>2월세팅 완~2/1</t>
  </si>
  <si>
    <t xml:space="preserve">2월세팅 완~2/6
</t>
  </si>
  <si>
    <t>2월세팅 완~2/28</t>
  </si>
  <si>
    <t>2월세팅 완~2/26</t>
  </si>
  <si>
    <t>속초 대게요리</t>
  </si>
  <si>
    <t>속초 동명항 대게찜</t>
  </si>
  <si>
    <t>2월세팅 완~2/8</t>
  </si>
  <si>
    <t>2월세팅 완~2/3</t>
  </si>
  <si>
    <t>2월세팅 완~2/6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</si>
  <si>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4.[*후의치과의원 광주]플레이스를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{ㅈㄷㄱㅇ}
정답 : &lt;4&gt; 글자
* 정답란에 띄어쓰기 없이 입력 후 제출해주세요.</t>
  </si>
  <si>
    <t>철산역 소아 치과의원</t>
  </si>
  <si>
    <t>01월 28일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</si>
  <si>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*관 *금단지 *금항아리 *자기거*이 *항아리 *수지리 *테리어 *들이*물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더담다플러스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</si>
  <si>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2월세팅 완 ~2/28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</si>
  <si>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*관 *금단지 *금항아리 *자기거*이 *항아리 *수지리 *테리어 *들이*물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더담다플러스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</si>
  <si>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https://smartstore.naver.com/thedamdaplus/products/12899796918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</si>
  <si>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*관 *금단지 *금항아리 *자기거*이 *항아리 *수지리 *테리어 *들이*물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더담다플러스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</si>
  <si>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https://smartstore.naver.com/thedamdaplus/products/12899796919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</si>
  <si>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*관 *금단지 *금항아리 *자기거*이 *항아리 *수지리 *테리어 *들이*물
</t>
    </r>
    <r>
      <rPr>
        <sz val="0"/>
        <color rgb="FFFF0000"/>
        <rFont val="Arial"/>
      </rPr>
      <t xml:space="preserve">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더담다플러스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</si>
  <si>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https://smartstore.naver.com/thedamdaplus/products/12899796920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</si>
  <si>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*관 *금단지 *금항아리 *자기거*이 *항아리 *수지리 *테리어 *들이*물
 ( '광고' 클릭 절대 금지 )
 ▶판매처 : 더담다플러스
 5. 찜하기 클릭
 6. 바로가기 클릭 
 7. 상품 클릭
 8. 링크(url) 복사 후 정답에 붙여넣기 후 제출</t>
    </r>
  </si>
  <si>
    <t>https://smartstore.naver.com/thedamdaplus/products/12899796921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</si>
  <si>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*촌*감 *메골*감 *절선*세트 *정용 *속형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이메골농산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</si>
  <si>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*촌*감 *메골*감 *절선*세트 *정용 *속형
 ( '광고' 클릭 절대 금지 )
 ▶판매처 : 이메골농산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</si>
  <si>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https://smartstore.naver.com/imegol/products/6131869984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</si>
  <si>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*촌*감 *메골*감 *절선*세트 *정용 *속형
 ( '광고' 클릭 절대 금지 )
 ▶판매처 : 이메골농산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</si>
  <si>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https://smartstore.naver.com/imegol/products/6131869985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</si>
  <si>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*촌*감 *메골*감 *절선*세트 *정용 *속형
 ( '광고' 클릭 절대 금지 )
 ▶판매처 : 이메골농산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</si>
  <si>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https://smartstore.naver.com/imegol/products/6131869986</t>
  </si>
  <si>
    <t>23개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</si>
  <si>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*촌*감 *메골*감 *절선*세트 *정용 *속형
 ( '광고' 클릭 절대 금지 )
 ▶판매처 : 이메골농산
 5. 찜하기 클릭
 6. 바로가기 클릭 
 7. 상품 클릭
 8. 링크(url) 복사 후 정답에 붙여넣기 후 제출</t>
    </r>
  </si>
  <si>
    <t>https://smartstore.naver.com/imegol/products/6131869987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</si>
  <si>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</si>
  <si>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</si>
  <si>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</si>
  <si>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</si>
  <si>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385개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</si>
  <si>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플*이토 와*파이 *시계 인*리어 전자달* 집*이 사*실 LED시* 백라*트 터닝 *랫
( '광고' 클릭 절대 금지 )
 ▶판매처 : 제이앤와이컴퍼니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</si>
  <si>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</si>
  <si>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</si>
  <si>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</si>
  <si>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</si>
  <si>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221개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</si>
  <si>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</si>
  <si>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고*이캔 24*캔 맛*는 6종 *양이간* 습식*료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</si>
  <si>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고*이캔 24*캔 맛*는 6종 *양이간* 습식*료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</si>
  <si>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고*이캔 24*캔 맛*는 6종 *양이간* 습식*료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</si>
  <si>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고*이캔 24*캔 맛*는 6종 *양이간* 습식*료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</si>
  <si>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</si>
  <si>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먹*별난*치 170g 고*이캔 24*캔 맛*는 6종 *양이간* 습식*료
 ( '광고' 클릭 절대 금지 )
 ▶판매처 : 사료영양학교실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</si>
  <si>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</si>
  <si>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</si>
  <si>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</si>
  <si>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</si>
  <si>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하*런 *포츠 러닝 마스* 자*선차*마*크 골프 *동 안면 얼*가리*
 ( '광고' 클릭 절대 금지 )
 ▶판매처 : 청풍문-bluewind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</si>
  <si>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마스* 연예인 *션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</si>
  <si>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마스* 연예인 *션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</si>
  <si>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마스* 연예인 *션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</si>
  <si>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마스* 연예인 *션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</si>
  <si>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빨*쓰는 면 천 *스크 숨*기편* 귀*한 *부리형 마스* 연예인 *션
 ( '광고' 클릭 절대 금지 )
 ▶판매처 : 청풍문-bluewind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</si>
  <si>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</si>
  <si>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</si>
  <si>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</si>
  <si>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</si>
  <si>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832개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</si>
  <si>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</si>
  <si>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*투베이* 500g 강*지간식 사*미 2개 대용*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</si>
  <si>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*투베이* 500g 강*지간식 사*미 2개 대용*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</si>
  <si>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*투베이* 500g 강*지간식 사*미 2개 대용*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</si>
  <si>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*투베이* 500g 강*지간식 사*미 2개 대용*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</si>
  <si>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*투베이* 500g 강*지간식 사*미 2개 대용* 간*
 ( '광고' 클릭 절대 금지 )
 ▶판매처 : 사료영양학교실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</si>
  <si>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보*게임 *리포터 체스 *급 접*식 체*판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</si>
  <si>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보*게임 *리포터 체스 *급 접*식 체*판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</si>
  <si>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https://m.search.naver.com/search.naver?sm=mtp_hty.top&amp;where=m&amp;query=%EC%9E%A5%EB%82%9C%EA%B0%90&amp;ackey=l7t715yb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</si>
  <si>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보*게임 *리포터 체스 *급 접*식 체*판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</si>
  <si>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https://msearch.shopping.naver.com/search/all?query=%EC%9E%A5%EB%82%9C%EA%B0%90&amp;vertical=search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</si>
  <si>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보*게임 *리포터 체스 *급 접*식 체*판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</si>
  <si>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343개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</si>
  <si>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보*게임 *리포터 체스 *급 접*식 체*판
 ( '광고' 클릭 절대 금지 )
 ▶판매처 : 템x템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</si>
  <si>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</si>
  <si>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</si>
  <si>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</si>
  <si>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</si>
  <si>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236개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</si>
  <si>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초*형 벽난* 불멍 *드등 무선 크*스마* L*D(심플형 브*운S)
 ( '광고' 클릭 절대 금지 )
 ▶판매처 : 빛내는 사람들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</si>
  <si>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</si>
  <si>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</si>
  <si>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</si>
  <si>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</si>
  <si>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1,358개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</si>
  <si>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불* 무*등 벽난로 *타는 LED 무* 수유등 집*이 크*스마*(A형)
 ( '광고' 클릭 절대 금지 )
 ▶판매처 : 빛내는 사람들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</si>
  <si>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</si>
  <si>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</si>
  <si>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</si>
  <si>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</si>
  <si>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L*D 캔들 *불 불* 무*등 탁상 취*등 크*스*스 골*S 10cm
 ( '광고' 클릭 절대 금지 )
 ▶판매처 : 빛내는 사람들
 5. 찜하기 클릭
 6. 바로가기 클릭 
 7. 상품 클릭
 8. 링크(url) 복사 후 정답에 붙여넣기 후 제출</t>
    </r>
  </si>
  <si>
    <t>4월세팅~4/29</t>
  </si>
  <si>
    <t>2월세팅 완~2/5</t>
  </si>
  <si>
    <t>2월세팅 완~2/4</t>
  </si>
  <si>
    <t>서초 강남역 이자카야 사시미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</si>
  <si>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{ㄴㅎㄲㅊㄱㅇ}
정답 : &lt;6&gt; 글자
* 정답란에 띄어쓰기 없이 입력 후 제출해주세요.</t>
  </si>
  <si>
    <t>강남역 룸 이자카야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</si>
  <si>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{ㅇㅅㄱㄴㄹㄱㅇ}
정답 : &lt;7&gt; 글자
* 정답란에 띄어쓰기 없이 입력 후 제출해주세요.</t>
  </si>
  <si>
    <t>서초동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</si>
  <si>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{ㅇㄱㅂㄱㅇ}
정답 : &lt;5&gt; 글자
* 정답란에 띄어쓰기 없이 입력 후 제출해주세요.</t>
  </si>
  <si>
    <t>서초동 이자카야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</si>
  <si>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{ㄴㅎㄷㅁㅈㄱㅁ}
정답 : &lt;7&gt; 글자
* 정답란에 띄어쓰기 없이 입력 후 제출해주세요.</t>
  </si>
  <si>
    <t>서초동 이자카야 타다끼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</si>
  <si>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{ㅇㅅㅅㄴㅁㄱㅇ}
정답 : &lt;7&gt;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</si>
  <si>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{ㅅㄴㅂㅅㄱㅈ}
정답 : &lt;6&gt; 글자
* 정답란에 띄어쓰기 없이 입력 후 제출해주세요.</t>
  </si>
  <si>
    <t>철산역 사랑니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</si>
  <si>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{ㄱㄴㅁㅇㅇㅁ}
정답 : &lt;6&gt; 글자
* 정답란에 띄어쓰기 없이 입력 후 제출해주세요.</t>
  </si>
  <si>
    <t>철산동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</si>
  <si>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{ㅅㄴㅈㅅㅁ}
정답 : &lt;5&gt; 글자
* 정답란에 띄어쓰기 없이 입력 후 제출해주세요.</t>
  </si>
  <si>
    <t>https://m.place.naver.com/hospital/1247209176</t>
  </si>
  <si>
    <t>수완동 스케일링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</si>
  <si>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4.[*후의치과의원 광주]플레이스를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{ㅅㅇㄷㅇㅂㄷ}
정답 : &lt;6&gt; 글자
* 정답란에 띄어쓰기 없이 입력 후 제출해주세요.</t>
  </si>
  <si>
    <t>대전 둔산동 형사이혼전문변호사</t>
  </si>
  <si>
    <t>대전 형사이혼전문변호사</t>
  </si>
  <si>
    <t>둔산동 형사이혼전문변호사 추천</t>
  </si>
  <si>
    <t>01월 29일 마감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</si>
  <si>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</si>
  <si>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2월세팅 완~2/9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</si>
  <si>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</si>
  <si>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</si>
  <si>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</si>
  <si>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</si>
  <si>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</si>
  <si>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</si>
  <si>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</si>
  <si>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</si>
  <si>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*울 *양이 [*러스트 *이스] G*imm G*imm.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</si>
  <si>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*울 *양이 [*러스트 *이스] G*imm G*imm.
 ( '광고' 클릭 절대 금지 )
 ▶판매처 : GRimm GRimm.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</si>
  <si>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*울 *양이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</si>
  <si>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*울 *양이 [*러스트 *이스] G*imm G*imm.
 ( '광고' 클릭 절대 금지 )
 ▶판매처 : GRimm GRimm.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</si>
  <si>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*울 *양이 [*러스트 *이스] G*imm G*imm.
 ( '광고' 클릭 절대 금지 )
 ▶판매처 : GRimm GRimm.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</si>
  <si>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</si>
  <si>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</si>
  <si>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</si>
  <si>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</si>
  <si>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소프 led 인싸 3서랍 퀸*대 수납 서*형 프*임
 ( '광고' 클릭 절대 금지 )
 ▶판매처 : 온라인 브랜드가구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</si>
  <si>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보*네오*우스 프*임 LE* 슈퍼*글 침대 *레임 *넬 매트*스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</si>
  <si>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보*네오*우스 프*임 LE* 슈퍼*글 침대 *레임 *넬 매트*스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</si>
  <si>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보*네오*우스 프*임 LE* 슈퍼*글 침대 *레임 *넬 매트*스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</si>
  <si>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보*네오*우스 프*임 LE* 슈퍼*글 침대 *레임 *넬 매트*스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</si>
  <si>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보*네오*우스 프*임 LE* 슈퍼*글 침대 *레임 *넬 매트*스
 ( '광고' 클릭 절대 금지 )
 ▶판매처 : 퍼니처 브랜드몰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</si>
  <si>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열두시간식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</si>
  <si>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( '광고' 클릭 절대 금지 )
 ▶판매처 : 열두시간식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</si>
  <si>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3월세팅 완 ~3/1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</si>
  <si>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( '광고' 클릭 절대 금지 )
 ▶판매처 : 열두시간식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</si>
  <si>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( '광고' 클릭 절대 금지 )
 ▶판매처 : 열두시간식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</si>
  <si>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*븐에 *운 *칼로리 *가슴살 *백질 *낵 *오닭
 ( '광고' 클릭 절대 금지 )
 ▶판매처 : 열두시간식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</si>
  <si>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*담재 *바보드 *이는 *파보드 *프 *테리어 *바 *트월 *IY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고담재 컬렉션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</si>
  <si>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*담재 *바보드 *이는 *파보드 *프 *테리어 *바 *트월 *IY
 ( '광고' 클릭 절대 금지 )
 ▶판매처 : 고담재 컬렉션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</si>
  <si>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*담재 *바보드 *이는 *파보드 *프 *테리어 *바 *트월 *IY
 ( '광고' 클릭 절대 금지 )
 ▶판매처 : 고담재 컬렉션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</si>
  <si>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*담재 *바보드 *이는 *파보드 *프 *테리어 *바 *트월 *IY
 ( '광고' 클릭 절대 금지 )
 ▶판매처 : 고담재 컬렉션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</si>
  <si>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*담재 *바보드 *이는 *파보드 *프 *테리어 *바 *트월 *IY
 ( '광고' 클릭 절대 금지 )
 ▶판매처 : 고담재 컬렉션
 5. 찜하기 클릭
 6. 바로가기 클릭 
 7. 상품 클릭
 8. 링크(url) 복사 후 정답에 붙여넣기 후 제출</t>
    </r>
  </si>
  <si>
    <t>2월 세팅 완~2/8</t>
  </si>
  <si>
    <t>2월 세팅 완~2/28</t>
  </si>
  <si>
    <t>7월 세팅 완~7/3</t>
  </si>
  <si>
    <t>7월 세팅 완~7/1</t>
  </si>
  <si>
    <t>7월 세팅 완 ~7/4</t>
  </si>
  <si>
    <t>&lt;- 150건 미구동 포함 접수</t>
  </si>
  <si>
    <t>8월 미세팅</t>
  </si>
  <si>
    <t>24년~25년 미션광고 리스트</t>
  </si>
  <si>
    <t>https://docs.google.com/spreadsheets/d/1wqK-BA1b4GM5m_IyRr6ShYlJDyKSttuOk_r90uQlM3o/edit?gid=1541035184#gid=1541035184</t>
  </si>
  <si>
    <t>*VAT별도 기준</t>
  </si>
  <si>
    <t xml:space="preserve">
일정
</t>
  </si>
  <si>
    <t>선입금액 (VAT 별도)</t>
  </si>
  <si>
    <t>그룹</t>
  </si>
  <si>
    <t>재흥광고기획</t>
  </si>
  <si>
    <t>입금 합계(일)</t>
  </si>
  <si>
    <t>광고비 환산</t>
  </si>
  <si>
    <t>가용 광고비 합계(월)</t>
  </si>
  <si>
    <t>광고비 소진 합계(월)</t>
  </si>
  <si>
    <t>잔여 광고비</t>
  </si>
  <si>
    <t>전월 잔여 이관</t>
  </si>
  <si>
    <t>전월 잔여 이관 금액에 대해 순매체비로 환산</t>
  </si>
  <si>
    <t>*10월 발생 수수료를 입금액으로 환산</t>
  </si>
  <si>
    <t xml:space="preserve">10/1~10/27 기간 내 입금 총 액의 20% </t>
  </si>
  <si>
    <t>광고비의 80%만 입금 (상계 입금 방식 적용)</t>
  </si>
  <si>
    <t>2025년 05월 마감 후 잔여 금액(입금액-(광고비-수수료)) : -1,807,615원(VAT포함)
2025.06.17 1,807,615원 입금하여 잔여금액 '0원' 정리
정산(타수 기준) 시트로 이관하여 정리</t>
  </si>
  <si>
    <t>총예산 
(120%상향셋팅)</t>
  </si>
  <si>
    <t>주문일</t>
  </si>
  <si>
    <t>대행사검수 여부</t>
  </si>
  <si>
    <t>2차 검수 여부 ( 검수자 K,E,J,Y)</t>
  </si>
  <si>
    <t>현재 상태</t>
  </si>
  <si>
    <t>기준일</t>
  </si>
  <si>
    <t>기준일 기준
일예산 합</t>
  </si>
  <si>
    <t>플레이스</t>
  </si>
  <si>
    <t>쇼핑</t>
  </si>
  <si>
    <t>#REF!</t>
  </si>
</sst>
</file>

<file path=xl/styles.xml><?xml version="1.0" encoding="utf-8"?>
<styleSheet xmlns="http://schemas.openxmlformats.org/spreadsheetml/2006/main">
  <numFmts count="13">
    <numFmt numFmtId="164" formatCode="m/d"/>
    <numFmt numFmtId="165" formatCode="yyyy\-mm\-dd"/>
    <numFmt numFmtId="166" formatCode="#,##0_);\(#,##0\)"/>
    <numFmt numFmtId="167" formatCode="#,##0.0000"/>
    <numFmt numFmtId="168" formatCode="#,##0.000"/>
    <numFmt numFmtId="169" formatCode="#,##0.0"/>
    <numFmt numFmtId="170" formatCode="yyyy&quot;-&quot;mm&quot;-&quot;dd"/>
    <numFmt numFmtId="171" formatCode="mm&quot;-&quot;dd"/>
    <numFmt numFmtId="172" formatCode="#,##0;\(#,##0\)"/>
    <numFmt numFmtId="173" formatCode="m\-d"/>
    <numFmt numFmtId="174" formatCode="mm\-dd"/>
    <numFmt numFmtId="175" formatCode="mm&quot;/&quot;dd"/>
    <numFmt numFmtId="176" formatCode="yyyy&quot;- &quot;m&quot;-&quot;d"/>
  </numFmts>
  <fonts count="77">
    <font>
      <sz val="10.0"/>
      <name val="Arial"/>
      <scheme val="minor"/>
      <color rgb="FF000000"/>
    </font>
    <font>
      <sz val="11.0"/>
      <name val="Arial"/>
      <color theme="1"/>
    </font>
    <font>
      <b/>
      <sz val="11.0"/>
      <name val="Arial"/>
      <color theme="1"/>
    </font>
    <font>
      <sz val="11.0"/>
      <name val="맑은 고딕"/>
      <color rgb="FF000000"/>
    </font>
    <font>
      <sz val="11.0"/>
      <name val="Arial"/>
      <color theme="1"/>
    </font>
    <font>
      <b/>
      <sz val="11.0"/>
      <name val="Arial"/>
      <color rgb="FFFFFFFF"/>
    </font>
    <font>
      <sz val="11.0"/>
      <name val="Aptos Narrow"/>
      <color theme="1"/>
    </font>
    <font>
      <b/>
      <sz val="11.0"/>
      <name val="Arial"/>
      <color rgb="FF0000FF"/>
    </font>
    <font>
      <b/>
      <sz val="11.0"/>
      <name val="Aptos Narrow"/>
      <color rgb="FFFF0000"/>
    </font>
    <font>
      <sz val="11.0"/>
      <name val="&quot;맑은 고딕&quot;"/>
      <color theme="1"/>
    </font>
    <font>
      <b/>
      <sz val="11.0"/>
      <name val="Aptos Narrow"/>
      <color theme="1"/>
    </font>
    <font>
      <b/>
      <sz val="11.0"/>
      <name val="Aptos Narrow"/>
      <color rgb="FF0000FF"/>
    </font>
    <font>
      <sz val="11.0"/>
      <name val="Arial"/>
      <scheme val="minor"/>
      <color theme="1"/>
    </font>
    <font>
      <b/>
      <sz val="11.0"/>
      <name val="Malgun Gothic"/>
      <color theme="1"/>
    </font>
    <font>
      <sz val="11.0"/>
      <name val="Malgun Gothic"/>
      <color theme="1"/>
    </font>
    <font>
      <sz val="11.0"/>
      <name val="Arial"/>
      <color rgb="FFFFFFFF"/>
    </font>
    <font>
      <sz val="11.0"/>
      <name val="&quot;맑은 고딕&quot;"/>
      <color rgb="FF000000"/>
    </font>
    <font>
      <b/>
      <sz val="11.0"/>
      <name val="&quot;맑은 고딕&quot;"/>
      <color rgb="FF000000"/>
    </font>
    <font>
      <u/>
      <sz val="11.0"/>
      <name val="Arial"/>
      <color rgb="FF1155CC"/>
    </font>
    <font>
      <u/>
      <sz val="11.0"/>
      <name val="Arial"/>
      <color rgb="FF0000FF"/>
    </font>
    <font>
      <sz val="11.0"/>
      <name val="Arial"/>
      <color rgb="FF1155CC"/>
    </font>
    <font>
      <sz val="11.0"/>
      <name val="Arial"/>
      <color rgb="FF000000"/>
    </font>
    <font>
      <sz val="10.0"/>
      <name val="Arial"/>
      <color theme="1"/>
    </font>
    <font>
      <sz val="11.0"/>
      <name val="Roboto"/>
      <color theme="1"/>
    </font>
    <font>
      <sz val="10.0"/>
      <name val="Arial"/>
      <color rgb="FF000000"/>
    </font>
    <font>
      <u/>
      <sz val="10.0"/>
      <name val="Arial"/>
      <color rgb="FF1155CC"/>
    </font>
    <font>
      <sz val="11.0"/>
      <name val="Arial"/>
      <scheme val="minor"/>
      <color rgb="FF000000"/>
    </font>
    <font>
      <sz val="10.0"/>
      <name val="Arial"/>
      <scheme val="minor"/>
      <color theme="1"/>
    </font>
    <font>
      <sz val="11.0"/>
      <name val="Arial"/>
      <color rgb="FFFF0000"/>
    </font>
    <font>
      <sz val="11.0"/>
      <name val="Arial"/>
      <color rgb="FF1C1C1C"/>
    </font>
    <font>
      <u/>
      <sz val="11.0"/>
      <name val="맑은 고딕"/>
      <color rgb="FF0000FF"/>
    </font>
    <font>
      <u/>
      <sz val="10.0"/>
      <name val="Arial"/>
      <color rgb="FF0000FF"/>
    </font>
    <font>
      <sz val="11.0"/>
      <name val="Arial"/>
      <color rgb="FF0000FF"/>
    </font>
    <font>
      <sz val="10.0"/>
      <name val="Aptos Narrow"/>
      <color theme="1"/>
    </font>
    <font>
      <sz val="11.0"/>
      <name val="Noto Sans KR"/>
      <color theme="1"/>
    </font>
    <font>
      <sz val="11.0"/>
      <name val="Helvetica"/>
      <color theme="1"/>
    </font>
    <font>
      <sz val="11.0"/>
      <name val="-apple-system"/>
      <color rgb="FF222225"/>
    </font>
    <font>
      <sz val="11.0"/>
      <name val="Noto Sans"/>
      <color rgb="FF222222"/>
    </font>
    <font>
      <sz val="11.0"/>
      <name val="Calibri"/>
      <color theme="1"/>
    </font>
    <font>
      <sz val="10.0"/>
      <name val="Helvetica"/>
      <color theme="1"/>
    </font>
    <font>
      <sz val="11.0"/>
      <name val="Aptos Narrow"/>
      <color rgb="FF000000"/>
    </font>
    <font>
      <b/>
      <sz val="13.0"/>
      <name val="Arial"/>
      <color theme="5"/>
    </font>
    <font>
      <sz val="11.0"/>
      <name val="Aptos Narrow"/>
      <color rgb="FFFF0000"/>
    </font>
    <font>
      <b/>
      <sz val="11.0"/>
      <name val="Arial"/>
      <color rgb="FFFF0000"/>
    </font>
    <font>
      <b/>
      <sz val="11.0"/>
      <name val="Arial"/>
      <color rgb="FF000000"/>
    </font>
    <font>
      <b/>
      <sz val="11.0"/>
      <name val="Arial"/>
      <color theme="5"/>
    </font>
    <font>
      <sz val="11.0"/>
      <name val="Arial"/>
      <color rgb="FF9900FF"/>
    </font>
    <font>
      <b/>
      <sz val="8.0"/>
      <name val="Arial"/>
      <color rgb="FFEA4335"/>
    </font>
    <font>
      <b/>
      <sz val="14.0"/>
      <name val="Arial"/>
      <color theme="1"/>
    </font>
    <font>
      <sz val="11.0"/>
      <name val="&quot;맑은 고딕&quot;"/>
      <color rgb="FF0070C0"/>
    </font>
    <font>
      <sz val="1.0"/>
      <name val="Arial"/>
      <color theme="1"/>
    </font>
    <font>
      <sz val="1.0"/>
      <name val="Arial"/>
      <color rgb="FFFF0000"/>
    </font>
    <font>
      <u/>
      <sz val="1.0"/>
      <name val="Arial"/>
      <color rgb="FF1155CC"/>
    </font>
    <font>
      <sz val="1.0"/>
      <name val="Arial"/>
      <color rgb="FF0000FF"/>
    </font>
    <font>
      <sz val="1.0"/>
      <name val="Arial"/>
      <color rgb="FF000000"/>
    </font>
    <font>
      <sz val="1.0"/>
      <name val="Arial"/>
      <color rgb="FF4A86E8"/>
    </font>
    <font>
      <sz val="10.0"/>
      <name val="Arial"/>
      <color theme="1"/>
    </font>
    <font>
      <sz val="10.0"/>
      <name val="Arial"/>
      <color rgb="FFFF0000"/>
    </font>
    <font>
      <u/>
      <sz val="11.0"/>
      <name val="Arial"/>
      <scheme val="minor"/>
      <color theme="10"/>
    </font>
    <font>
      <u/>
      <sz val="11.0"/>
      <name val="Arial"/>
      <scheme val="minor"/>
      <color theme="11"/>
    </font>
    <font>
      <sz val="11.0"/>
      <name val="Arial"/>
      <scheme val="minor"/>
      <color rgb="FFFF0000"/>
    </font>
    <font>
      <sz val="18.0"/>
      <name val="Arial"/>
      <scheme val="minor"/>
      <color theme="3"/>
    </font>
    <font>
      <b/>
      <sz val="15.0"/>
      <name val="Arial"/>
      <scheme val="minor"/>
      <color theme="3"/>
    </font>
    <font>
      <b/>
      <sz val="13.0"/>
      <name val="Arial"/>
      <scheme val="minor"/>
      <color theme="3"/>
    </font>
    <font>
      <b/>
      <sz val="11.0"/>
      <name val="Arial"/>
      <scheme val="minor"/>
      <color theme="3"/>
    </font>
    <font>
      <sz val="11.0"/>
      <name val="Arial"/>
      <scheme val="minor"/>
      <color rgb="FF3F3F76"/>
    </font>
    <font>
      <b/>
      <sz val="11.0"/>
      <name val="Arial"/>
      <scheme val="minor"/>
      <color rgb="FF3F3F3F"/>
    </font>
    <font>
      <b/>
      <sz val="11.0"/>
      <name val="Arial"/>
      <scheme val="minor"/>
      <color rgb="FFFA7D00"/>
    </font>
    <font>
      <b/>
      <sz val="11.0"/>
      <name val="Arial"/>
      <scheme val="minor"/>
      <color rgb="FFFFFFFF"/>
    </font>
    <font>
      <sz val="11.0"/>
      <name val="Arial"/>
      <scheme val="minor"/>
      <color rgb="FFFA7D00"/>
    </font>
    <font>
      <b/>
      <sz val="11.0"/>
      <name val="Arial"/>
      <scheme val="minor"/>
      <color theme="1"/>
    </font>
    <font>
      <sz val="11.0"/>
      <name val="Arial"/>
      <scheme val="minor"/>
      <color rgb="FF006100"/>
    </font>
    <font>
      <sz val="11.0"/>
      <name val="Arial"/>
      <scheme val="minor"/>
      <color rgb="FF9C0006"/>
    </font>
    <font>
      <sz val="11.0"/>
      <name val="Arial"/>
      <scheme val="minor"/>
      <color rgb="FF9C6500"/>
    </font>
    <font>
      <sz val="11.0"/>
      <name val="Arial"/>
      <scheme val="minor"/>
      <color theme="0"/>
    </font>
    <font>
      <i/>
      <sz val="11.0"/>
      <name val="Arial"/>
      <scheme val="minor"/>
      <color rgb="FF7F7F7F"/>
    </font>
    <font>
      <sz val="10.0"/>
      <name val="돋움"/>
      <color rgb="FF000000"/>
    </font>
  </fonts>
  <fills count="68">
    <fill>
      <patternFill patternType="none"/>
    </fill>
    <fill>
      <patternFill patternType="lightGray">
        <fgColor rgb="FF000000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DDDDD"/>
        <bgColor rgb="FFDDDDDD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76A5AF"/>
        <bgColor rgb="FF76A5AF"/>
      </patternFill>
    </fill>
    <fill>
      <patternFill patternType="solid">
        <fgColor rgb="FF9900FF"/>
        <bgColor rgb="FF9900FF"/>
      </patternFill>
    </fill>
    <fill>
      <patternFill patternType="solid">
        <fgColor rgb="FFCAEDFB"/>
        <bgColor rgb="FFCAEDFB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41">
    <border>
      <diagonal/>
    </border>
    <border>
      <left style="medium">
        <color rgb="FF000000"/>
      </left>
      <top style="medium">
        <color rgb="FF000000"/>
      </top>
      <diagonal/>
    </border>
    <border>
      <top style="medium">
        <color rgb="FF000000"/>
      </top>
      <diagonal/>
    </border>
    <border>
      <right style="medium">
        <color rgb="FF000000"/>
      </right>
      <top style="medium">
        <color rgb="FF000000"/>
      </top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top style="thin">
        <color rgb="FF000000"/>
      </top>
      <bottom style="dotted">
        <color rgb="FF000000"/>
      </bottom>
      <diagonal/>
    </border>
    <border>
      <right style="dotted">
        <color rgb="FF000000"/>
      </right>
      <top style="thin">
        <color rgb="FF000000"/>
      </top>
      <bottom style="dotted">
        <color rgb="FF000000"/>
      </bottom>
      <diagonal/>
    </border>
    <border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right style="thin">
        <color rgb="FF000000"/>
      </right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diagonal/>
    </border>
    <border>
      <left style="thin">
        <color rgb="FF000000"/>
      </left>
      <right style="thin">
        <color rgb="FF000000"/>
      </right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  <diagonal/>
    </border>
    <border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A6A6A6"/>
      </bottom>
      <diagonal/>
    </border>
    <border>
      <right style="thin">
        <color rgb="FFA6A6A6"/>
      </right>
      <diagonal/>
    </border>
    <border>
      <right style="thin">
        <color rgb="FF000000"/>
      </right>
      <bottom style="thin">
        <color rgb="FF000000"/>
      </bottom>
      <diagonal/>
    </border>
    <border>
      <top style="thin">
        <color rgb="FF000000"/>
      </top>
      <diagonal/>
    </border>
    <border>
      <bottom style="thin">
        <color rgb="FF000000"/>
      </bottom>
      <diagonal/>
    </border>
    <border>
      <bottom style="thin">
        <color rgb="FFCDCDCD"/>
      </bottom>
      <diagonal/>
    </border>
    <border>
      <left style="thin">
        <color rgb="FF000000"/>
      </left>
      <top style="thin">
        <color rgb="FF000000"/>
      </top>
      <diagonal/>
    </border>
    <border>
      <right style="thin">
        <color rgb="FF000000"/>
      </right>
      <top style="thin">
        <color rgb="FF000000"/>
      </top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58" fillId="0" borderId="0" applyAlignment="0" applyBorder="0" applyFill="0" applyNumberFormat="0" applyProtection="0">
      <alignment vertical="center"/>
    </xf>
    <xf numFmtId="0" fontId="59" fillId="0" borderId="0" applyAlignment="0" applyBorder="0" applyFill="0" applyNumberFormat="0" applyProtection="0">
      <alignment vertical="center"/>
    </xf>
    <xf numFmtId="0" fontId="0" fillId="37" borderId="32" applyAlignment="0" applyFont="0" applyNumberFormat="0" applyProtection="0">
      <alignment vertical="center"/>
    </xf>
    <xf numFmtId="0" fontId="60" fillId="0" borderId="0" applyAlignment="0" applyBorder="0" applyFill="0" applyNumberFormat="0" applyProtection="0">
      <alignment vertical="center"/>
    </xf>
    <xf numFmtId="0" fontId="61" fillId="0" borderId="0" applyAlignment="0" applyBorder="0" applyFill="0" applyNumberFormat="0" applyProtection="0">
      <alignment vertical="center"/>
    </xf>
    <xf numFmtId="0" fontId="62" fillId="0" borderId="33" applyAlignment="0" applyFill="0" applyNumberFormat="0" applyProtection="0">
      <alignment vertical="center"/>
    </xf>
    <xf numFmtId="0" fontId="63" fillId="0" borderId="34" applyAlignment="0" applyFill="0" applyNumberFormat="0" applyProtection="0">
      <alignment vertical="center"/>
    </xf>
    <xf numFmtId="0" fontId="64" fillId="0" borderId="35" applyAlignment="0" applyFill="0" applyNumberFormat="0" applyProtection="0">
      <alignment vertical="center"/>
    </xf>
    <xf numFmtId="0" fontId="64" fillId="0" borderId="0" applyAlignment="0" applyBorder="0" applyFill="0" applyNumberFormat="0" applyProtection="0">
      <alignment vertical="center"/>
    </xf>
    <xf numFmtId="0" fontId="65" fillId="38" borderId="36" applyAlignment="0" applyNumberFormat="0" applyProtection="0">
      <alignment vertical="center"/>
    </xf>
    <xf numFmtId="0" fontId="66" fillId="39" borderId="37" applyAlignment="0" applyNumberFormat="0" applyProtection="0">
      <alignment vertical="center"/>
    </xf>
    <xf numFmtId="0" fontId="67" fillId="39" borderId="36" applyAlignment="0" applyNumberFormat="0" applyProtection="0">
      <alignment vertical="center"/>
    </xf>
    <xf numFmtId="0" fontId="68" fillId="40" borderId="38" applyAlignment="0" applyNumberFormat="0" applyProtection="0">
      <alignment vertical="center"/>
    </xf>
    <xf numFmtId="0" fontId="69" fillId="0" borderId="39" applyAlignment="0" applyFill="0" applyNumberFormat="0" applyProtection="0">
      <alignment vertical="center"/>
    </xf>
    <xf numFmtId="0" fontId="70" fillId="0" borderId="40" applyAlignment="0" applyFill="0" applyNumberFormat="0" applyProtection="0">
      <alignment vertical="center"/>
    </xf>
    <xf numFmtId="0" fontId="71" fillId="41" borderId="0" applyAlignment="0" applyBorder="0" applyNumberFormat="0" applyProtection="0">
      <alignment vertical="center"/>
    </xf>
    <xf numFmtId="0" fontId="72" fillId="42" borderId="0" applyAlignment="0" applyBorder="0" applyNumberFormat="0" applyProtection="0">
      <alignment vertical="center"/>
    </xf>
    <xf numFmtId="0" fontId="73" fillId="43" borderId="0" applyAlignment="0" applyBorder="0" applyNumberFormat="0" applyProtection="0">
      <alignment vertical="center"/>
    </xf>
    <xf numFmtId="0" fontId="74" fillId="44" borderId="0" applyAlignment="0" applyBorder="0" applyNumberFormat="0" applyProtection="0">
      <alignment vertical="center"/>
    </xf>
    <xf numFmtId="0" fontId="12" fillId="45" borderId="0" applyAlignment="0" applyBorder="0" applyNumberFormat="0" applyProtection="0">
      <alignment vertical="center"/>
    </xf>
    <xf numFmtId="0" fontId="12" fillId="46" borderId="0" applyAlignment="0" applyBorder="0" applyNumberFormat="0" applyProtection="0">
      <alignment vertical="center"/>
    </xf>
    <xf numFmtId="0" fontId="74" fillId="47" borderId="0" applyAlignment="0" applyBorder="0" applyNumberFormat="0" applyProtection="0">
      <alignment vertical="center"/>
    </xf>
    <xf numFmtId="0" fontId="74" fillId="48" borderId="0" applyAlignment="0" applyBorder="0" applyNumberFormat="0" applyProtection="0">
      <alignment vertical="center"/>
    </xf>
    <xf numFmtId="0" fontId="12" fillId="49" borderId="0" applyAlignment="0" applyBorder="0" applyNumberFormat="0" applyProtection="0">
      <alignment vertical="center"/>
    </xf>
    <xf numFmtId="0" fontId="12" fillId="50" borderId="0" applyAlignment="0" applyBorder="0" applyNumberFormat="0" applyProtection="0">
      <alignment vertical="center"/>
    </xf>
    <xf numFmtId="0" fontId="74" fillId="51" borderId="0" applyAlignment="0" applyBorder="0" applyNumberFormat="0" applyProtection="0">
      <alignment vertical="center"/>
    </xf>
    <xf numFmtId="0" fontId="74" fillId="52" borderId="0" applyAlignment="0" applyBorder="0" applyNumberFormat="0" applyProtection="0">
      <alignment vertical="center"/>
    </xf>
    <xf numFmtId="0" fontId="12" fillId="53" borderId="0" applyAlignment="0" applyBorder="0" applyNumberFormat="0" applyProtection="0">
      <alignment vertical="center"/>
    </xf>
    <xf numFmtId="0" fontId="12" fillId="54" borderId="0" applyAlignment="0" applyBorder="0" applyNumberFormat="0" applyProtection="0">
      <alignment vertical="center"/>
    </xf>
    <xf numFmtId="0" fontId="74" fillId="55" borderId="0" applyAlignment="0" applyBorder="0" applyNumberFormat="0" applyProtection="0">
      <alignment vertical="center"/>
    </xf>
    <xf numFmtId="0" fontId="74" fillId="56" borderId="0" applyAlignment="0" applyBorder="0" applyNumberFormat="0" applyProtection="0">
      <alignment vertical="center"/>
    </xf>
    <xf numFmtId="0" fontId="12" fillId="57" borderId="0" applyAlignment="0" applyBorder="0" applyNumberFormat="0" applyProtection="0">
      <alignment vertical="center"/>
    </xf>
    <xf numFmtId="0" fontId="12" fillId="58" borderId="0" applyAlignment="0" applyBorder="0" applyNumberFormat="0" applyProtection="0">
      <alignment vertical="center"/>
    </xf>
    <xf numFmtId="0" fontId="74" fillId="59" borderId="0" applyAlignment="0" applyBorder="0" applyNumberFormat="0" applyProtection="0">
      <alignment vertical="center"/>
    </xf>
    <xf numFmtId="0" fontId="74" fillId="60" borderId="0" applyAlignment="0" applyBorder="0" applyNumberFormat="0" applyProtection="0">
      <alignment vertical="center"/>
    </xf>
    <xf numFmtId="0" fontId="12" fillId="61" borderId="0" applyAlignment="0" applyBorder="0" applyNumberFormat="0" applyProtection="0">
      <alignment vertical="center"/>
    </xf>
    <xf numFmtId="0" fontId="12" fillId="62" borderId="0" applyAlignment="0" applyBorder="0" applyNumberFormat="0" applyProtection="0">
      <alignment vertical="center"/>
    </xf>
    <xf numFmtId="0" fontId="74" fillId="63" borderId="0" applyAlignment="0" applyBorder="0" applyNumberFormat="0" applyProtection="0">
      <alignment vertical="center"/>
    </xf>
    <xf numFmtId="0" fontId="74" fillId="64" borderId="0" applyAlignment="0" applyBorder="0" applyNumberFormat="0" applyProtection="0">
      <alignment vertical="center"/>
    </xf>
    <xf numFmtId="0" fontId="12" fillId="65" borderId="0" applyAlignment="0" applyBorder="0" applyNumberFormat="0" applyProtection="0">
      <alignment vertical="center"/>
    </xf>
    <xf numFmtId="0" fontId="12" fillId="66" borderId="0" applyAlignment="0" applyBorder="0" applyNumberFormat="0" applyProtection="0">
      <alignment vertical="center"/>
    </xf>
    <xf numFmtId="0" fontId="74" fillId="67" borderId="0" applyAlignment="0" applyBorder="0" applyNumberFormat="0" applyProtection="0">
      <alignment vertical="center"/>
    </xf>
    <xf numFmtId="0" fontId="75" fillId="0" borderId="0" applyAlignment="0" applyBorder="0" applyFill="0" applyNumberFormat="0" applyProtection="0">
      <alignment vertical="center"/>
    </xf>
  </cellStyleXfs>
  <cellXfs count="555">
    <xf numFmtId="0" fontId="0" fillId="0" borderId="0" xfId="0" applyAlignment="1">
      <alignment wrapText="1"/>
    </xf>
    <xf numFmtId="0" fontId="1" fillId="0" borderId="0" xfId="0" applyAlignment="1"/>
    <xf numFmtId="0" fontId="1" fillId="2" borderId="0" xfId="0" applyFill="1" applyAlignment="1"/>
    <xf numFmtId="0" fontId="1" fillId="3" borderId="0" xfId="0" applyFill="1" applyAlignment="1"/>
    <xf numFmtId="0" fontId="1" fillId="4" borderId="0" xfId="0" applyFill="1" applyAlignment="1"/>
    <xf numFmtId="0" fontId="2" fillId="5" borderId="1" xfId="0" applyFill="1" applyBorder="1" applyAlignment="1">
      <alignment horizontal="center"/>
    </xf>
    <xf numFmtId="0" fontId="3" fillId="0" borderId="2" xfId="0" applyBorder="1"/>
    <xf numFmtId="0" fontId="3" fillId="0" borderId="3" xfId="0" applyBorder="1"/>
    <xf numFmtId="0" fontId="4" fillId="6" borderId="0" xfId="0" applyFill="1" applyAlignment="1">
      <alignment horizontal="center"/>
    </xf>
    <xf numFmtId="0" fontId="2" fillId="5" borderId="0" xfId="0" applyAlignment="1">
      <alignment horizontal="center"/>
    </xf>
    <xf numFmtId="0" fontId="4" fillId="5" borderId="4" xfId="0" applyBorder="1" applyAlignment="1">
      <alignment horizontal="center"/>
    </xf>
    <xf numFmtId="3" fontId="4" fillId="7" borderId="5" xfId="0" applyNumberFormat="1" applyFill="1" applyBorder="1" applyAlignment="1">
      <alignment horizontal="center"/>
    </xf>
    <xf numFmtId="0" fontId="2" fillId="2" borderId="0" xfId="0" applyAlignment="1">
      <alignment horizontal="center"/>
    </xf>
    <xf numFmtId="0" fontId="4" fillId="5" borderId="0" xfId="0" applyAlignment="1"/>
    <xf numFmtId="3" fontId="4" fillId="5" borderId="5" xfId="0" applyNumberFormat="1" applyBorder="1" applyAlignment="1">
      <alignment horizontal="center"/>
    </xf>
    <xf numFmtId="0" fontId="2" fillId="0" borderId="0" xfId="0" applyAlignment="1">
      <alignment horizontal="center" vertical="center"/>
    </xf>
    <xf numFmtId="9" fontId="4" fillId="5" borderId="5" xfId="0" applyNumberFormat="1" applyBorder="1" applyAlignment="1">
      <alignment horizontal="center"/>
    </xf>
    <xf numFmtId="0" fontId="2" fillId="2" borderId="6" xfId="0" applyBorder="1" applyAlignment="1">
      <alignment horizontal="center"/>
    </xf>
    <xf numFmtId="0" fontId="2" fillId="2" borderId="7" xfId="0" applyBorder="1" applyAlignment="1">
      <alignment horizontal="center"/>
    </xf>
    <xf numFmtId="0" fontId="2" fillId="2" borderId="8" xfId="0" applyBorder="1" applyAlignment="1">
      <alignment horizontal="center"/>
    </xf>
    <xf numFmtId="0" fontId="3" fillId="0" borderId="9" xfId="0" applyBorder="1"/>
    <xf numFmtId="0" fontId="2" fillId="0" borderId="7" xfId="0" applyBorder="1" applyAlignment="1">
      <alignment horizontal="center"/>
    </xf>
    <xf numFmtId="0" fontId="4" fillId="3" borderId="7" xfId="0" applyBorder="1" applyAlignment="1">
      <alignment horizontal="center"/>
    </xf>
    <xf numFmtId="0" fontId="5" fillId="4" borderId="7" xfId="0" applyBorder="1" applyAlignment="1">
      <alignment horizontal="center"/>
    </xf>
    <xf numFmtId="0" fontId="2" fillId="5" borderId="7" xfId="0" applyBorder="1" applyAlignment="1">
      <alignment horizontal="center"/>
    </xf>
    <xf numFmtId="0" fontId="2" fillId="5" borderId="8" xfId="0" applyBorder="1" applyAlignment="1">
      <alignment horizontal="center"/>
    </xf>
    <xf numFmtId="0" fontId="3" fillId="0" borderId="10" xfId="0" applyBorder="1"/>
    <xf numFmtId="3" fontId="6" fillId="5" borderId="5" xfId="0" applyNumberFormat="1" applyBorder="1" applyAlignment="1">
      <alignment horizontal="center"/>
    </xf>
    <xf numFmtId="0" fontId="1" fillId="2" borderId="11" xfId="0" applyBorder="1" applyAlignment="1"/>
    <xf numFmtId="0" fontId="1" fillId="2" borderId="12" xfId="0" applyBorder="1" applyAlignment="1"/>
    <xf numFmtId="3" fontId="4" fillId="2" borderId="12" xfId="0" applyNumberFormat="1" applyBorder="1" applyAlignment="1"/>
    <xf numFmtId="3" fontId="4" fillId="0" borderId="12" xfId="0" applyNumberFormat="1" applyBorder="1" applyAlignment="1">
      <alignment horizontal="center"/>
    </xf>
    <xf numFmtId="3" fontId="4" fillId="3" borderId="12" xfId="0" applyNumberFormat="1" applyBorder="1" applyAlignment="1">
      <alignment horizontal="center"/>
    </xf>
    <xf numFmtId="0" fontId="1" fillId="4" borderId="12" xfId="0" applyBorder="1" applyAlignment="1"/>
    <xf numFmtId="0" fontId="4" fillId="0" borderId="12" xfId="0" applyBorder="1" applyAlignment="1">
      <alignment horizontal="center"/>
    </xf>
    <xf numFmtId="3" fontId="4" fillId="0" borderId="12" xfId="0" applyNumberFormat="1" applyBorder="1" applyAlignment="1"/>
    <xf numFmtId="0" fontId="4" fillId="5" borderId="13" xfId="0" applyBorder="1" applyAlignment="1"/>
    <xf numFmtId="0" fontId="4" fillId="5" borderId="14" xfId="0" applyBorder="1" applyAlignment="1"/>
    <xf numFmtId="0" fontId="4" fillId="5" borderId="15" xfId="0" applyBorder="1" applyAlignment="1">
      <alignment horizontal="center"/>
    </xf>
    <xf numFmtId="3" fontId="6" fillId="7" borderId="16" xfId="0" applyNumberFormat="1" applyBorder="1" applyAlignment="1">
      <alignment horizontal="center"/>
    </xf>
    <xf numFmtId="0" fontId="4" fillId="2" borderId="17" xfId="0" applyBorder="1" applyAlignment="1">
      <alignment horizontal="center" vertical="center"/>
    </xf>
    <xf numFmtId="0" fontId="7" fillId="2" borderId="18" xfId="0" applyBorder="1" applyAlignment="1">
      <alignment horizontal="center"/>
    </xf>
    <xf numFmtId="3" fontId="4" fillId="5" borderId="18" xfId="0" applyNumberFormat="1" applyBorder="1" applyAlignment="1">
      <alignment horizontal="right"/>
    </xf>
    <xf numFmtId="3" fontId="4" fillId="0" borderId="18" xfId="0" applyNumberFormat="1" applyBorder="1" applyAlignment="1">
      <alignment horizontal="right"/>
    </xf>
    <xf numFmtId="3" fontId="4" fillId="3" borderId="18" xfId="0" applyNumberFormat="1" applyBorder="1" applyAlignment="1">
      <alignment horizontal="right"/>
    </xf>
    <xf numFmtId="0" fontId="5" fillId="4" borderId="18" xfId="0" applyBorder="1" applyAlignment="1">
      <alignment horizontal="center"/>
    </xf>
    <xf numFmtId="3" fontId="6" fillId="0" borderId="17" xfId="0" applyNumberFormat="1" applyBorder="1" applyAlignment="1">
      <alignment horizontal="right" vertical="center"/>
    </xf>
    <xf numFmtId="3" fontId="4" fillId="8" borderId="17" xfId="0" applyNumberFormat="1" applyFill="1" applyBorder="1" applyAlignment="1">
      <alignment horizontal="right" vertical="center"/>
    </xf>
    <xf numFmtId="3" fontId="4" fillId="8" borderId="17" xfId="0" applyNumberFormat="1" applyBorder="1" applyAlignment="1">
      <alignment horizontal="right" vertical="center"/>
    </xf>
    <xf numFmtId="3" fontId="8" fillId="8" borderId="17" xfId="0" applyNumberFormat="1" applyBorder="1" applyAlignment="1">
      <alignment horizontal="right" vertical="center"/>
    </xf>
    <xf numFmtId="3" fontId="7" fillId="5" borderId="17" xfId="0" applyNumberFormat="1" applyBorder="1" applyAlignment="1">
      <alignment horizontal="right" vertical="center"/>
    </xf>
    <xf numFmtId="3" fontId="7" fillId="5" borderId="17" xfId="0" applyNumberFormat="1" applyBorder="1" applyAlignment="1">
      <alignment vertical="center"/>
    </xf>
    <xf numFmtId="0" fontId="3" fillId="0" borderId="19" xfId="0" applyBorder="1"/>
    <xf numFmtId="164" fontId="4" fillId="2" borderId="18" xfId="0" applyNumberFormat="1" applyBorder="1" applyAlignment="1">
      <alignment horizontal="center"/>
    </xf>
    <xf numFmtId="3" fontId="4" fillId="2" borderId="18" xfId="0" applyNumberFormat="1" applyBorder="1" applyAlignment="1">
      <alignment horizontal="right"/>
    </xf>
    <xf numFmtId="3" fontId="6" fillId="0" borderId="18" xfId="0" applyNumberFormat="1" applyBorder="1" applyAlignment="1">
      <alignment horizontal="right"/>
    </xf>
    <xf numFmtId="3" fontId="1" fillId="0" borderId="0" xfId="0" applyNumberFormat="1" applyAlignment="1"/>
    <xf numFmtId="3" fontId="6" fillId="2" borderId="18" xfId="0" applyNumberFormat="1" applyBorder="1" applyAlignment="1">
      <alignment horizontal="right"/>
    </xf>
    <xf numFmtId="0" fontId="3" fillId="0" borderId="20" xfId="0" applyBorder="1"/>
    <xf numFmtId="164" fontId="6" fillId="2" borderId="17" xfId="0" applyNumberFormat="1" applyBorder="1" applyAlignment="1">
      <alignment horizontal="center"/>
    </xf>
    <xf numFmtId="2" fontId="6" fillId="2" borderId="17" xfId="0" applyNumberFormat="1" applyBorder="1" applyAlignment="1">
      <alignment horizontal="right"/>
    </xf>
    <xf numFmtId="3" fontId="6" fillId="0" borderId="17" xfId="0" applyNumberFormat="1" applyBorder="1" applyAlignment="1">
      <alignment horizontal="right"/>
    </xf>
    <xf numFmtId="3" fontId="4" fillId="3" borderId="17" xfId="0" applyNumberFormat="1" applyBorder="1" applyAlignment="1">
      <alignment horizontal="right"/>
    </xf>
    <xf numFmtId="0" fontId="5" fillId="4" borderId="17" xfId="0" applyBorder="1" applyAlignment="1">
      <alignment horizontal="center"/>
    </xf>
    <xf numFmtId="0" fontId="9" fillId="9" borderId="18" xfId="0" applyFill="1" applyBorder="1" applyAlignment="1">
      <alignment wrapText="1"/>
    </xf>
    <xf numFmtId="0" fontId="1" fillId="5" borderId="0" xfId="0" applyAlignment="1"/>
    <xf numFmtId="0" fontId="2" fillId="5" borderId="21" xfId="0" applyBorder="1" applyAlignment="1">
      <alignment horizontal="center"/>
    </xf>
    <xf numFmtId="0" fontId="3" fillId="0" borderId="22" xfId="0" applyBorder="1"/>
    <xf numFmtId="3" fontId="10" fillId="5" borderId="22" xfId="0" applyNumberFormat="1" applyBorder="1" applyAlignment="1">
      <alignment horizontal="right"/>
    </xf>
    <xf numFmtId="0" fontId="1" fillId="5" borderId="22" xfId="0" applyBorder="1" applyAlignment="1"/>
    <xf numFmtId="0" fontId="1" fillId="5" borderId="23" xfId="0" applyBorder="1" applyAlignment="1"/>
    <xf numFmtId="0" fontId="1" fillId="5" borderId="18" xfId="0" applyBorder="1" applyAlignment="1"/>
    <xf numFmtId="165" fontId="1" fillId="0" borderId="0" xfId="0" applyNumberFormat="1" applyAlignment="1">
      <alignment horizontal="right" wrapText="1"/>
    </xf>
    <xf numFmtId="3" fontId="1" fillId="0" borderId="0" xfId="0" applyNumberFormat="1" applyAlignment="1">
      <alignment horizontal="right" wrapText="1"/>
    </xf>
    <xf numFmtId="3" fontId="11" fillId="0" borderId="18" xfId="0" applyNumberFormat="1" applyBorder="1" applyAlignment="1">
      <alignment horizontal="right"/>
    </xf>
    <xf numFmtId="3" fontId="7" fillId="3" borderId="18" xfId="0" applyNumberFormat="1" applyBorder="1" applyAlignment="1">
      <alignment horizontal="right"/>
    </xf>
    <xf numFmtId="0" fontId="1" fillId="4" borderId="18" xfId="0" applyBorder="1"/>
    <xf numFmtId="3" fontId="1" fillId="8" borderId="17" xfId="0" applyNumberFormat="1" applyBorder="1" applyAlignment="1">
      <alignment vertical="center"/>
    </xf>
    <xf numFmtId="3" fontId="7" fillId="0" borderId="17" xfId="0" applyNumberFormat="1" applyBorder="1" applyAlignment="1">
      <alignment vertical="center"/>
    </xf>
    <xf numFmtId="3" fontId="4" fillId="0" borderId="17" xfId="0" applyNumberFormat="1" applyBorder="1" applyAlignment="1">
      <alignment horizontal="right"/>
    </xf>
    <xf numFmtId="9" fontId="1" fillId="0" borderId="0" xfId="0" applyNumberFormat="1" applyAlignment="1"/>
    <xf numFmtId="164" fontId="1" fillId="2" borderId="18" xfId="0" applyNumberFormat="1" applyBorder="1"/>
    <xf numFmtId="2" fontId="1" fillId="2" borderId="18" xfId="0" applyNumberFormat="1" applyBorder="1"/>
    <xf numFmtId="0" fontId="1" fillId="0" borderId="18" xfId="0" applyBorder="1" applyAlignment="1"/>
    <xf numFmtId="3" fontId="7" fillId="7" borderId="17" xfId="0" applyNumberFormat="1" applyBorder="1" applyAlignment="1">
      <alignment vertical="center"/>
    </xf>
    <xf numFmtId="2" fontId="4" fillId="2" borderId="18" xfId="0" applyNumberFormat="1" applyBorder="1" applyAlignment="1">
      <alignment horizontal="right"/>
    </xf>
    <xf numFmtId="0" fontId="4" fillId="2" borderId="18" xfId="0" quotePrefix="1" applyBorder="1" applyAlignment="1">
      <alignment horizontal="center"/>
    </xf>
    <xf numFmtId="166" fontId="4" fillId="3" borderId="18" xfId="0" applyNumberFormat="1" applyBorder="1" applyAlignment="1">
      <alignment horizontal="right"/>
    </xf>
    <xf numFmtId="0" fontId="4" fillId="0" borderId="0" xfId="0" applyAlignment="1"/>
    <xf numFmtId="0" fontId="4" fillId="2" borderId="18" xfId="0" applyBorder="1" applyAlignment="1">
      <alignment horizontal="center"/>
    </xf>
    <xf numFmtId="0" fontId="4" fillId="2" borderId="17" xfId="0" quotePrefix="1" applyBorder="1" applyAlignment="1">
      <alignment horizontal="center" vertical="center"/>
    </xf>
    <xf numFmtId="165" fontId="12" fillId="0" borderId="0" xfId="0" applyNumberFormat="1" applyAlignment="1"/>
    <xf numFmtId="0" fontId="2" fillId="5" borderId="21" xfId="0" quotePrefix="1" applyBorder="1" applyAlignment="1">
      <alignment horizontal="center"/>
    </xf>
    <xf numFmtId="3" fontId="12" fillId="0" borderId="0" xfId="0" applyNumberFormat="1"/>
    <xf numFmtId="166" fontId="12" fillId="0" borderId="0" xfId="0" applyNumberFormat="1" applyAlignment="1"/>
    <xf numFmtId="3" fontId="12" fillId="0" borderId="0" xfId="0" applyNumberFormat="1" applyAlignment="1"/>
    <xf numFmtId="0" fontId="13" fillId="5" borderId="0" xfId="0" applyAlignment="1"/>
    <xf numFmtId="3" fontId="1" fillId="5" borderId="0" xfId="0" applyNumberFormat="1" applyAlignment="1"/>
    <xf numFmtId="0" fontId="13" fillId="5" borderId="24" xfId="0" applyBorder="1" applyAlignment="1"/>
    <xf numFmtId="3" fontId="1" fillId="5" borderId="24" xfId="0" applyNumberFormat="1" applyBorder="1" applyAlignment="1"/>
    <xf numFmtId="0" fontId="1" fillId="0" borderId="24" xfId="0" applyBorder="1" applyAlignment="1"/>
    <xf numFmtId="3" fontId="1" fillId="0" borderId="24" xfId="0" applyNumberFormat="1" applyBorder="1" applyAlignment="1"/>
    <xf numFmtId="0" fontId="14" fillId="10" borderId="25" xfId="0" applyFill="1" applyBorder="1" applyAlignment="1">
      <alignment horizontal="center" vertical="center"/>
    </xf>
    <xf numFmtId="3" fontId="14" fillId="10" borderId="25" xfId="0" applyNumberFormat="1" applyBorder="1" applyAlignment="1">
      <alignment horizontal="center"/>
    </xf>
    <xf numFmtId="0" fontId="14" fillId="11" borderId="25" xfId="0" applyFill="1" applyBorder="1" applyAlignment="1">
      <alignment horizontal="center" vertical="center"/>
    </xf>
    <xf numFmtId="3" fontId="14" fillId="11" borderId="25" xfId="0" applyNumberFormat="1" applyBorder="1" applyAlignment="1">
      <alignment horizontal="center" vertical="center"/>
    </xf>
    <xf numFmtId="0" fontId="14" fillId="11" borderId="25" xfId="0" applyBorder="1" applyAlignment="1">
      <alignment horizontal="center" vertical="center"/>
    </xf>
    <xf numFmtId="0" fontId="15" fillId="12" borderId="0" xfId="0" applyFill="1" applyAlignment="1">
      <alignment horizontal="center"/>
    </xf>
    <xf numFmtId="3" fontId="15" fillId="12" borderId="0" xfId="0" applyNumberFormat="1" applyAlignment="1">
      <alignment horizontal="right"/>
    </xf>
    <xf numFmtId="3" fontId="1" fillId="12" borderId="0" xfId="0" applyNumberFormat="1" applyAlignment="1"/>
    <xf numFmtId="0" fontId="15" fillId="12" borderId="18" xfId="0" applyBorder="1" applyAlignment="1">
      <alignment horizontal="center"/>
    </xf>
    <xf numFmtId="0" fontId="15" fillId="12" borderId="23" xfId="0" applyBorder="1" applyAlignment="1">
      <alignment horizontal="center"/>
    </xf>
    <xf numFmtId="0" fontId="15" fillId="12" borderId="23" xfId="0" applyBorder="1" applyAlignment="1"/>
    <xf numFmtId="0" fontId="1" fillId="7" borderId="0" xfId="0" applyAlignment="1">
      <alignment horizontal="center"/>
    </xf>
    <xf numFmtId="3" fontId="1" fillId="7" borderId="0" xfId="0" applyNumberFormat="1" applyAlignment="1">
      <alignment horizontal="right"/>
    </xf>
    <xf numFmtId="0" fontId="1" fillId="7" borderId="0" xfId="0" applyAlignment="1"/>
    <xf numFmtId="0" fontId="1" fillId="13" borderId="0" xfId="0" applyFill="1" applyAlignment="1"/>
    <xf numFmtId="3" fontId="1" fillId="0" borderId="18" xfId="0" applyNumberFormat="1" applyBorder="1" applyAlignment="1"/>
    <xf numFmtId="3" fontId="1" fillId="5" borderId="26" xfId="0" applyNumberFormat="1" applyBorder="1" applyAlignment="1"/>
    <xf numFmtId="3" fontId="1" fillId="7" borderId="26" xfId="0" applyNumberFormat="1" applyBorder="1" applyAlignment="1"/>
    <xf numFmtId="164" fontId="1" fillId="0" borderId="0" xfId="0" applyNumberFormat="1" applyAlignment="1"/>
    <xf numFmtId="0" fontId="1" fillId="0" borderId="0" xfId="0" applyAlignment="1">
      <alignment horizontal="center"/>
    </xf>
    <xf numFmtId="3" fontId="1" fillId="0" borderId="0" xfId="0" applyNumberFormat="1" applyAlignment="1">
      <alignment horizontal="right"/>
    </xf>
    <xf numFmtId="0" fontId="16" fillId="0" borderId="18" xfId="0" applyBorder="1" applyAlignment="1">
      <alignment wrapText="1"/>
    </xf>
    <xf numFmtId="0" fontId="17" fillId="0" borderId="18" xfId="0" applyBorder="1" applyAlignment="1">
      <alignment horizontal="center" wrapText="1"/>
    </xf>
    <xf numFmtId="0" fontId="16" fillId="0" borderId="18" xfId="0" applyBorder="1" applyAlignment="1">
      <alignment horizontal="right" wrapText="1"/>
    </xf>
    <xf numFmtId="0" fontId="16" fillId="0" borderId="18" xfId="0" applyBorder="1" applyAlignment="1">
      <alignment horizontal="center" wrapText="1"/>
    </xf>
    <xf numFmtId="3" fontId="16" fillId="0" borderId="18" xfId="0" applyNumberFormat="1" applyBorder="1" applyAlignment="1">
      <alignment horizontal="right" wrapText="1"/>
    </xf>
    <xf numFmtId="3" fontId="16" fillId="0" borderId="18" xfId="0" applyNumberFormat="1" applyBorder="1" applyAlignment="1">
      <alignment wrapText="1"/>
    </xf>
    <xf numFmtId="0" fontId="17" fillId="0" borderId="21" xfId="0" applyBorder="1" applyAlignment="1">
      <alignment horizontal="center" wrapText="1"/>
    </xf>
    <xf numFmtId="0" fontId="3" fillId="0" borderId="23" xfId="0" applyBorder="1"/>
    <xf numFmtId="3" fontId="17" fillId="7" borderId="18" xfId="0" applyNumberFormat="1" applyBorder="1" applyAlignment="1">
      <alignment wrapText="1"/>
    </xf>
    <xf numFmtId="0" fontId="17" fillId="14" borderId="18" xfId="0" applyFill="1" applyBorder="1" applyAlignment="1">
      <alignment horizontal="center" wrapText="1"/>
    </xf>
    <xf numFmtId="0" fontId="16" fillId="0" borderId="18" xfId="0" applyBorder="1" applyAlignment="1">
      <alignment horizontal="left" wrapText="1"/>
    </xf>
    <xf numFmtId="167" fontId="1" fillId="0" borderId="0" xfId="0" applyNumberFormat="1" applyAlignment="1"/>
    <xf numFmtId="168" fontId="1" fillId="0" borderId="0" xfId="0" applyNumberFormat="1" applyAlignment="1"/>
    <xf numFmtId="3" fontId="17" fillId="7" borderId="18" xfId="0" applyNumberFormat="1" applyBorder="1" applyAlignment="1">
      <alignment horizontal="right" wrapText="1"/>
    </xf>
    <xf numFmtId="169" fontId="16" fillId="0" borderId="18" xfId="0" applyNumberFormat="1" applyBorder="1" applyAlignment="1">
      <alignment horizontal="right" wrapText="1"/>
    </xf>
    <xf numFmtId="169" fontId="17" fillId="7" borderId="18" xfId="0" applyNumberFormat="1" applyBorder="1" applyAlignment="1">
      <alignment horizontal="right" wrapText="1"/>
    </xf>
    <xf numFmtId="0" fontId="17" fillId="14" borderId="18" xfId="0" quotePrefix="1" applyBorder="1" applyAlignment="1">
      <alignment horizontal="center" wrapText="1"/>
    </xf>
    <xf numFmtId="3" fontId="16" fillId="7" borderId="18" xfId="0" applyNumberFormat="1" applyBorder="1" applyAlignment="1">
      <alignment horizontal="right" wrapText="1"/>
    </xf>
    <xf numFmtId="0" fontId="4" fillId="0" borderId="0" xfId="0" applyAlignment="1">
      <alignment horizontal="center" vertical="center"/>
    </xf>
    <xf numFmtId="0" fontId="4" fillId="10" borderId="0" xfId="0" applyAlignment="1">
      <alignment horizontal="left" vertical="center"/>
    </xf>
    <xf numFmtId="170" fontId="4" fillId="10" borderId="0" xfId="0" applyNumberFormat="1" applyAlignment="1">
      <alignment horizontal="center" vertical="center"/>
    </xf>
    <xf numFmtId="171" fontId="4" fillId="10" borderId="0" xfId="0" applyNumberFormat="1" applyAlignment="1">
      <alignment horizontal="center" vertical="center"/>
    </xf>
    <xf numFmtId="172" fontId="5" fillId="15" borderId="0" xfId="0" applyNumberFormat="1" applyFill="1" applyAlignment="1">
      <alignment horizontal="center" vertical="center"/>
    </xf>
    <xf numFmtId="0" fontId="5" fillId="15" borderId="0" xfId="0" applyAlignment="1">
      <alignment horizontal="center" vertical="center"/>
    </xf>
    <xf numFmtId="0" fontId="2" fillId="16" borderId="0" xfId="0" applyFill="1" applyAlignment="1">
      <alignment horizontal="center" vertical="center"/>
    </xf>
    <xf numFmtId="0" fontId="4" fillId="10" borderId="0" xfId="0" applyAlignment="1">
      <alignment horizontal="center" vertical="center"/>
    </xf>
    <xf numFmtId="0" fontId="4" fillId="17" borderId="0" xfId="0" applyFill="1" applyAlignment="1">
      <alignment horizontal="center" vertical="center"/>
    </xf>
    <xf numFmtId="0" fontId="4" fillId="7" borderId="0" xfId="0" applyAlignment="1">
      <alignment horizontal="center" vertical="center"/>
    </xf>
    <xf numFmtId="0" fontId="2" fillId="13" borderId="0" xfId="0" applyAlignment="1">
      <alignment horizontal="right" vertical="center"/>
    </xf>
    <xf numFmtId="0" fontId="2" fillId="17" borderId="0" xfId="0" applyAlignment="1">
      <alignment horizontal="center" vertical="center"/>
    </xf>
    <xf numFmtId="0" fontId="6" fillId="0" borderId="0" xfId="0" applyAlignment="1">
      <alignment horizontal="left" vertical="center"/>
    </xf>
    <xf numFmtId="0" fontId="6" fillId="5" borderId="0" xfId="0" applyAlignment="1">
      <alignment horizontal="center" vertical="center"/>
    </xf>
    <xf numFmtId="0" fontId="6" fillId="0" borderId="0" xfId="0" applyAlignment="1">
      <alignment horizontal="center" vertical="center"/>
    </xf>
    <xf numFmtId="0" fontId="4" fillId="10" borderId="0" xfId="0" applyAlignment="1">
      <alignment horizontal="center"/>
    </xf>
    <xf numFmtId="171" fontId="1" fillId="18" borderId="0" xfId="0" applyNumberFormat="1" applyFill="1" applyAlignment="1">
      <alignment horizontal="center"/>
    </xf>
    <xf numFmtId="172" fontId="15" fillId="15" borderId="0" xfId="0" applyNumberFormat="1" applyAlignment="1">
      <alignment horizontal="center"/>
    </xf>
    <xf numFmtId="3" fontId="15" fillId="15" borderId="0" xfId="0" applyNumberFormat="1" applyAlignment="1">
      <alignment horizontal="center"/>
    </xf>
    <xf numFmtId="173" fontId="4" fillId="5" borderId="0" xfId="0" applyNumberFormat="1" applyAlignment="1">
      <alignment horizontal="center" vertical="center"/>
    </xf>
    <xf numFmtId="0" fontId="1" fillId="5" borderId="27" xfId="0" applyBorder="1" applyAlignment="1">
      <alignment horizontal="center"/>
    </xf>
    <xf numFmtId="0" fontId="1" fillId="5" borderId="0" xfId="0" applyAlignment="1">
      <alignment horizontal="center"/>
    </xf>
    <xf numFmtId="0" fontId="1" fillId="7" borderId="0" xfId="0" applyAlignment="1">
      <alignment horizontal="right"/>
    </xf>
    <xf numFmtId="0" fontId="18" fillId="5" borderId="0" xfId="0" applyAlignment="1">
      <alignment horizontal="right"/>
    </xf>
    <xf numFmtId="0" fontId="6" fillId="5" borderId="0" xfId="0" applyAlignment="1"/>
    <xf numFmtId="0" fontId="6" fillId="0" borderId="0" xfId="0" applyAlignment="1"/>
    <xf numFmtId="0" fontId="18" fillId="18" borderId="0" xfId="0" applyAlignment="1">
      <alignment horizontal="right"/>
    </xf>
    <xf numFmtId="0" fontId="6" fillId="18" borderId="0" xfId="0" applyAlignment="1"/>
    <xf numFmtId="0" fontId="1" fillId="5" borderId="28" xfId="0" applyBorder="1" applyAlignment="1"/>
    <xf numFmtId="0" fontId="4" fillId="0" borderId="0" xfId="0" applyAlignment="1">
      <alignment horizontal="left"/>
    </xf>
    <xf numFmtId="173" fontId="4" fillId="18" borderId="0" xfId="0" applyNumberFormat="1" applyAlignment="1">
      <alignment horizontal="center" vertical="center"/>
    </xf>
    <xf numFmtId="0" fontId="1" fillId="17" borderId="0" xfId="0" applyAlignment="1"/>
    <xf numFmtId="0" fontId="4" fillId="4" borderId="0" xfId="0" applyAlignment="1"/>
    <xf numFmtId="173" fontId="1" fillId="5" borderId="0" xfId="0" applyNumberFormat="1"/>
    <xf numFmtId="0" fontId="1" fillId="18" borderId="0" xfId="0" applyAlignment="1"/>
    <xf numFmtId="0" fontId="1" fillId="18" borderId="0" xfId="0" applyAlignment="1">
      <alignment horizontal="center"/>
    </xf>
    <xf numFmtId="171" fontId="1" fillId="5" borderId="0" xfId="0" applyNumberFormat="1" applyAlignment="1">
      <alignment horizontal="center"/>
    </xf>
    <xf numFmtId="0" fontId="1" fillId="5" borderId="0" xfId="0" applyAlignment="1">
      <alignment horizontal="left"/>
    </xf>
    <xf numFmtId="0" fontId="4" fillId="5" borderId="0" xfId="0" applyAlignment="1">
      <alignment horizontal="right"/>
    </xf>
    <xf numFmtId="0" fontId="4" fillId="18" borderId="0" xfId="0" applyAlignment="1">
      <alignment horizontal="right"/>
    </xf>
    <xf numFmtId="0" fontId="18" fillId="18" borderId="0" xfId="0" applyAlignment="1"/>
    <xf numFmtId="0" fontId="4" fillId="18" borderId="0" xfId="0" applyAlignment="1"/>
    <xf numFmtId="0" fontId="1" fillId="0" borderId="0" xfId="0"/>
    <xf numFmtId="3" fontId="4" fillId="18" borderId="0" xfId="0" applyNumberFormat="1" applyAlignment="1">
      <alignment horizontal="center"/>
    </xf>
    <xf numFmtId="0" fontId="1" fillId="19" borderId="0" xfId="0" applyFill="1" applyAlignment="1"/>
    <xf numFmtId="3" fontId="4" fillId="5" borderId="0" xfId="0" applyNumberFormat="1" applyAlignment="1">
      <alignment horizontal="center"/>
    </xf>
    <xf numFmtId="0" fontId="1" fillId="18" borderId="27" xfId="0" applyBorder="1" applyAlignment="1">
      <alignment horizontal="center"/>
    </xf>
    <xf numFmtId="0" fontId="18" fillId="5" borderId="0" xfId="0" applyAlignment="1"/>
    <xf numFmtId="0" fontId="1" fillId="0" borderId="0" xfId="0" applyAlignment="1">
      <alignment horizontal="left"/>
    </xf>
    <xf numFmtId="0" fontId="1" fillId="5" borderId="0" xfId="0" applyAlignment="1">
      <alignment horizontal="right"/>
    </xf>
    <xf numFmtId="0" fontId="1" fillId="18" borderId="0" xfId="0" applyAlignment="1">
      <alignment horizontal="right"/>
    </xf>
    <xf numFmtId="173" fontId="1" fillId="18" borderId="0" xfId="0" applyNumberFormat="1"/>
    <xf numFmtId="0" fontId="1" fillId="18" borderId="28" xfId="0" applyBorder="1" applyAlignment="1"/>
    <xf numFmtId="171" fontId="1" fillId="5" borderId="0" xfId="0" applyNumberFormat="1" applyAlignment="1"/>
    <xf numFmtId="0" fontId="1" fillId="5" borderId="29" xfId="0" applyBorder="1" applyAlignment="1"/>
    <xf numFmtId="3" fontId="1" fillId="18" borderId="0" xfId="0" applyNumberFormat="1" applyAlignment="1"/>
    <xf numFmtId="0" fontId="4" fillId="18" borderId="0" xfId="0" applyAlignment="1">
      <alignment horizontal="center" vertical="center"/>
    </xf>
    <xf numFmtId="0" fontId="1" fillId="20" borderId="27" xfId="0" applyFill="1" applyBorder="1" applyAlignment="1">
      <alignment horizontal="center"/>
    </xf>
    <xf numFmtId="0" fontId="1" fillId="20" borderId="0" xfId="0" applyAlignment="1"/>
    <xf numFmtId="0" fontId="1" fillId="20" borderId="0" xfId="0" applyAlignment="1">
      <alignment horizontal="center"/>
    </xf>
    <xf numFmtId="0" fontId="19" fillId="18" borderId="0" xfId="0" applyAlignment="1">
      <alignment horizontal="right"/>
    </xf>
    <xf numFmtId="0" fontId="1" fillId="4" borderId="0" xfId="0" applyAlignment="1"/>
    <xf numFmtId="0" fontId="4" fillId="21" borderId="0" xfId="0" applyFill="1" applyAlignment="1"/>
    <xf numFmtId="171" fontId="1" fillId="18" borderId="0" xfId="0" applyNumberFormat="1" applyAlignment="1">
      <alignment horizontal="center"/>
    </xf>
    <xf numFmtId="0" fontId="1" fillId="8" borderId="0" xfId="0" applyAlignment="1">
      <alignment horizontal="center"/>
    </xf>
    <xf numFmtId="0" fontId="20" fillId="7" borderId="0" xfId="0" applyAlignment="1"/>
    <xf numFmtId="0" fontId="19" fillId="5" borderId="0" xfId="0" applyAlignment="1"/>
    <xf numFmtId="0" fontId="21" fillId="8" borderId="0" xfId="0" applyAlignment="1">
      <alignment horizontal="center"/>
    </xf>
    <xf numFmtId="0" fontId="1" fillId="8" borderId="28" xfId="0" applyBorder="1" applyAlignment="1">
      <alignment horizontal="center"/>
    </xf>
    <xf numFmtId="0" fontId="1" fillId="22" borderId="0" xfId="0" applyFill="1" applyAlignment="1">
      <alignment horizontal="center"/>
    </xf>
    <xf numFmtId="0" fontId="19" fillId="5" borderId="0" xfId="0" applyAlignment="1">
      <alignment horizontal="left"/>
    </xf>
    <xf numFmtId="0" fontId="1" fillId="22" borderId="28" xfId="0" applyBorder="1" applyAlignment="1">
      <alignment horizontal="center"/>
    </xf>
    <xf numFmtId="0" fontId="1" fillId="23" borderId="0" xfId="0" applyFill="1" applyAlignment="1">
      <alignment horizontal="center"/>
    </xf>
    <xf numFmtId="0" fontId="1" fillId="23" borderId="0" xfId="0" applyAlignment="1">
      <alignment horizontal="center"/>
    </xf>
    <xf numFmtId="0" fontId="12" fillId="5" borderId="0" xfId="0" applyAlignment="1"/>
    <xf numFmtId="0" fontId="22" fillId="5" borderId="0" xfId="0" applyAlignment="1">
      <alignment horizontal="right"/>
    </xf>
    <xf numFmtId="0" fontId="1" fillId="23" borderId="28" xfId="0" applyBorder="1" applyAlignment="1">
      <alignment horizontal="center"/>
    </xf>
    <xf numFmtId="0" fontId="1" fillId="24" borderId="0" xfId="0" applyFill="1" applyAlignment="1">
      <alignment horizontal="center"/>
    </xf>
    <xf numFmtId="0" fontId="19" fillId="5" borderId="0" xfId="0" applyAlignment="1">
      <alignment horizontal="right"/>
    </xf>
    <xf numFmtId="0" fontId="1" fillId="5" borderId="28" xfId="0" applyBorder="1" applyAlignment="1">
      <alignment horizontal="center"/>
    </xf>
    <xf numFmtId="0" fontId="1" fillId="2" borderId="0" xfId="0" applyAlignment="1">
      <alignment horizontal="center"/>
    </xf>
    <xf numFmtId="0" fontId="19" fillId="18" borderId="0" xfId="0" applyAlignment="1"/>
    <xf numFmtId="0" fontId="1" fillId="2" borderId="27" xfId="0" applyBorder="1" applyAlignment="1">
      <alignment horizontal="center"/>
    </xf>
    <xf numFmtId="0" fontId="19" fillId="18" borderId="0" xfId="0" applyAlignment="1">
      <alignment horizontal="left"/>
    </xf>
    <xf numFmtId="0" fontId="1" fillId="18" borderId="0" xfId="0" applyAlignment="1">
      <alignment horizontal="left"/>
    </xf>
    <xf numFmtId="0" fontId="1" fillId="2" borderId="28" xfId="0" applyBorder="1" applyAlignment="1">
      <alignment horizontal="center"/>
    </xf>
    <xf numFmtId="0" fontId="1" fillId="8" borderId="27" xfId="0" applyBorder="1" applyAlignment="1">
      <alignment horizontal="center"/>
    </xf>
    <xf numFmtId="0" fontId="1" fillId="21" borderId="0" xfId="0" applyAlignment="1">
      <alignment horizontal="center"/>
    </xf>
    <xf numFmtId="0" fontId="1" fillId="3" borderId="27" xfId="0" applyBorder="1" applyAlignment="1">
      <alignment horizontal="center"/>
    </xf>
    <xf numFmtId="0" fontId="1" fillId="3" borderId="0" xfId="0" applyAlignment="1">
      <alignment horizontal="center"/>
    </xf>
    <xf numFmtId="0" fontId="22" fillId="5" borderId="0" xfId="0" applyAlignment="1">
      <alignment horizontal="center"/>
    </xf>
    <xf numFmtId="0" fontId="22" fillId="25" borderId="0" xfId="0" applyFill="1" applyAlignment="1">
      <alignment horizontal="center"/>
    </xf>
    <xf numFmtId="0" fontId="1" fillId="25" borderId="0" xfId="0" applyAlignment="1">
      <alignment horizontal="center"/>
    </xf>
    <xf numFmtId="0" fontId="22" fillId="18" borderId="0" xfId="0" applyAlignment="1">
      <alignment horizontal="center"/>
    </xf>
    <xf numFmtId="0" fontId="1" fillId="3" borderId="28" xfId="0" applyBorder="1" applyAlignment="1">
      <alignment horizontal="center"/>
    </xf>
    <xf numFmtId="0" fontId="1" fillId="21" borderId="28" xfId="0" applyBorder="1" applyAlignment="1">
      <alignment horizontal="center"/>
    </xf>
    <xf numFmtId="0" fontId="12" fillId="18" borderId="0" xfId="0" applyAlignment="1"/>
    <xf numFmtId="0" fontId="22" fillId="18" borderId="0" xfId="0" applyAlignment="1">
      <alignment horizontal="right"/>
    </xf>
    <xf numFmtId="0" fontId="1" fillId="25" borderId="28" xfId="0" applyBorder="1" applyAlignment="1">
      <alignment horizontal="center"/>
    </xf>
    <xf numFmtId="171" fontId="22" fillId="18" borderId="0" xfId="0" applyNumberFormat="1" applyAlignment="1">
      <alignment horizontal="center"/>
    </xf>
    <xf numFmtId="171" fontId="22" fillId="5" borderId="0" xfId="0" applyNumberFormat="1" applyAlignment="1">
      <alignment horizontal="center"/>
    </xf>
    <xf numFmtId="0" fontId="1" fillId="18" borderId="28" xfId="0" applyBorder="1" applyAlignment="1">
      <alignment horizontal="center"/>
    </xf>
    <xf numFmtId="173" fontId="1" fillId="5" borderId="0" xfId="0" applyNumberFormat="1" applyAlignment="1"/>
    <xf numFmtId="173" fontId="1" fillId="18" borderId="0" xfId="0" applyNumberFormat="1" applyAlignment="1"/>
    <xf numFmtId="0" fontId="23" fillId="18" borderId="0" xfId="0" applyAlignment="1">
      <alignment horizontal="center" wrapText="1"/>
    </xf>
    <xf numFmtId="0" fontId="23" fillId="5" borderId="0" xfId="0" applyAlignment="1">
      <alignment horizontal="center" wrapText="1"/>
    </xf>
    <xf numFmtId="0" fontId="4" fillId="5" borderId="0" xfId="0" applyAlignment="1">
      <alignment horizontal="center" vertical="center"/>
    </xf>
    <xf numFmtId="0" fontId="22" fillId="18" borderId="0" xfId="0" applyAlignment="1">
      <alignment horizontal="right" vertical="center"/>
    </xf>
    <xf numFmtId="0" fontId="1" fillId="19" borderId="0" xfId="0" applyAlignment="1">
      <alignment horizontal="left"/>
    </xf>
    <xf numFmtId="0" fontId="4" fillId="19" borderId="0" xfId="0" applyAlignment="1"/>
    <xf numFmtId="0" fontId="22" fillId="5" borderId="0" xfId="0" applyAlignment="1">
      <alignment horizontal="right" vertical="center"/>
    </xf>
    <xf numFmtId="0" fontId="22" fillId="5" borderId="0" xfId="0" applyAlignment="1"/>
    <xf numFmtId="0" fontId="12" fillId="5" borderId="0" xfId="0"/>
    <xf numFmtId="0" fontId="18" fillId="0" borderId="0" xfId="0" applyAlignment="1">
      <alignment horizontal="right"/>
    </xf>
    <xf numFmtId="0" fontId="22" fillId="5" borderId="28" xfId="0" applyBorder="1" applyAlignment="1">
      <alignment horizontal="center"/>
    </xf>
    <xf numFmtId="0" fontId="12" fillId="5" borderId="0" xfId="0" applyAlignment="1">
      <alignment horizontal="right"/>
    </xf>
    <xf numFmtId="0" fontId="21" fillId="5" borderId="0" xfId="0" applyAlignment="1">
      <alignment horizontal="center"/>
    </xf>
    <xf numFmtId="0" fontId="12" fillId="5" borderId="0" xfId="0" applyAlignment="1">
      <alignment horizontal="center"/>
    </xf>
    <xf numFmtId="0" fontId="1" fillId="19" borderId="0" xfId="0" applyAlignment="1">
      <alignment horizontal="center"/>
    </xf>
    <xf numFmtId="0" fontId="24" fillId="5" borderId="0" xfId="0" applyAlignment="1"/>
    <xf numFmtId="0" fontId="18" fillId="19" borderId="0" xfId="0" applyAlignment="1">
      <alignment horizontal="right"/>
    </xf>
    <xf numFmtId="0" fontId="12" fillId="18" borderId="0" xfId="0" applyAlignment="1">
      <alignment horizontal="right"/>
    </xf>
    <xf numFmtId="0" fontId="25" fillId="5" borderId="0" xfId="0" applyAlignment="1"/>
    <xf numFmtId="0" fontId="25" fillId="5" borderId="0" xfId="0" applyAlignment="1">
      <alignment horizontal="right"/>
    </xf>
    <xf numFmtId="0" fontId="25" fillId="18" borderId="0" xfId="0" applyAlignment="1">
      <alignment horizontal="right"/>
    </xf>
    <xf numFmtId="0" fontId="1" fillId="19" borderId="0" xfId="0" applyAlignment="1">
      <alignment horizontal="right"/>
    </xf>
    <xf numFmtId="0" fontId="22" fillId="5" borderId="0" xfId="0" applyAlignment="1">
      <alignment horizontal="center" vertical="center"/>
    </xf>
    <xf numFmtId="0" fontId="22" fillId="5" borderId="28" xfId="0" applyBorder="1" applyAlignment="1">
      <alignment horizontal="center" vertical="center"/>
    </xf>
    <xf numFmtId="0" fontId="24" fillId="5" borderId="0" xfId="0" applyAlignment="1">
      <alignment horizontal="center" vertical="center"/>
    </xf>
    <xf numFmtId="0" fontId="21" fillId="5" borderId="28" xfId="0" applyBorder="1" applyAlignment="1">
      <alignment horizontal="center"/>
    </xf>
    <xf numFmtId="0" fontId="26" fillId="5" borderId="0" xfId="0" applyAlignment="1">
      <alignment horizontal="center"/>
    </xf>
    <xf numFmtId="0" fontId="18" fillId="5" borderId="0" xfId="0" applyAlignment="1">
      <alignment horizontal="left"/>
    </xf>
    <xf numFmtId="0" fontId="27" fillId="5" borderId="0" xfId="0" applyAlignment="1">
      <alignment horizontal="center"/>
    </xf>
    <xf numFmtId="0" fontId="12" fillId="17" borderId="0" xfId="0" applyAlignment="1"/>
    <xf numFmtId="0" fontId="24" fillId="5" borderId="0" xfId="0" applyAlignment="1">
      <alignment horizontal="center"/>
    </xf>
    <xf numFmtId="173" fontId="1" fillId="5" borderId="0" xfId="0" applyNumberFormat="1" applyAlignment="1">
      <alignment horizontal="center"/>
    </xf>
    <xf numFmtId="0" fontId="4" fillId="5" borderId="0" xfId="0" applyAlignment="1">
      <alignment horizontal="center"/>
    </xf>
    <xf numFmtId="174" fontId="1" fillId="18" borderId="0" xfId="0" applyNumberFormat="1" applyAlignment="1">
      <alignment horizontal="center"/>
    </xf>
    <xf numFmtId="174" fontId="1" fillId="5" borderId="0" xfId="0" applyNumberFormat="1" applyAlignment="1">
      <alignment horizontal="center"/>
    </xf>
    <xf numFmtId="0" fontId="28" fillId="5" borderId="0" xfId="0" applyAlignment="1">
      <alignment horizontal="center"/>
    </xf>
    <xf numFmtId="173" fontId="1" fillId="18" borderId="0" xfId="0" applyNumberFormat="1" applyAlignment="1">
      <alignment horizontal="center"/>
    </xf>
    <xf numFmtId="0" fontId="22" fillId="5" borderId="27" xfId="0" applyBorder="1" applyAlignment="1">
      <alignment horizontal="center"/>
    </xf>
    <xf numFmtId="173" fontId="1" fillId="7" borderId="0" xfId="0" applyNumberFormat="1" applyAlignment="1"/>
    <xf numFmtId="3" fontId="4" fillId="5" borderId="0" xfId="0" applyNumberFormat="1" applyAlignment="1">
      <alignment horizontal="center" vertical="center"/>
    </xf>
    <xf numFmtId="173" fontId="4" fillId="5" borderId="0" xfId="0" applyNumberFormat="1" applyAlignment="1">
      <alignment horizontal="center"/>
    </xf>
    <xf numFmtId="175" fontId="1" fillId="18" borderId="0" xfId="0" applyNumberFormat="1" applyAlignment="1">
      <alignment horizontal="center"/>
    </xf>
    <xf numFmtId="175" fontId="1" fillId="5" borderId="0" xfId="0" applyNumberFormat="1" applyAlignment="1">
      <alignment horizontal="center"/>
    </xf>
    <xf numFmtId="0" fontId="18" fillId="18" borderId="0" xfId="0" applyAlignment="1">
      <alignment horizontal="left"/>
    </xf>
    <xf numFmtId="0" fontId="28" fillId="5" borderId="0" xfId="0" applyAlignment="1"/>
    <xf numFmtId="3" fontId="21" fillId="5" borderId="0" xfId="0" applyNumberFormat="1" applyAlignment="1">
      <alignment horizontal="center"/>
    </xf>
    <xf numFmtId="175" fontId="1" fillId="18" borderId="27" xfId="0" applyNumberFormat="1" applyBorder="1" applyAlignment="1">
      <alignment horizontal="center"/>
    </xf>
    <xf numFmtId="175" fontId="1" fillId="7" borderId="0" xfId="0" applyNumberFormat="1" applyAlignment="1"/>
    <xf numFmtId="171" fontId="1" fillId="5" borderId="27" xfId="0" applyNumberFormat="1" applyBorder="1" applyAlignment="1">
      <alignment horizontal="center"/>
    </xf>
    <xf numFmtId="171" fontId="1" fillId="18" borderId="27" xfId="0" applyNumberFormat="1" applyBorder="1" applyAlignment="1">
      <alignment horizontal="center"/>
    </xf>
    <xf numFmtId="0" fontId="1" fillId="5" borderId="29" xfId="0" applyBorder="1" applyAlignment="1">
      <alignment horizontal="center"/>
    </xf>
    <xf numFmtId="0" fontId="4" fillId="0" borderId="0" xfId="0" applyAlignment="1">
      <alignment horizontal="left" vertical="center"/>
    </xf>
    <xf numFmtId="3" fontId="4" fillId="0" borderId="0" xfId="0" applyNumberFormat="1" applyAlignment="1">
      <alignment horizontal="center"/>
    </xf>
    <xf numFmtId="0" fontId="2" fillId="7" borderId="0" xfId="0" applyAlignment="1">
      <alignment horizontal="center"/>
    </xf>
    <xf numFmtId="3" fontId="1" fillId="7" borderId="0" xfId="0" applyNumberFormat="1" applyAlignment="1"/>
    <xf numFmtId="0" fontId="29" fillId="5" borderId="0" xfId="0" applyAlignment="1">
      <alignment horizontal="center"/>
    </xf>
    <xf numFmtId="0" fontId="29" fillId="18" borderId="0" xfId="0" applyAlignment="1">
      <alignment horizontal="center"/>
    </xf>
    <xf numFmtId="0" fontId="1" fillId="18" borderId="29" xfId="0" applyBorder="1" applyAlignment="1"/>
    <xf numFmtId="171" fontId="1" fillId="7" borderId="0" xfId="0" applyNumberFormat="1" applyAlignment="1">
      <alignment horizontal="center"/>
    </xf>
    <xf numFmtId="0" fontId="30" fillId="5" borderId="0" xfId="0" applyAlignment="1"/>
    <xf numFmtId="0" fontId="1" fillId="26" borderId="0" xfId="0" applyFill="1" applyAlignment="1"/>
    <xf numFmtId="0" fontId="1" fillId="20" borderId="28" xfId="0" applyBorder="1" applyAlignment="1">
      <alignment horizontal="center"/>
    </xf>
    <xf numFmtId="0" fontId="31" fillId="18" borderId="0" xfId="0" applyAlignment="1">
      <alignment horizontal="right" vertical="center"/>
    </xf>
    <xf numFmtId="0" fontId="19" fillId="19" borderId="0" xfId="0" applyAlignment="1">
      <alignment horizontal="left"/>
    </xf>
    <xf numFmtId="0" fontId="31" fillId="5" borderId="0" xfId="0" applyAlignment="1">
      <alignment horizontal="right" vertical="center"/>
    </xf>
    <xf numFmtId="0" fontId="1" fillId="27" borderId="0" xfId="0" applyFill="1" applyAlignment="1"/>
    <xf numFmtId="0" fontId="1" fillId="27" borderId="0" xfId="0" applyAlignment="1">
      <alignment horizontal="center"/>
    </xf>
    <xf numFmtId="0" fontId="18" fillId="27" borderId="0" xfId="0" applyAlignment="1"/>
    <xf numFmtId="0" fontId="22" fillId="25" borderId="28" xfId="0" applyBorder="1" applyAlignment="1">
      <alignment horizontal="center"/>
    </xf>
    <xf numFmtId="0" fontId="31" fillId="5" borderId="0" xfId="0" applyAlignment="1">
      <alignment horizontal="right"/>
    </xf>
    <xf numFmtId="0" fontId="30" fillId="5" borderId="0" xfId="0" applyAlignment="1">
      <alignment horizontal="right"/>
    </xf>
    <xf numFmtId="0" fontId="12" fillId="3" borderId="0" xfId="0" applyAlignment="1">
      <alignment horizontal="center"/>
    </xf>
    <xf numFmtId="0" fontId="12" fillId="25" borderId="0" xfId="0" applyAlignment="1">
      <alignment horizontal="center"/>
    </xf>
    <xf numFmtId="0" fontId="21" fillId="21" borderId="0" xfId="0" applyAlignment="1">
      <alignment horizontal="center"/>
    </xf>
    <xf numFmtId="0" fontId="31" fillId="0" borderId="0" xfId="0" applyAlignment="1">
      <alignment horizontal="right"/>
    </xf>
    <xf numFmtId="0" fontId="12" fillId="18" borderId="0" xfId="0" applyAlignment="1">
      <alignment horizontal="center"/>
    </xf>
    <xf numFmtId="0" fontId="12" fillId="21" borderId="0" xfId="0" applyAlignment="1">
      <alignment horizontal="center"/>
    </xf>
    <xf numFmtId="0" fontId="12" fillId="0" borderId="0" xfId="0" applyAlignment="1"/>
    <xf numFmtId="0" fontId="30" fillId="18" borderId="0" xfId="0" applyAlignment="1">
      <alignment horizontal="right"/>
    </xf>
    <xf numFmtId="0" fontId="1" fillId="28" borderId="0" xfId="0" applyFill="1" applyAlignment="1">
      <alignment horizontal="center"/>
    </xf>
    <xf numFmtId="0" fontId="1" fillId="29" borderId="0" xfId="0" applyFill="1" applyAlignment="1">
      <alignment horizontal="center"/>
    </xf>
    <xf numFmtId="0" fontId="19" fillId="0" borderId="0" xfId="0" applyAlignment="1"/>
    <xf numFmtId="0" fontId="22" fillId="0" borderId="0" xfId="0" applyAlignment="1">
      <alignment horizontal="center"/>
    </xf>
    <xf numFmtId="0" fontId="19" fillId="19" borderId="0" xfId="0" applyAlignment="1">
      <alignment horizontal="right"/>
    </xf>
    <xf numFmtId="0" fontId="22" fillId="23" borderId="0" xfId="0" applyAlignment="1">
      <alignment horizontal="center" vertical="center"/>
    </xf>
    <xf numFmtId="0" fontId="22" fillId="23" borderId="28" xfId="0" applyBorder="1" applyAlignment="1">
      <alignment horizontal="center" vertical="center"/>
    </xf>
    <xf numFmtId="0" fontId="22" fillId="21" borderId="0" xfId="0" applyAlignment="1">
      <alignment horizontal="center" vertical="center"/>
    </xf>
    <xf numFmtId="0" fontId="22" fillId="21" borderId="28" xfId="0" applyBorder="1" applyAlignment="1">
      <alignment horizontal="center" vertical="center"/>
    </xf>
    <xf numFmtId="0" fontId="12" fillId="0" borderId="0" xfId="0" applyAlignment="1">
      <alignment horizontal="center"/>
    </xf>
    <xf numFmtId="0" fontId="30" fillId="0" borderId="0" xfId="0" applyAlignment="1">
      <alignment horizontal="right"/>
    </xf>
    <xf numFmtId="0" fontId="22" fillId="8" borderId="0" xfId="0" applyAlignment="1">
      <alignment horizontal="center" vertical="center"/>
    </xf>
    <xf numFmtId="0" fontId="22" fillId="8" borderId="28" xfId="0" applyBorder="1" applyAlignment="1">
      <alignment horizontal="center" vertical="center"/>
    </xf>
    <xf numFmtId="0" fontId="25" fillId="18" borderId="0" xfId="0" applyAlignment="1"/>
    <xf numFmtId="0" fontId="31" fillId="18" borderId="0" xfId="0" applyAlignment="1"/>
    <xf numFmtId="0" fontId="1" fillId="10" borderId="0" xfId="0" applyAlignment="1">
      <alignment horizontal="center"/>
    </xf>
    <xf numFmtId="0" fontId="19" fillId="0" borderId="0" xfId="0" applyAlignment="1">
      <alignment horizontal="right"/>
    </xf>
    <xf numFmtId="0" fontId="24" fillId="8" borderId="0" xfId="0" applyAlignment="1">
      <alignment horizontal="center" vertical="center"/>
    </xf>
    <xf numFmtId="0" fontId="22" fillId="2" borderId="0" xfId="0" applyAlignment="1">
      <alignment horizontal="center" vertical="center"/>
    </xf>
    <xf numFmtId="0" fontId="22" fillId="2" borderId="28" xfId="0" applyBorder="1" applyAlignment="1">
      <alignment horizontal="center" vertical="center"/>
    </xf>
    <xf numFmtId="0" fontId="22" fillId="3" borderId="0" xfId="0" applyAlignment="1">
      <alignment horizontal="center" vertical="center"/>
    </xf>
    <xf numFmtId="0" fontId="22" fillId="3" borderId="28" xfId="0" applyBorder="1" applyAlignment="1">
      <alignment horizontal="center" vertical="center"/>
    </xf>
    <xf numFmtId="0" fontId="22" fillId="25" borderId="0" xfId="0" applyAlignment="1">
      <alignment horizontal="center" vertical="center"/>
    </xf>
    <xf numFmtId="0" fontId="22" fillId="23" borderId="0" xfId="0" applyAlignment="1">
      <alignment horizontal="center"/>
    </xf>
    <xf numFmtId="0" fontId="22" fillId="19" borderId="0" xfId="0" applyAlignment="1">
      <alignment horizontal="center"/>
    </xf>
    <xf numFmtId="0" fontId="21" fillId="2" borderId="28" xfId="0" applyBorder="1" applyAlignment="1">
      <alignment horizontal="center"/>
    </xf>
    <xf numFmtId="0" fontId="30" fillId="0" borderId="0" xfId="0" applyAlignment="1"/>
    <xf numFmtId="0" fontId="12" fillId="8" borderId="0" xfId="0" applyAlignment="1">
      <alignment horizontal="center"/>
    </xf>
    <xf numFmtId="0" fontId="26" fillId="21" borderId="0" xfId="0" applyAlignment="1">
      <alignment horizontal="center"/>
    </xf>
    <xf numFmtId="0" fontId="21" fillId="21" borderId="28" xfId="0" applyBorder="1" applyAlignment="1">
      <alignment horizontal="center"/>
    </xf>
    <xf numFmtId="0" fontId="12" fillId="2" borderId="0" xfId="0" applyAlignment="1">
      <alignment horizontal="center"/>
    </xf>
    <xf numFmtId="0" fontId="27" fillId="25" borderId="0" xfId="0" applyAlignment="1">
      <alignment horizontal="center"/>
    </xf>
    <xf numFmtId="0" fontId="22" fillId="25" borderId="28" xfId="0" applyBorder="1" applyAlignment="1">
      <alignment horizontal="center" vertical="center"/>
    </xf>
    <xf numFmtId="0" fontId="12" fillId="26" borderId="0" xfId="0" applyAlignment="1"/>
    <xf numFmtId="0" fontId="19" fillId="5" borderId="0" xfId="0" applyAlignment="1">
      <alignment horizontal="center"/>
    </xf>
    <xf numFmtId="0" fontId="22" fillId="2" borderId="0" xfId="0" applyAlignment="1">
      <alignment horizontal="center"/>
    </xf>
    <xf numFmtId="0" fontId="22" fillId="2" borderId="28" xfId="0" applyBorder="1" applyAlignment="1">
      <alignment horizontal="center"/>
    </xf>
    <xf numFmtId="0" fontId="22" fillId="24" borderId="0" xfId="0" applyAlignment="1">
      <alignment horizontal="center"/>
    </xf>
    <xf numFmtId="0" fontId="4" fillId="18" borderId="0" xfId="0" applyAlignment="1">
      <alignment horizontal="center"/>
    </xf>
    <xf numFmtId="0" fontId="24" fillId="25" borderId="0" xfId="0" applyAlignment="1">
      <alignment horizontal="center" vertical="center"/>
    </xf>
    <xf numFmtId="0" fontId="21" fillId="23" borderId="0" xfId="0" applyAlignment="1">
      <alignment horizontal="center"/>
    </xf>
    <xf numFmtId="0" fontId="22" fillId="8" borderId="0" xfId="0" applyAlignment="1">
      <alignment horizontal="center"/>
    </xf>
    <xf numFmtId="0" fontId="22" fillId="21" borderId="0" xfId="0" applyAlignment="1">
      <alignment horizontal="center"/>
    </xf>
    <xf numFmtId="0" fontId="22" fillId="21" borderId="28" xfId="0" applyBorder="1" applyAlignment="1">
      <alignment horizontal="center"/>
    </xf>
    <xf numFmtId="0" fontId="22" fillId="3" borderId="27" xfId="0" applyBorder="1" applyAlignment="1">
      <alignment horizontal="center"/>
    </xf>
    <xf numFmtId="0" fontId="22" fillId="3" borderId="0" xfId="0" applyAlignment="1">
      <alignment horizontal="center"/>
    </xf>
    <xf numFmtId="0" fontId="22" fillId="25" borderId="0" xfId="0" applyAlignment="1">
      <alignment horizontal="center"/>
    </xf>
    <xf numFmtId="173" fontId="4" fillId="18" borderId="0" xfId="0" applyNumberFormat="1" applyAlignment="1">
      <alignment horizontal="center"/>
    </xf>
    <xf numFmtId="0" fontId="19" fillId="27" borderId="0" xfId="0" applyAlignment="1">
      <alignment horizontal="right"/>
    </xf>
    <xf numFmtId="0" fontId="21" fillId="3" borderId="0" xfId="0" applyAlignment="1">
      <alignment horizontal="center"/>
    </xf>
    <xf numFmtId="0" fontId="22" fillId="25" borderId="27" xfId="0" applyBorder="1" applyAlignment="1">
      <alignment horizontal="center"/>
    </xf>
    <xf numFmtId="0" fontId="22" fillId="23" borderId="28" xfId="0" applyBorder="1" applyAlignment="1">
      <alignment horizontal="center"/>
    </xf>
    <xf numFmtId="0" fontId="1" fillId="30" borderId="0" xfId="0" applyFill="1" applyAlignment="1">
      <alignment horizontal="center"/>
    </xf>
    <xf numFmtId="0" fontId="1" fillId="30" borderId="0" xfId="0" applyAlignment="1"/>
    <xf numFmtId="0" fontId="1" fillId="30" borderId="0" xfId="0" applyAlignment="1">
      <alignment horizontal="center"/>
    </xf>
    <xf numFmtId="3" fontId="4" fillId="18" borderId="0" xfId="0" applyNumberFormat="1" applyAlignment="1">
      <alignment horizontal="center" vertical="center"/>
    </xf>
    <xf numFmtId="0" fontId="1" fillId="20" borderId="27" xfId="0" applyBorder="1" applyAlignment="1">
      <alignment horizontal="center"/>
    </xf>
    <xf numFmtId="3" fontId="21" fillId="18" borderId="0" xfId="0" applyNumberFormat="1" applyAlignment="1">
      <alignment horizontal="center"/>
    </xf>
    <xf numFmtId="0" fontId="1" fillId="30" borderId="27" xfId="0" applyBorder="1" applyAlignment="1">
      <alignment horizontal="center"/>
    </xf>
    <xf numFmtId="0" fontId="1" fillId="24" borderId="0" xfId="0" applyAlignment="1">
      <alignment horizontal="center"/>
    </xf>
    <xf numFmtId="0" fontId="1" fillId="18" borderId="29" xfId="0" applyBorder="1" applyAlignment="1">
      <alignment horizontal="center"/>
    </xf>
    <xf numFmtId="173" fontId="1" fillId="5" borderId="27" xfId="0" applyNumberFormat="1" applyBorder="1" applyAlignment="1">
      <alignment horizontal="center"/>
    </xf>
    <xf numFmtId="0" fontId="21" fillId="28" borderId="0" xfId="0" applyAlignment="1">
      <alignment horizontal="center"/>
    </xf>
    <xf numFmtId="0" fontId="1" fillId="28" borderId="0" xfId="0" applyAlignment="1">
      <alignment horizontal="center"/>
    </xf>
    <xf numFmtId="171" fontId="22" fillId="11" borderId="0" xfId="0" applyNumberFormat="1" applyAlignment="1">
      <alignment horizontal="center"/>
    </xf>
    <xf numFmtId="0" fontId="28" fillId="7" borderId="0" xfId="0" applyAlignment="1">
      <alignment horizontal="left"/>
    </xf>
    <xf numFmtId="0" fontId="1" fillId="0" borderId="27" xfId="0" applyBorder="1" applyAlignment="1">
      <alignment horizontal="center"/>
    </xf>
    <xf numFmtId="0" fontId="1" fillId="0" borderId="28" xfId="0" applyBorder="1" applyAlignment="1">
      <alignment horizontal="center"/>
    </xf>
    <xf numFmtId="3" fontId="1" fillId="0" borderId="0" xfId="0" applyNumberFormat="1" applyAlignment="1">
      <alignment horizontal="center"/>
    </xf>
    <xf numFmtId="0" fontId="1" fillId="31" borderId="0" xfId="0" applyFill="1" applyAlignment="1">
      <alignment horizontal="center"/>
    </xf>
    <xf numFmtId="0" fontId="1" fillId="32" borderId="0" xfId="0" applyFill="1" applyAlignment="1">
      <alignment horizontal="center"/>
    </xf>
    <xf numFmtId="0" fontId="1" fillId="33" borderId="0" xfId="0" applyFill="1" applyAlignment="1">
      <alignment horizontal="center"/>
    </xf>
    <xf numFmtId="0" fontId="31" fillId="18" borderId="0" xfId="0" applyAlignment="1">
      <alignment horizontal="right"/>
    </xf>
    <xf numFmtId="0" fontId="19" fillId="18" borderId="0" xfId="0" applyAlignment="1">
      <alignment horizontal="center"/>
    </xf>
    <xf numFmtId="0" fontId="19" fillId="0" borderId="0" xfId="0" applyAlignment="1">
      <alignment horizontal="center"/>
    </xf>
    <xf numFmtId="0" fontId="30" fillId="5" borderId="0" xfId="0" applyAlignment="1">
      <alignment horizontal="center"/>
    </xf>
    <xf numFmtId="0" fontId="32" fillId="2" borderId="0" xfId="0" applyAlignment="1">
      <alignment horizontal="center"/>
    </xf>
    <xf numFmtId="0" fontId="31" fillId="0" borderId="0" xfId="0" applyAlignment="1">
      <alignment horizontal="center"/>
    </xf>
    <xf numFmtId="0" fontId="21" fillId="3" borderId="28" xfId="0" applyBorder="1" applyAlignment="1">
      <alignment horizontal="center"/>
    </xf>
    <xf numFmtId="0" fontId="32" fillId="2" borderId="28" xfId="0" applyBorder="1" applyAlignment="1">
      <alignment horizontal="center"/>
    </xf>
    <xf numFmtId="0" fontId="32" fillId="23" borderId="28" xfId="0" applyBorder="1" applyAlignment="1">
      <alignment horizontal="center"/>
    </xf>
    <xf numFmtId="0" fontId="30" fillId="0" borderId="0" xfId="0" applyAlignment="1">
      <alignment horizontal="center"/>
    </xf>
    <xf numFmtId="0" fontId="31" fillId="5" borderId="0" xfId="0" applyAlignment="1">
      <alignment horizontal="center"/>
    </xf>
    <xf numFmtId="0" fontId="33" fillId="0" borderId="0" xfId="0" applyAlignment="1">
      <alignment horizontal="center"/>
    </xf>
    <xf numFmtId="0" fontId="1" fillId="25" borderId="27" xfId="0" applyBorder="1" applyAlignment="1">
      <alignment horizontal="center"/>
    </xf>
    <xf numFmtId="0" fontId="32" fillId="8" borderId="0" xfId="0" applyAlignment="1">
      <alignment horizontal="center"/>
    </xf>
    <xf numFmtId="0" fontId="32" fillId="8" borderId="28" xfId="0" applyBorder="1" applyAlignment="1">
      <alignment horizontal="center"/>
    </xf>
    <xf numFmtId="0" fontId="30" fillId="18" borderId="0" xfId="0" applyAlignment="1">
      <alignment horizontal="right" vertical="center"/>
    </xf>
    <xf numFmtId="0" fontId="30" fillId="5" borderId="0" xfId="0" applyAlignment="1">
      <alignment horizontal="right" vertical="center"/>
    </xf>
    <xf numFmtId="0" fontId="22" fillId="18" borderId="0" xfId="0" applyAlignment="1"/>
    <xf numFmtId="0" fontId="22" fillId="26" borderId="0" xfId="0" applyAlignment="1"/>
    <xf numFmtId="0" fontId="28" fillId="18" borderId="0" xfId="0" applyAlignment="1"/>
    <xf numFmtId="0" fontId="34" fillId="5" borderId="29" xfId="0" applyBorder="1" applyAlignment="1">
      <alignment horizontal="center"/>
    </xf>
    <xf numFmtId="0" fontId="1" fillId="29" borderId="0" xfId="0" applyAlignment="1">
      <alignment horizontal="center"/>
    </xf>
    <xf numFmtId="0" fontId="26" fillId="0" borderId="0" xfId="0" applyAlignment="1"/>
    <xf numFmtId="0" fontId="21" fillId="5" borderId="0" xfId="0" applyAlignment="1"/>
    <xf numFmtId="0" fontId="21" fillId="25" borderId="0" xfId="0" applyAlignment="1">
      <alignment horizontal="center"/>
    </xf>
    <xf numFmtId="0" fontId="35" fillId="5" borderId="0" xfId="0" applyAlignment="1">
      <alignment horizontal="center"/>
    </xf>
    <xf numFmtId="0" fontId="19" fillId="4" borderId="0" xfId="0" applyAlignment="1"/>
    <xf numFmtId="0" fontId="22" fillId="26" borderId="0" xfId="0" applyAlignment="1">
      <alignment horizontal="left"/>
    </xf>
    <xf numFmtId="0" fontId="21" fillId="2" borderId="0" xfId="0" applyAlignment="1">
      <alignment horizontal="center"/>
    </xf>
    <xf numFmtId="0" fontId="32" fillId="25" borderId="0" xfId="0" applyAlignment="1">
      <alignment horizontal="center"/>
    </xf>
    <xf numFmtId="0" fontId="32" fillId="25" borderId="28" xfId="0" applyBorder="1" applyAlignment="1">
      <alignment horizontal="center"/>
    </xf>
    <xf numFmtId="0" fontId="12" fillId="23" borderId="28" xfId="0" applyBorder="1" applyAlignment="1">
      <alignment horizontal="center"/>
    </xf>
    <xf numFmtId="0" fontId="1" fillId="34" borderId="0" xfId="0" applyFill="1" applyAlignment="1">
      <alignment horizontal="center"/>
    </xf>
    <xf numFmtId="0" fontId="1" fillId="34" borderId="0" xfId="0" applyAlignment="1"/>
    <xf numFmtId="0" fontId="1" fillId="34" borderId="0" xfId="0" applyAlignment="1">
      <alignment horizontal="center"/>
    </xf>
    <xf numFmtId="0" fontId="1" fillId="34" borderId="28" xfId="0" applyBorder="1" applyAlignment="1">
      <alignment horizontal="center"/>
    </xf>
    <xf numFmtId="0" fontId="1" fillId="24" borderId="0" xfId="0" applyAlignment="1"/>
    <xf numFmtId="0" fontId="1" fillId="26" borderId="0" xfId="0" applyAlignment="1">
      <alignment horizontal="left"/>
    </xf>
    <xf numFmtId="0" fontId="30" fillId="18" borderId="0" xfId="0" applyAlignment="1">
      <alignment horizontal="center"/>
    </xf>
    <xf numFmtId="0" fontId="21" fillId="18" borderId="0" xfId="0" applyAlignment="1">
      <alignment horizontal="center"/>
    </xf>
    <xf numFmtId="0" fontId="31" fillId="18" borderId="0" xfId="0" applyAlignment="1">
      <alignment horizontal="center"/>
    </xf>
    <xf numFmtId="0" fontId="21" fillId="8" borderId="28" xfId="0" applyBorder="1" applyAlignment="1">
      <alignment horizontal="center"/>
    </xf>
    <xf numFmtId="0" fontId="21" fillId="23" borderId="28" xfId="0" applyBorder="1" applyAlignment="1">
      <alignment horizontal="center"/>
    </xf>
    <xf numFmtId="0" fontId="24" fillId="26" borderId="0" xfId="0" applyAlignment="1"/>
    <xf numFmtId="0" fontId="12" fillId="8" borderId="28" xfId="0" applyBorder="1" applyAlignment="1">
      <alignment horizontal="center"/>
    </xf>
    <xf numFmtId="0" fontId="19" fillId="4" borderId="0" xfId="0" applyAlignment="1">
      <alignment horizontal="center"/>
    </xf>
    <xf numFmtId="0" fontId="1" fillId="5" borderId="0" xfId="0"/>
    <xf numFmtId="0" fontId="6" fillId="26" borderId="0" xfId="0" applyAlignment="1"/>
    <xf numFmtId="0" fontId="1" fillId="4" borderId="0" xfId="0" applyAlignment="1">
      <alignment horizontal="center"/>
    </xf>
    <xf numFmtId="0" fontId="1" fillId="4" borderId="28" xfId="0" applyBorder="1" applyAlignment="1">
      <alignment horizontal="center"/>
    </xf>
    <xf numFmtId="0" fontId="6" fillId="18" borderId="0" xfId="0" applyAlignment="1">
      <alignment horizontal="center"/>
    </xf>
    <xf numFmtId="0" fontId="6" fillId="5" borderId="0" xfId="0" applyAlignment="1">
      <alignment horizontal="center"/>
    </xf>
    <xf numFmtId="0" fontId="19" fillId="4" borderId="0" xfId="0" applyAlignment="1">
      <alignment horizontal="right"/>
    </xf>
    <xf numFmtId="0" fontId="18" fillId="4" borderId="0" xfId="0" applyAlignment="1">
      <alignment horizontal="right"/>
    </xf>
    <xf numFmtId="0" fontId="1" fillId="26" borderId="0" xfId="0" applyAlignment="1"/>
    <xf numFmtId="170" fontId="4" fillId="10" borderId="0" xfId="0" applyNumberFormat="1" applyAlignment="1"/>
    <xf numFmtId="172" fontId="5" fillId="15" borderId="0" xfId="0" applyNumberFormat="1" applyAlignment="1">
      <alignment horizontal="center"/>
    </xf>
    <xf numFmtId="172" fontId="5" fillId="15" borderId="0" xfId="0" applyNumberFormat="1" applyAlignment="1"/>
    <xf numFmtId="0" fontId="5" fillId="15" borderId="0" xfId="0" applyAlignment="1"/>
    <xf numFmtId="0" fontId="4" fillId="10" borderId="0" xfId="0" applyAlignment="1"/>
    <xf numFmtId="0" fontId="4" fillId="17" borderId="0" xfId="0" applyAlignment="1">
      <alignment horizontal="left"/>
    </xf>
    <xf numFmtId="0" fontId="4" fillId="17" borderId="0" xfId="0" applyAlignment="1"/>
    <xf numFmtId="0" fontId="2" fillId="13" borderId="0" xfId="0" applyAlignment="1"/>
    <xf numFmtId="0" fontId="2" fillId="17" borderId="0" xfId="0" applyAlignment="1"/>
    <xf numFmtId="0" fontId="4" fillId="5" borderId="28" xfId="0" applyBorder="1" applyAlignment="1">
      <alignment horizontal="center"/>
    </xf>
    <xf numFmtId="0" fontId="6" fillId="5" borderId="28" xfId="0" applyBorder="1" applyAlignment="1">
      <alignment horizontal="center"/>
    </xf>
    <xf numFmtId="0" fontId="34" fillId="5" borderId="0" xfId="0" applyAlignment="1">
      <alignment horizontal="center"/>
    </xf>
    <xf numFmtId="0" fontId="6" fillId="5" borderId="27" xfId="0" applyBorder="1" applyAlignment="1">
      <alignment horizontal="center"/>
    </xf>
    <xf numFmtId="0" fontId="36" fillId="5" borderId="0" xfId="0" applyAlignment="1">
      <alignment horizontal="center"/>
    </xf>
    <xf numFmtId="0" fontId="18" fillId="5" borderId="0" xfId="0" applyAlignment="1">
      <alignment horizontal="center"/>
    </xf>
    <xf numFmtId="0" fontId="4" fillId="5" borderId="27" xfId="0" applyBorder="1" applyAlignment="1">
      <alignment horizontal="center"/>
    </xf>
    <xf numFmtId="0" fontId="1" fillId="5" borderId="0" xfId="0" applyAlignment="1">
      <alignment horizontal="center" vertical="center"/>
    </xf>
    <xf numFmtId="173" fontId="1" fillId="5" borderId="0" xfId="0" applyNumberFormat="1" applyAlignment="1">
      <alignment horizontal="right"/>
    </xf>
    <xf numFmtId="174" fontId="1" fillId="5" borderId="0" xfId="0" applyNumberFormat="1" applyAlignment="1">
      <alignment horizontal="right"/>
    </xf>
    <xf numFmtId="173" fontId="4" fillId="5" borderId="0" xfId="0" applyNumberFormat="1" applyAlignment="1"/>
    <xf numFmtId="174" fontId="1" fillId="0" borderId="0" xfId="0" applyNumberFormat="1" applyAlignment="1">
      <alignment horizontal="center"/>
    </xf>
    <xf numFmtId="171" fontId="1" fillId="0" borderId="0" xfId="0" applyNumberFormat="1" applyAlignment="1">
      <alignment horizontal="center"/>
    </xf>
    <xf numFmtId="0" fontId="37" fillId="5" borderId="0" xfId="0" applyAlignment="1">
      <alignment horizontal="center"/>
    </xf>
    <xf numFmtId="0" fontId="38" fillId="5" borderId="0" xfId="0" applyAlignment="1">
      <alignment horizontal="center"/>
    </xf>
    <xf numFmtId="0" fontId="6" fillId="5" borderId="0" xfId="0" applyAlignment="1">
      <alignment horizontal="right"/>
    </xf>
    <xf numFmtId="0" fontId="1" fillId="5" borderId="28" xfId="0" applyBorder="1"/>
    <xf numFmtId="0" fontId="39" fillId="5" borderId="0" xfId="0" applyAlignment="1">
      <alignment horizontal="center"/>
    </xf>
    <xf numFmtId="0" fontId="18" fillId="5" borderId="27" xfId="0" applyBorder="1" applyAlignment="1">
      <alignment horizontal="right"/>
    </xf>
    <xf numFmtId="0" fontId="2" fillId="13" borderId="0" xfId="0" applyAlignment="1">
      <alignment horizontal="center" vertical="center"/>
    </xf>
    <xf numFmtId="176" fontId="4" fillId="5" borderId="0" xfId="0" applyNumberFormat="1" applyAlignment="1">
      <alignment horizontal="right" vertical="top"/>
    </xf>
    <xf numFmtId="172" fontId="15" fillId="15" borderId="0" xfId="0" applyNumberFormat="1" applyAlignment="1">
      <alignment horizontal="center" vertical="center"/>
    </xf>
    <xf numFmtId="3" fontId="15" fillId="15" borderId="0" xfId="0" applyNumberFormat="1" applyAlignment="1">
      <alignment horizontal="center" vertical="center"/>
    </xf>
    <xf numFmtId="0" fontId="21" fillId="5" borderId="0" xfId="0" applyAlignment="1">
      <alignment horizontal="center" wrapText="1"/>
    </xf>
    <xf numFmtId="176" fontId="4" fillId="5" borderId="0" xfId="0" applyNumberFormat="1" applyAlignment="1">
      <alignment horizontal="center" vertical="center"/>
    </xf>
    <xf numFmtId="0" fontId="1" fillId="0" borderId="0" xfId="0" applyAlignment="1">
      <alignment horizontal="center" vertical="center"/>
    </xf>
    <xf numFmtId="176" fontId="4" fillId="18" borderId="0" xfId="0" applyNumberFormat="1" applyAlignment="1">
      <alignment horizontal="right" vertical="top"/>
    </xf>
    <xf numFmtId="176" fontId="4" fillId="18" borderId="0" xfId="0" applyNumberFormat="1" applyAlignment="1">
      <alignment horizontal="center" vertical="center"/>
    </xf>
    <xf numFmtId="164" fontId="4" fillId="18" borderId="0" xfId="0" applyNumberFormat="1" applyAlignment="1">
      <alignment horizontal="right"/>
    </xf>
    <xf numFmtId="164" fontId="4" fillId="5" borderId="0" xfId="0" applyNumberFormat="1" applyAlignment="1">
      <alignment horizontal="right"/>
    </xf>
    <xf numFmtId="170" fontId="4" fillId="5" borderId="0" xfId="0" applyNumberFormat="1" applyAlignment="1">
      <alignment horizontal="right" vertical="top"/>
    </xf>
    <xf numFmtId="170" fontId="4" fillId="5" borderId="0" xfId="0" applyNumberFormat="1" applyAlignment="1">
      <alignment horizontal="center" vertical="center"/>
    </xf>
    <xf numFmtId="0" fontId="4" fillId="0" borderId="0" xfId="0" applyAlignment="1">
      <alignment horizontal="right"/>
    </xf>
    <xf numFmtId="173" fontId="4" fillId="18" borderId="0" xfId="0" applyNumberFormat="1" applyAlignment="1"/>
    <xf numFmtId="0" fontId="4" fillId="18" borderId="0" xfId="0" applyAlignment="1">
      <alignment horizontal="left"/>
    </xf>
    <xf numFmtId="0" fontId="40" fillId="5" borderId="0" xfId="0" applyAlignment="1"/>
    <xf numFmtId="173" fontId="4" fillId="11" borderId="0" xfId="0" applyNumberFormat="1" applyAlignment="1"/>
    <xf numFmtId="0" fontId="4" fillId="7" borderId="0" xfId="0" applyAlignment="1">
      <alignment horizontal="right"/>
    </xf>
    <xf numFmtId="0" fontId="6" fillId="2" borderId="0" xfId="0" applyAlignment="1"/>
    <xf numFmtId="0" fontId="41" fillId="0" borderId="0" xfId="0" applyAlignment="1">
      <alignment horizontal="center"/>
    </xf>
    <xf numFmtId="0" fontId="42" fillId="3" borderId="0" xfId="0" applyAlignment="1"/>
    <xf numFmtId="0" fontId="6" fillId="4" borderId="0" xfId="0" applyAlignment="1"/>
    <xf numFmtId="3" fontId="10" fillId="7" borderId="0" xfId="0" applyNumberFormat="1" applyAlignment="1">
      <alignment horizontal="right"/>
    </xf>
    <xf numFmtId="3" fontId="10" fillId="13" borderId="0" xfId="0" applyNumberFormat="1" applyAlignment="1">
      <alignment horizontal="right"/>
    </xf>
    <xf numFmtId="0" fontId="2" fillId="0" borderId="0" xfId="0" applyAlignment="1"/>
    <xf numFmtId="0" fontId="43" fillId="3" borderId="0" xfId="0" applyAlignment="1">
      <alignment horizontal="center"/>
    </xf>
    <xf numFmtId="0" fontId="5" fillId="4" borderId="0" xfId="0" applyAlignment="1">
      <alignment horizontal="center"/>
    </xf>
    <xf numFmtId="0" fontId="44" fillId="5" borderId="0" xfId="0" applyAlignment="1"/>
    <xf numFmtId="0" fontId="2" fillId="0" borderId="0" xfId="0" applyAlignment="1">
      <alignment horizontal="center"/>
    </xf>
    <xf numFmtId="0" fontId="4" fillId="2" borderId="30" xfId="0" applyBorder="1" applyAlignment="1">
      <alignment horizontal="center" vertical="center"/>
    </xf>
    <xf numFmtId="3" fontId="6" fillId="2" borderId="0" xfId="0" applyNumberFormat="1" applyAlignment="1"/>
    <xf numFmtId="3" fontId="6" fillId="0" borderId="0" xfId="0" applyNumberFormat="1" applyAlignment="1">
      <alignment horizontal="right"/>
    </xf>
    <xf numFmtId="3" fontId="6" fillId="0" borderId="27" xfId="0" applyNumberFormat="1" applyBorder="1" applyAlignment="1">
      <alignment horizontal="center" vertical="center"/>
    </xf>
    <xf numFmtId="3" fontId="4" fillId="0" borderId="31" xfId="0" applyNumberFormat="1" applyBorder="1" applyAlignment="1">
      <alignment horizontal="center" vertical="center"/>
    </xf>
    <xf numFmtId="0" fontId="6" fillId="0" borderId="27" xfId="0" applyBorder="1" applyAlignment="1">
      <alignment horizontal="center" vertical="center"/>
    </xf>
    <xf numFmtId="3" fontId="6" fillId="2" borderId="18" xfId="0" applyNumberFormat="1" applyBorder="1" applyAlignment="1"/>
    <xf numFmtId="0" fontId="6" fillId="2" borderId="18" xfId="0" applyBorder="1" applyAlignment="1"/>
    <xf numFmtId="3" fontId="28" fillId="3" borderId="18" xfId="0" applyNumberFormat="1" applyBorder="1" applyAlignment="1">
      <alignment horizontal="center"/>
    </xf>
    <xf numFmtId="0" fontId="15" fillId="4" borderId="18" xfId="0" applyBorder="1" applyAlignment="1">
      <alignment horizontal="center"/>
    </xf>
    <xf numFmtId="3" fontId="10" fillId="0" borderId="17" xfId="0" applyNumberFormat="1" applyBorder="1" applyAlignment="1">
      <alignment horizontal="right" vertical="center"/>
    </xf>
    <xf numFmtId="3" fontId="4" fillId="0" borderId="17" xfId="0" applyNumberFormat="1" applyBorder="1" applyAlignment="1">
      <alignment horizontal="right" vertical="center"/>
    </xf>
    <xf numFmtId="3" fontId="32" fillId="0" borderId="17" xfId="0" applyNumberFormat="1" applyBorder="1" applyAlignment="1">
      <alignment horizontal="right" vertical="center"/>
    </xf>
    <xf numFmtId="3" fontId="4" fillId="2" borderId="18" xfId="0" applyNumberFormat="1" applyBorder="1" applyAlignment="1"/>
    <xf numFmtId="0" fontId="32" fillId="2" borderId="18" xfId="0" applyBorder="1" applyAlignment="1">
      <alignment horizontal="center"/>
    </xf>
    <xf numFmtId="3" fontId="6" fillId="0" borderId="18" xfId="0" applyNumberFormat="1" applyBorder="1" applyAlignment="1"/>
    <xf numFmtId="3" fontId="32" fillId="3" borderId="18" xfId="0" applyNumberFormat="1" applyBorder="1" applyAlignment="1">
      <alignment horizontal="center"/>
    </xf>
    <xf numFmtId="3" fontId="45" fillId="8" borderId="17" xfId="0" applyNumberFormat="1" applyBorder="1" applyAlignment="1">
      <alignment horizontal="right" vertical="center"/>
    </xf>
    <xf numFmtId="0" fontId="46" fillId="5" borderId="0" xfId="0" applyAlignment="1"/>
    <xf numFmtId="3" fontId="4" fillId="0" borderId="18" xfId="0" applyNumberFormat="1" applyBorder="1" applyAlignment="1"/>
    <xf numFmtId="3" fontId="47" fillId="2" borderId="18" xfId="0" applyNumberFormat="1" applyBorder="1" applyAlignment="1">
      <alignment horizontal="right"/>
    </xf>
    <xf numFmtId="3" fontId="28" fillId="0" borderId="18" xfId="0" applyNumberFormat="1" applyBorder="1" applyAlignment="1"/>
    <xf numFmtId="3" fontId="4" fillId="5" borderId="18" xfId="0" applyNumberFormat="1" applyBorder="1" applyAlignment="1"/>
    <xf numFmtId="3" fontId="28" fillId="7" borderId="18" xfId="0" applyNumberFormat="1" applyBorder="1" applyAlignment="1">
      <alignment horizontal="center"/>
    </xf>
    <xf numFmtId="0" fontId="6" fillId="0" borderId="18" xfId="0" applyBorder="1" applyAlignment="1"/>
    <xf numFmtId="3" fontId="43" fillId="8" borderId="17" xfId="0" applyNumberFormat="1" applyBorder="1" applyAlignment="1">
      <alignment horizontal="right" vertical="center"/>
    </xf>
    <xf numFmtId="3" fontId="7" fillId="0" borderId="17" xfId="0" applyNumberFormat="1" applyBorder="1" applyAlignment="1">
      <alignment horizontal="right" vertical="center"/>
    </xf>
    <xf numFmtId="0" fontId="4" fillId="0" borderId="18" xfId="0" applyBorder="1" applyAlignment="1"/>
    <xf numFmtId="0" fontId="48" fillId="2" borderId="21" xfId="0" applyBorder="1" applyAlignment="1">
      <alignment horizontal="center" vertical="center"/>
    </xf>
    <xf numFmtId="0" fontId="43" fillId="0" borderId="0" xfId="0" applyAlignment="1"/>
    <xf numFmtId="0" fontId="22" fillId="14" borderId="0" xfId="0" applyAlignment="1">
      <alignment horizontal="center"/>
    </xf>
    <xf numFmtId="170" fontId="1" fillId="10" borderId="0" xfId="0" applyNumberFormat="1" applyAlignment="1">
      <alignment horizontal="center"/>
    </xf>
    <xf numFmtId="0" fontId="5" fillId="15" borderId="0" xfId="0" applyAlignment="1">
      <alignment horizontal="center"/>
    </xf>
    <xf numFmtId="0" fontId="1" fillId="17" borderId="0" xfId="0" applyAlignment="1">
      <alignment horizontal="center"/>
    </xf>
    <xf numFmtId="0" fontId="2" fillId="13" borderId="0" xfId="0" applyAlignment="1">
      <alignment horizontal="center"/>
    </xf>
    <xf numFmtId="0" fontId="2" fillId="17" borderId="0" xfId="0" applyAlignment="1">
      <alignment horizontal="center"/>
    </xf>
    <xf numFmtId="0" fontId="1" fillId="26" borderId="0" xfId="0" applyAlignment="1">
      <alignment horizontal="center"/>
    </xf>
    <xf numFmtId="0" fontId="4" fillId="35" borderId="0" xfId="0" applyFill="1" applyAlignment="1">
      <alignment horizontal="center"/>
    </xf>
    <xf numFmtId="164" fontId="1" fillId="0" borderId="0" xfId="0" applyNumberFormat="1"/>
    <xf numFmtId="170" fontId="1" fillId="0" borderId="0" xfId="0" applyNumberFormat="1"/>
    <xf numFmtId="0" fontId="1" fillId="7" borderId="0" xfId="0"/>
    <xf numFmtId="0" fontId="4" fillId="0" borderId="0" xfId="0" applyAlignment="1">
      <alignment horizontal="center"/>
    </xf>
    <xf numFmtId="164" fontId="49" fillId="36" borderId="18" xfId="0" applyNumberFormat="1" applyFill="1" applyBorder="1" applyAlignment="1">
      <alignment horizontal="center" wrapText="1"/>
    </xf>
    <xf numFmtId="170" fontId="1" fillId="5" borderId="0" xfId="0" applyNumberFormat="1" applyAlignment="1"/>
    <xf numFmtId="170" fontId="12" fillId="0" borderId="0" xfId="0" applyNumberFormat="1" applyAlignment="1"/>
    <xf numFmtId="0" fontId="0" fillId="5" borderId="0" xfId="0" applyAlignment="1"/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  <dxfs count="5">
    <dxf>
      <font/>
      <fill>
        <patternFill>
          <bgColor rgb="FFFFFFFF"/>
        </patternFill>
      </fill>
      <border>
        <diagonal/>
      </border>
    </dxf>
    <dxf>
      <font/>
      <fill>
        <patternFill patternType="solid">
          <fgColor rgb="FFFFFFFF"/>
          <bgColor rgb="FFFFFFFF"/>
        </patternFill>
      </fill>
      <border>
        <diagonal/>
      </border>
    </dxf>
    <dxf>
      <font/>
      <fill>
        <patternFill patternType="solid">
          <fgColor rgb="FFF6F8F9"/>
          <bgColor rgb="FFF6F8F9"/>
        </patternFill>
      </fill>
      <border>
        <diagonal/>
      </border>
    </dxf>
    <dxf>
      <font/>
      <fill>
        <patternFill patternType="solid">
          <fgColor rgb="FFF3F3F3"/>
          <bgColor rgb="FFF3F3F3"/>
        </patternFill>
      </fill>
      <border>
        <diagonal/>
      </border>
    </dxf>
    <dxf>
      <font/>
      <fill>
        <patternFill patternType="solid">
          <fgColor rgb="FFB7E1CD"/>
          <bgColor rgb="FFB7E1CD"/>
        </patternFill>
      </fill>
      <border>
        <diagonal/>
      </border>
    </dxf>
  </dxfs>
  <tableStyles count="2504" defaultTableStyle="TableStyleMedium2" defaultPivotStyle="PivotStyleLight16">
    <tableStyle name="분할_26년03월-style" pivot="0" count="2">
      <tableStyleElement type="firstRowStripe" dxfId="1"/>
      <tableStyleElement type="secondRowStripe" dxfId="2"/>
    </tableStyle>
    <tableStyle name="분할_26년03월-style 2" pivot="0" count="2">
      <tableStyleElement type="firstRowStripe" dxfId="1"/>
      <tableStyleElement type="secondRowStripe" dxfId="2"/>
    </tableStyle>
    <tableStyle name="분할_26년03월-style 3" pivot="0" count="2">
      <tableStyleElement type="firstRowStripe" dxfId="2"/>
      <tableStyleElement type="secondRowStripe" dxfId="1"/>
    </tableStyle>
    <tableStyle name="분할_26년03월-style 4" pivot="0" count="2">
      <tableStyleElement type="firstRowStripe" dxfId="1"/>
      <tableStyleElement type="secondRowStripe" dxfId="2"/>
    </tableStyle>
    <tableStyle name="분할_26년03월-style 5" pivot="0" count="2">
      <tableStyleElement type="firstRowStripe" dxfId="1"/>
      <tableStyleElement type="secondRowStripe" dxfId="2"/>
    </tableStyle>
    <tableStyle name="분할_26년03월-style 6" pivot="0" count="2">
      <tableStyleElement type="firstRowStripe" dxfId="1"/>
      <tableStyleElement type="secondRowStripe" dxfId="2"/>
    </tableStyle>
    <tableStyle name="분할_26년03월-style 7" pivot="0" count="2">
      <tableStyleElement type="firstRowStripe" dxfId="1"/>
      <tableStyleElement type="secondRowStripe" dxfId="2"/>
    </tableStyle>
    <tableStyle name="분할_26년03월-style 8" pivot="0" count="2">
      <tableStyleElement type="firstRowStripe" dxfId="1"/>
      <tableStyleElement type="secondRowStripe" dxfId="2"/>
    </tableStyle>
    <tableStyle name="분할_26년03월-style 9" pivot="0" count="2">
      <tableStyleElement type="firstRowStripe" dxfId="1"/>
      <tableStyleElement type="secondRowStripe" dxfId="2"/>
    </tableStyle>
    <tableStyle name="분할_26년03월-style 10" pivot="0" count="2">
      <tableStyleElement type="firstRowStripe" dxfId="1"/>
      <tableStyleElement type="secondRowStripe" dxfId="2"/>
    </tableStyle>
    <tableStyle name="분할_26년03월-style 11" pivot="0" count="2">
      <tableStyleElement type="firstRowStripe" dxfId="1"/>
      <tableStyleElement type="secondRowStripe" dxfId="2"/>
    </tableStyle>
    <tableStyle name="분할_26년03월-style 12" pivot="0" count="2">
      <tableStyleElement type="firstRowStripe" dxfId="3"/>
      <tableStyleElement type="secondRowStripe" dxfId="1"/>
    </tableStyle>
    <tableStyle name="분할_26년03월-style 13" pivot="0" count="2">
      <tableStyleElement type="firstRowStripe" dxfId="2"/>
      <tableStyleElement type="secondRowStripe" dxfId="1"/>
    </tableStyle>
    <tableStyle name="분할_26년03월-style 14" pivot="0" count="2">
      <tableStyleElement type="firstRowStripe" dxfId="2"/>
      <tableStyleElement type="secondRowStripe" dxfId="1"/>
    </tableStyle>
    <tableStyle name="분할_26년03월-style 15" pivot="0" count="2">
      <tableStyleElement type="firstRowStripe" dxfId="2"/>
      <tableStyleElement type="secondRowStripe" dxfId="1"/>
    </tableStyle>
    <tableStyle name="분할_26년03월-style 16" pivot="0" count="2">
      <tableStyleElement type="firstRowStripe" dxfId="1"/>
      <tableStyleElement type="secondRowStripe" dxfId="2"/>
    </tableStyle>
    <tableStyle name="분할_26년03월-style 17" pivot="0" count="2">
      <tableStyleElement type="firstRowStripe" dxfId="2"/>
      <tableStyleElement type="secondRowStripe" dxfId="1"/>
    </tableStyle>
    <tableStyle name="분할_26년03월-style 18" pivot="0" count="2">
      <tableStyleElement type="firstRowStripe" dxfId="2"/>
      <tableStyleElement type="secondRowStripe" dxfId="1"/>
    </tableStyle>
    <tableStyle name="분할_26년03월-style 19" pivot="0" count="2">
      <tableStyleElement type="firstRowStripe" dxfId="1"/>
      <tableStyleElement type="secondRowStripe" dxfId="2"/>
    </tableStyle>
    <tableStyle name="분할_26년03월-style 20" pivot="0" count="2">
      <tableStyleElement type="firstRowStripe" dxfId="1"/>
      <tableStyleElement type="secondRowStripe" dxfId="2"/>
    </tableStyle>
    <tableStyle name="분할_26년03월-style 21" pivot="0" count="2">
      <tableStyleElement type="firstRowStripe" dxfId="2"/>
      <tableStyleElement type="secondRowStripe" dxfId="1"/>
    </tableStyle>
    <tableStyle name="분할_26년03월-style 22" pivot="0" count="2">
      <tableStyleElement type="firstRowStripe" dxfId="1"/>
      <tableStyleElement type="secondRowStripe" dxfId="2"/>
    </tableStyle>
    <tableStyle name="분할_26년03월-style 23" pivot="0" count="2">
      <tableStyleElement type="firstRowStripe" dxfId="1"/>
      <tableStyleElement type="secondRowStripe" dxfId="2"/>
    </tableStyle>
    <tableStyle name="분할_26년03월-style 24" pivot="0" count="2">
      <tableStyleElement type="firstRowStripe" dxfId="1"/>
      <tableStyleElement type="secondRowStripe" dxfId="2"/>
    </tableStyle>
    <tableStyle name="분할_26년03월-style 25" pivot="0" count="2">
      <tableStyleElement type="firstRowStripe" dxfId="1"/>
      <tableStyleElement type="secondRowStripe" dxfId="2"/>
    </tableStyle>
    <tableStyle name="분할_26년03월-style 26" pivot="0" count="2">
      <tableStyleElement type="firstRowStripe" dxfId="1"/>
      <tableStyleElement type="secondRowStripe" dxfId="2"/>
    </tableStyle>
    <tableStyle name="분할_26년03월-style 27" pivot="0" count="2">
      <tableStyleElement type="firstRowStripe" dxfId="1"/>
      <tableStyleElement type="secondRowStripe" dxfId="2"/>
    </tableStyle>
    <tableStyle name="분할_26년03월-style 28" pivot="0" count="2">
      <tableStyleElement type="firstRowStripe" dxfId="1"/>
      <tableStyleElement type="secondRowStripe" dxfId="2"/>
    </tableStyle>
    <tableStyle name="분할_26년03월-style 29" pivot="0" count="2">
      <tableStyleElement type="firstRowStripe" dxfId="1"/>
      <tableStyleElement type="secondRowStripe" dxfId="2"/>
    </tableStyle>
    <tableStyle name="분할_26년03월-style 30" pivot="0" count="2">
      <tableStyleElement type="firstRowStripe" dxfId="1"/>
      <tableStyleElement type="secondRowStripe" dxfId="2"/>
    </tableStyle>
    <tableStyle name="분할_26년03월-style 31" pivot="0" count="2">
      <tableStyleElement type="firstRowStripe" dxfId="1"/>
      <tableStyleElement type="secondRowStripe" dxfId="2"/>
    </tableStyle>
    <tableStyle name="분할_26년03월-style 32" pivot="0" count="2">
      <tableStyleElement type="firstRowStripe" dxfId="1"/>
      <tableStyleElement type="secondRowStripe" dxfId="2"/>
    </tableStyle>
    <tableStyle name="분할_26년03월-style 33" pivot="0" count="2">
      <tableStyleElement type="firstRowStripe" dxfId="1"/>
      <tableStyleElement type="secondRowStripe" dxfId="2"/>
    </tableStyle>
    <tableStyle name="분할_26년03월-style 34" pivot="0" count="2">
      <tableStyleElement type="firstRowStripe" dxfId="1"/>
      <tableStyleElement type="secondRowStripe" dxfId="2"/>
    </tableStyle>
    <tableStyle name="분할_26년03월-style 35" pivot="0" count="2">
      <tableStyleElement type="firstRowStripe" dxfId="1"/>
      <tableStyleElement type="secondRowStripe" dxfId="2"/>
    </tableStyle>
    <tableStyle name="분할_26년03월-style 36" pivot="0" count="2">
      <tableStyleElement type="firstRowStripe" dxfId="1"/>
      <tableStyleElement type="secondRowStripe" dxfId="2"/>
    </tableStyle>
    <tableStyle name="분할_26년03월-style 37" pivot="0" count="2">
      <tableStyleElement type="firstRowStripe" dxfId="1"/>
      <tableStyleElement type="secondRowStripe" dxfId="2"/>
    </tableStyle>
    <tableStyle name="분할_26년03월-style 38" pivot="0" count="2">
      <tableStyleElement type="firstRowStripe" dxfId="2"/>
      <tableStyleElement type="secondRowStripe" dxfId="1"/>
    </tableStyle>
    <tableStyle name="분할_26년03월-style 39" pivot="0" count="2">
      <tableStyleElement type="firstRowStripe" dxfId="2"/>
      <tableStyleElement type="secondRowStripe" dxfId="1"/>
    </tableStyle>
    <tableStyle name="분할_26년03월-style 40" pivot="0" count="2">
      <tableStyleElement type="firstRowStripe" dxfId="1"/>
      <tableStyleElement type="secondRowStripe" dxfId="2"/>
    </tableStyle>
    <tableStyle name="분할_26년03월-style 41" pivot="0" count="2">
      <tableStyleElement type="firstRowStripe" dxfId="1"/>
      <tableStyleElement type="secondRowStripe" dxfId="2"/>
    </tableStyle>
    <tableStyle name="분할_26년03월-style 42" pivot="0" count="2">
      <tableStyleElement type="firstRowStripe" dxfId="1"/>
      <tableStyleElement type="secondRowStripe" dxfId="2"/>
    </tableStyle>
    <tableStyle name="분할_26년03월-style 43" pivot="0" count="2">
      <tableStyleElement type="firstRowStripe" dxfId="1"/>
      <tableStyleElement type="secondRowStripe" dxfId="2"/>
    </tableStyle>
    <tableStyle name="분할_26년03월-style 44" pivot="0" count="2">
      <tableStyleElement type="firstRowStripe" dxfId="1"/>
      <tableStyleElement type="secondRowStripe" dxfId="2"/>
    </tableStyle>
    <tableStyle name="분할_26년03월-style 45" pivot="0" count="2">
      <tableStyleElement type="firstRowStripe" dxfId="2"/>
      <tableStyleElement type="secondRowStripe" dxfId="1"/>
    </tableStyle>
    <tableStyle name="분할_26년03월-style 46" pivot="0" count="2">
      <tableStyleElement type="firstRowStripe" dxfId="1"/>
      <tableStyleElement type="secondRowStripe" dxfId="2"/>
    </tableStyle>
    <tableStyle name="분할_26년03월-style 47" pivot="0" count="2">
      <tableStyleElement type="firstRowStripe" dxfId="1"/>
      <tableStyleElement type="secondRowStripe" dxfId="2"/>
    </tableStyle>
    <tableStyle name="분할_26년03월-style 48" pivot="0" count="2">
      <tableStyleElement type="firstRowStripe" dxfId="1"/>
      <tableStyleElement type="secondRowStripe" dxfId="2"/>
    </tableStyle>
    <tableStyle name="분할_26년03월-style 49" pivot="0" count="2">
      <tableStyleElement type="firstRowStripe" dxfId="1"/>
      <tableStyleElement type="secondRowStripe" dxfId="2"/>
    </tableStyle>
    <tableStyle name="분할_26년03월-style 50" pivot="0" count="2">
      <tableStyleElement type="firstRowStripe" dxfId="1"/>
      <tableStyleElement type="secondRowStripe" dxfId="2"/>
    </tableStyle>
    <tableStyle name="분할_26년03월-style 51" pivot="0" count="2">
      <tableStyleElement type="firstRowStripe" dxfId="1"/>
      <tableStyleElement type="secondRowStripe" dxfId="2"/>
    </tableStyle>
    <tableStyle name="분할_26년03월-style 52" pivot="0" count="2">
      <tableStyleElement type="firstRowStripe" dxfId="1"/>
      <tableStyleElement type="secondRowStripe" dxfId="2"/>
    </tableStyle>
    <tableStyle name="분할_26년03월-style 53" pivot="0" count="2">
      <tableStyleElement type="firstRowStripe" dxfId="1"/>
      <tableStyleElement type="secondRowStripe" dxfId="2"/>
    </tableStyle>
    <tableStyle name="분할_26년03월-style 54" pivot="0" count="2">
      <tableStyleElement type="firstRowStripe" dxfId="2"/>
      <tableStyleElement type="secondRowStripe" dxfId="1"/>
    </tableStyle>
    <tableStyle name="분할_26년03월-style 55" pivot="0" count="2">
      <tableStyleElement type="firstRowStripe" dxfId="1"/>
      <tableStyleElement type="secondRowStripe" dxfId="2"/>
    </tableStyle>
    <tableStyle name="분할_26년03월-style 56" pivot="0" count="2">
      <tableStyleElement type="firstRowStripe" dxfId="1"/>
      <tableStyleElement type="secondRowStripe" dxfId="2"/>
    </tableStyle>
    <tableStyle name="분할_26년03월-style 57" pivot="0" count="2">
      <tableStyleElement type="firstRowStripe" dxfId="1"/>
      <tableStyleElement type="secondRowStripe" dxfId="2"/>
    </tableStyle>
    <tableStyle name="분할_26년03월-style 58" pivot="0" count="2">
      <tableStyleElement type="firstRowStripe" dxfId="1"/>
      <tableStyleElement type="secondRowStripe" dxfId="2"/>
    </tableStyle>
    <tableStyle name="분할_26년03월-style 59" pivot="0" count="2">
      <tableStyleElement type="firstRowStripe" dxfId="1"/>
      <tableStyleElement type="secondRowStripe" dxfId="2"/>
    </tableStyle>
    <tableStyle name="분할_26년03월-style 60" pivot="0" count="2">
      <tableStyleElement type="firstRowStripe" dxfId="1"/>
      <tableStyleElement type="secondRowStripe" dxfId="2"/>
    </tableStyle>
    <tableStyle name="분할_26년03월-style 61" pivot="0" count="2">
      <tableStyleElement type="firstRowStripe" dxfId="1"/>
      <tableStyleElement type="secondRowStripe" dxfId="2"/>
    </tableStyle>
    <tableStyle name="분할_26년03월-style 62" pivot="0" count="2">
      <tableStyleElement type="firstRowStripe" dxfId="1"/>
      <tableStyleElement type="secondRowStripe" dxfId="2"/>
    </tableStyle>
    <tableStyle name="분할_26년03월-style 63" pivot="0" count="2">
      <tableStyleElement type="firstRowStripe" dxfId="1"/>
      <tableStyleElement type="secondRowStripe" dxfId="2"/>
    </tableStyle>
    <tableStyle name="분할_26년03월-style 64" pivot="0" count="2">
      <tableStyleElement type="firstRowStripe" dxfId="2"/>
      <tableStyleElement type="secondRowStripe" dxfId="1"/>
    </tableStyle>
    <tableStyle name="분할_26년03월-style 65" pivot="0" count="2">
      <tableStyleElement type="firstRowStripe" dxfId="2"/>
      <tableStyleElement type="secondRowStripe" dxfId="1"/>
    </tableStyle>
    <tableStyle name="분할_26년03월-style 66" pivot="0" count="2">
      <tableStyleElement type="firstRowStripe" dxfId="1"/>
      <tableStyleElement type="secondRowStripe" dxfId="2"/>
    </tableStyle>
    <tableStyle name="분할_26년03월-style 67" pivot="0" count="2">
      <tableStyleElement type="firstRowStripe" dxfId="2"/>
      <tableStyleElement type="secondRowStripe" dxfId="1"/>
    </tableStyle>
    <tableStyle name="분할_26년03월-style 68" pivot="0" count="2">
      <tableStyleElement type="firstRowStripe" dxfId="1"/>
      <tableStyleElement type="secondRowStripe" dxfId="2"/>
    </tableStyle>
    <tableStyle name="분할_26년03월-style 69" pivot="0" count="2">
      <tableStyleElement type="firstRowStripe" dxfId="1"/>
      <tableStyleElement type="secondRowStripe" dxfId="2"/>
    </tableStyle>
    <tableStyle name="분할_26년03월-style 70" pivot="0" count="2">
      <tableStyleElement type="firstRowStripe" dxfId="1"/>
      <tableStyleElement type="secondRowStripe" dxfId="2"/>
    </tableStyle>
    <tableStyle name="분할_26년03월-style 71" pivot="0" count="2">
      <tableStyleElement type="firstRowStripe" dxfId="1"/>
      <tableStyleElement type="secondRowStripe" dxfId="2"/>
    </tableStyle>
    <tableStyle name="분할_26년03월-style 72" pivot="0" count="2">
      <tableStyleElement type="firstRowStripe" dxfId="1"/>
      <tableStyleElement type="secondRowStripe" dxfId="2"/>
    </tableStyle>
    <tableStyle name="분할_26년03월-style 73" pivot="0" count="2">
      <tableStyleElement type="firstRowStripe" dxfId="1"/>
      <tableStyleElement type="secondRowStripe" dxfId="2"/>
    </tableStyle>
    <tableStyle name="분할_26년03월-style 74" pivot="0" count="2">
      <tableStyleElement type="firstRowStripe" dxfId="2"/>
      <tableStyleElement type="secondRowStripe" dxfId="1"/>
    </tableStyle>
    <tableStyle name="분할_26년03월-style 75" pivot="0" count="2">
      <tableStyleElement type="firstRowStripe" dxfId="2"/>
      <tableStyleElement type="secondRowStripe" dxfId="1"/>
    </tableStyle>
    <tableStyle name="분할_26년03월-style 76" pivot="0" count="2">
      <tableStyleElement type="firstRowStripe" dxfId="1"/>
      <tableStyleElement type="secondRowStripe" dxfId="3"/>
    </tableStyle>
    <tableStyle name="분할_26년03월-style 77" pivot="0" count="2">
      <tableStyleElement type="firstRowStripe" dxfId="2"/>
      <tableStyleElement type="secondRowStripe" dxfId="1"/>
    </tableStyle>
    <tableStyle name="분할_26년03월-style 78" pivot="0" count="2">
      <tableStyleElement type="firstRowStripe" dxfId="1"/>
      <tableStyleElement type="secondRowStripe" dxfId="2"/>
    </tableStyle>
    <tableStyle name="분할_26년03월-style 79" pivot="0" count="2">
      <tableStyleElement type="firstRowStripe" dxfId="1"/>
      <tableStyleElement type="secondRowStripe" dxfId="2"/>
    </tableStyle>
    <tableStyle name="분할_26년03월-style 80" pivot="0" count="2">
      <tableStyleElement type="firstRowStripe" dxfId="1"/>
      <tableStyleElement type="secondRowStripe" dxfId="2"/>
    </tableStyle>
    <tableStyle name="분할_26년03월-style 81" pivot="0" count="2">
      <tableStyleElement type="firstRowStripe" dxfId="2"/>
      <tableStyleElement type="secondRowStripe" dxfId="1"/>
    </tableStyle>
    <tableStyle name="분할_26년03월-style 82" pivot="0" count="2">
      <tableStyleElement type="firstRowStripe" dxfId="2"/>
      <tableStyleElement type="secondRowStripe" dxfId="1"/>
    </tableStyle>
    <tableStyle name="분할_26년03월-style 83" pivot="0" count="2">
      <tableStyleElement type="firstRowStripe" dxfId="2"/>
      <tableStyleElement type="secondRowStripe" dxfId="1"/>
    </tableStyle>
    <tableStyle name="분할_26년03월-style 84" pivot="0" count="2">
      <tableStyleElement type="firstRowStripe" dxfId="1"/>
      <tableStyleElement type="secondRowStripe" dxfId="2"/>
    </tableStyle>
    <tableStyle name="분할_26년03월-style 85" pivot="0" count="2">
      <tableStyleElement type="firstRowStripe" dxfId="2"/>
      <tableStyleElement type="secondRowStripe" dxfId="1"/>
    </tableStyle>
    <tableStyle name="분할_26년03월-style 86" pivot="0" count="2">
      <tableStyleElement type="firstRowStripe" dxfId="1"/>
      <tableStyleElement type="secondRowStripe" dxfId="2"/>
    </tableStyle>
    <tableStyle name="분할_26년03월-style 87" pivot="0" count="2">
      <tableStyleElement type="firstRowStripe" dxfId="2"/>
      <tableStyleElement type="secondRowStripe" dxfId="1"/>
    </tableStyle>
    <tableStyle name="분할_26년03월-style 88" pivot="0" count="2">
      <tableStyleElement type="firstRowStripe" dxfId="1"/>
      <tableStyleElement type="secondRowStripe" dxfId="2"/>
    </tableStyle>
    <tableStyle name="분할_26년03월-style 89" pivot="0" count="2">
      <tableStyleElement type="firstRowStripe" dxfId="2"/>
      <tableStyleElement type="secondRowStripe" dxfId="1"/>
    </tableStyle>
    <tableStyle name="분할_26년03월-style 90" pivot="0" count="2">
      <tableStyleElement type="firstRowStripe" dxfId="2"/>
      <tableStyleElement type="secondRowStripe" dxfId="1"/>
    </tableStyle>
    <tableStyle name="분할_26년03월-style 91" pivot="0" count="2">
      <tableStyleElement type="firstRowStripe" dxfId="1"/>
      <tableStyleElement type="secondRowStripe" dxfId="2"/>
    </tableStyle>
    <tableStyle name="분할_26년03월-style 92" pivot="0" count="2">
      <tableStyleElement type="firstRowStripe" dxfId="1"/>
      <tableStyleElement type="secondRowStripe" dxfId="2"/>
    </tableStyle>
    <tableStyle name="분할_26년03월-style 93" pivot="0" count="2">
      <tableStyleElement type="firstRowStripe" dxfId="1"/>
      <tableStyleElement type="secondRowStripe" dxfId="2"/>
    </tableStyle>
    <tableStyle name="분할_26년03월-style 94" pivot="0" count="2">
      <tableStyleElement type="firstRowStripe" dxfId="1"/>
      <tableStyleElement type="secondRowStripe" dxfId="3"/>
    </tableStyle>
    <tableStyle name="분할_26년03월-style 95" pivot="0" count="2">
      <tableStyleElement type="firstRowStripe" dxfId="2"/>
      <tableStyleElement type="secondRowStripe" dxfId="1"/>
    </tableStyle>
    <tableStyle name="분할_26년03월-style 96" pivot="0" count="2">
      <tableStyleElement type="firstRowStripe" dxfId="1"/>
      <tableStyleElement type="secondRowStripe" dxfId="2"/>
    </tableStyle>
    <tableStyle name="분할_26년03월-style 97" pivot="0" count="2">
      <tableStyleElement type="firstRowStripe" dxfId="2"/>
      <tableStyleElement type="secondRowStripe" dxfId="1"/>
    </tableStyle>
    <tableStyle name="분할_26년03월-style 98" pivot="0" count="2">
      <tableStyleElement type="firstRowStripe" dxfId="1"/>
      <tableStyleElement type="secondRowStripe" dxfId="2"/>
    </tableStyle>
    <tableStyle name="분할_26년03월-style 99" pivot="0" count="2">
      <tableStyleElement type="firstRowStripe" dxfId="1"/>
      <tableStyleElement type="secondRowStripe" dxfId="2"/>
    </tableStyle>
    <tableStyle name="분할_26년03월-style 100" pivot="0" count="2">
      <tableStyleElement type="firstRowStripe" dxfId="1"/>
      <tableStyleElement type="secondRowStripe" dxfId="3"/>
    </tableStyle>
    <tableStyle name="분할_26년03월-style 101" pivot="0" count="2">
      <tableStyleElement type="firstRowStripe" dxfId="2"/>
      <tableStyleElement type="secondRowStripe" dxfId="1"/>
    </tableStyle>
    <tableStyle name="분할_26년03월-style 102" pivot="0" count="2">
      <tableStyleElement type="firstRowStripe" dxfId="1"/>
      <tableStyleElement type="secondRowStripe" dxfId="2"/>
    </tableStyle>
    <tableStyle name="분할_26년03월-style 103" pivot="0" count="2">
      <tableStyleElement type="firstRowStripe" dxfId="2"/>
      <tableStyleElement type="secondRowStripe" dxfId="1"/>
    </tableStyle>
    <tableStyle name="분할_26년03월-style 104" pivot="0" count="2">
      <tableStyleElement type="firstRowStripe" dxfId="1"/>
      <tableStyleElement type="secondRowStripe" dxfId="2"/>
    </tableStyle>
    <tableStyle name="분할_26년03월-style 105" pivot="0" count="2">
      <tableStyleElement type="firstRowStripe" dxfId="2"/>
      <tableStyleElement type="secondRowStripe" dxfId="1"/>
    </tableStyle>
    <tableStyle name="분할_26년03월-style 106" pivot="0" count="2">
      <tableStyleElement type="firstRowStripe" dxfId="1"/>
      <tableStyleElement type="secondRowStripe" dxfId="2"/>
    </tableStyle>
    <tableStyle name="분할_26년03월-style 107" pivot="0" count="2">
      <tableStyleElement type="firstRowStripe" dxfId="1"/>
      <tableStyleElement type="secondRowStripe" dxfId="2"/>
    </tableStyle>
    <tableStyle name="분할_26년03월-style 108" pivot="0" count="2">
      <tableStyleElement type="firstRowStripe" dxfId="1"/>
      <tableStyleElement type="secondRowStripe" dxfId="2"/>
    </tableStyle>
    <tableStyle name="분할_26년03월-style 109" pivot="0" count="2">
      <tableStyleElement type="firstRowStripe" dxfId="1"/>
      <tableStyleElement type="secondRowStripe" dxfId="2"/>
    </tableStyle>
    <tableStyle name="분할_26년03월-style 110" pivot="0" count="2">
      <tableStyleElement type="firstRowStripe" dxfId="1"/>
      <tableStyleElement type="secondRowStripe" dxfId="2"/>
    </tableStyle>
    <tableStyle name="분할_26년03월-style 111" pivot="0" count="2">
      <tableStyleElement type="firstRowStripe" dxfId="2"/>
      <tableStyleElement type="secondRowStripe" dxfId="1"/>
    </tableStyle>
    <tableStyle name="분할_26년03월-style 112" pivot="0" count="2">
      <tableStyleElement type="firstRowStripe" dxfId="1"/>
      <tableStyleElement type="secondRowStripe" dxfId="2"/>
    </tableStyle>
    <tableStyle name="분할_26년03월-style 113" pivot="0" count="2">
      <tableStyleElement type="firstRowStripe" dxfId="1"/>
      <tableStyleElement type="secondRowStripe" dxfId="2"/>
    </tableStyle>
    <tableStyle name="분할_26년03월-style 114" pivot="0" count="2">
      <tableStyleElement type="firstRowStripe" dxfId="1"/>
      <tableStyleElement type="secondRowStripe" dxfId="2"/>
    </tableStyle>
    <tableStyle name="분할_26년03월-style 115" pivot="0" count="2">
      <tableStyleElement type="firstRowStripe" dxfId="2"/>
      <tableStyleElement type="secondRowStripe" dxfId="1"/>
    </tableStyle>
    <tableStyle name="분할_26년03월-style 116" pivot="0" count="2">
      <tableStyleElement type="firstRowStripe" dxfId="1"/>
      <tableStyleElement type="secondRowStripe" dxfId="2"/>
    </tableStyle>
    <tableStyle name="분할_26년03월-style 117" pivot="0" count="2">
      <tableStyleElement type="firstRowStripe" dxfId="1"/>
      <tableStyleElement type="secondRowStripe" dxfId="2"/>
    </tableStyle>
    <tableStyle name="분할_26년03월-style 118" pivot="0" count="2">
      <tableStyleElement type="firstRowStripe" dxfId="2"/>
      <tableStyleElement type="secondRowStripe" dxfId="1"/>
    </tableStyle>
    <tableStyle name="분할_26년03월-style 119" pivot="0" count="2">
      <tableStyleElement type="firstRowStripe" dxfId="1"/>
      <tableStyleElement type="secondRowStripe" dxfId="2"/>
    </tableStyle>
    <tableStyle name="분할_26년03월-style 120" pivot="0" count="2">
      <tableStyleElement type="firstRowStripe" dxfId="1"/>
      <tableStyleElement type="secondRowStripe" dxfId="2"/>
    </tableStyle>
    <tableStyle name="분할_26년03월-style 121" pivot="0" count="2">
      <tableStyleElement type="firstRowStripe" dxfId="1"/>
      <tableStyleElement type="secondRowStripe" dxfId="2"/>
    </tableStyle>
    <tableStyle name="분할_26년03월-style 122" pivot="0" count="2">
      <tableStyleElement type="firstRowStripe" dxfId="1"/>
      <tableStyleElement type="secondRowStripe" dxfId="2"/>
    </tableStyle>
    <tableStyle name="분할_26년03월-style 123" pivot="0" count="2">
      <tableStyleElement type="firstRowStripe" dxfId="2"/>
      <tableStyleElement type="secondRowStripe" dxfId="1"/>
    </tableStyle>
    <tableStyle name="분할_26년03월-style 124" pivot="0" count="2">
      <tableStyleElement type="firstRowStripe" dxfId="2"/>
      <tableStyleElement type="secondRowStripe" dxfId="1"/>
    </tableStyle>
    <tableStyle name="분할_26년03월-style 125" pivot="0" count="2">
      <tableStyleElement type="firstRowStripe" dxfId="1"/>
      <tableStyleElement type="secondRowStripe" dxfId="2"/>
    </tableStyle>
    <tableStyle name="분할_26년03월-style 126" pivot="0" count="2">
      <tableStyleElement type="firstRowStripe" dxfId="1"/>
      <tableStyleElement type="secondRowStripe" dxfId="2"/>
    </tableStyle>
    <tableStyle name="분할_26년03월-style 127" pivot="0" count="2">
      <tableStyleElement type="firstRowStripe" dxfId="2"/>
      <tableStyleElement type="secondRowStripe" dxfId="1"/>
    </tableStyle>
    <tableStyle name="분할_26년03월-style 128" pivot="0" count="2">
      <tableStyleElement type="firstRowStripe" dxfId="2"/>
      <tableStyleElement type="secondRowStripe" dxfId="1"/>
    </tableStyle>
    <tableStyle name="분할_26년03월-style 129" pivot="0" count="2">
      <tableStyleElement type="firstRowStripe" dxfId="1"/>
      <tableStyleElement type="secondRowStripe" dxfId="2"/>
    </tableStyle>
    <tableStyle name="분할_26년03월-style 130" pivot="0" count="2">
      <tableStyleElement type="firstRowStripe" dxfId="1"/>
      <tableStyleElement type="secondRowStripe" dxfId="2"/>
    </tableStyle>
    <tableStyle name="분할_26년03월-style 131" pivot="0" count="2">
      <tableStyleElement type="firstRowStripe" dxfId="1"/>
      <tableStyleElement type="secondRowStripe" dxfId="2"/>
    </tableStyle>
    <tableStyle name="분할_26년03월-style 132" pivot="0" count="2">
      <tableStyleElement type="firstRowStripe" dxfId="2"/>
      <tableStyleElement type="secondRowStripe" dxfId="1"/>
    </tableStyle>
    <tableStyle name="분할_26년03월-style 133" pivot="0" count="2">
      <tableStyleElement type="firstRowStripe" dxfId="2"/>
      <tableStyleElement type="secondRowStripe" dxfId="1"/>
    </tableStyle>
    <tableStyle name="분할_26년03월-style 134" pivot="0" count="2">
      <tableStyleElement type="firstRowStripe" dxfId="2"/>
      <tableStyleElement type="secondRowStripe" dxfId="1"/>
    </tableStyle>
    <tableStyle name="분할_26년03월-style 135" pivot="0" count="2">
      <tableStyleElement type="firstRowStripe" dxfId="1"/>
      <tableStyleElement type="secondRowStripe" dxfId="2"/>
    </tableStyle>
    <tableStyle name="분할_26년03월-style 136" pivot="0" count="2">
      <tableStyleElement type="firstRowStripe" dxfId="2"/>
      <tableStyleElement type="secondRowStripe" dxfId="1"/>
    </tableStyle>
    <tableStyle name="분할_26년03월-style 137" pivot="0" count="2">
      <tableStyleElement type="firstRowStripe" dxfId="2"/>
      <tableStyleElement type="secondRowStripe" dxfId="1"/>
    </tableStyle>
    <tableStyle name="분할_26년03월-style 138" pivot="0" count="2">
      <tableStyleElement type="firstRowStripe" dxfId="2"/>
      <tableStyleElement type="secondRowStripe" dxfId="1"/>
    </tableStyle>
    <tableStyle name="분할_26년03월-style 139" pivot="0" count="2">
      <tableStyleElement type="firstRowStripe" dxfId="2"/>
      <tableStyleElement type="secondRowStripe" dxfId="1"/>
    </tableStyle>
    <tableStyle name="분할_26년03월-style 140" pivot="0" count="2">
      <tableStyleElement type="firstRowStripe" dxfId="1"/>
      <tableStyleElement type="secondRowStripe" dxfId="2"/>
    </tableStyle>
    <tableStyle name="분할_26년03월-style 141" pivot="0" count="2">
      <tableStyleElement type="firstRowStripe" dxfId="2"/>
      <tableStyleElement type="secondRowStripe" dxfId="1"/>
    </tableStyle>
    <tableStyle name="분할_26년03월-style 142" pivot="0" count="2">
      <tableStyleElement type="firstRowStripe" dxfId="2"/>
      <tableStyleElement type="secondRowStripe" dxfId="1"/>
    </tableStyle>
    <tableStyle name="분할_26년03월-style 143" pivot="0" count="2">
      <tableStyleElement type="firstRowStripe" dxfId="2"/>
      <tableStyleElement type="secondRowStripe" dxfId="1"/>
    </tableStyle>
    <tableStyle name="분할_26년03월-style 144" pivot="0" count="2">
      <tableStyleElement type="firstRowStripe" dxfId="2"/>
      <tableStyleElement type="secondRowStripe" dxfId="1"/>
    </tableStyle>
    <tableStyle name="분할_26년03월-style 145" pivot="0" count="2">
      <tableStyleElement type="firstRowStripe" dxfId="2"/>
      <tableStyleElement type="secondRowStripe" dxfId="1"/>
    </tableStyle>
    <tableStyle name="분할_26년03월-style 146" pivot="0" count="2">
      <tableStyleElement type="firstRowStripe" dxfId="2"/>
      <tableStyleElement type="secondRowStripe" dxfId="1"/>
    </tableStyle>
    <tableStyle name="분할_26년03월-style 147" pivot="0" count="2">
      <tableStyleElement type="firstRowStripe" dxfId="2"/>
      <tableStyleElement type="secondRowStripe" dxfId="1"/>
    </tableStyle>
    <tableStyle name="분할_26년03월-style 148" pivot="0" count="2">
      <tableStyleElement type="firstRowStripe" dxfId="1"/>
      <tableStyleElement type="secondRowStripe" dxfId="2"/>
    </tableStyle>
    <tableStyle name="분할_26년03월-style 149" pivot="0" count="2">
      <tableStyleElement type="firstRowStripe" dxfId="2"/>
      <tableStyleElement type="secondRowStripe" dxfId="1"/>
    </tableStyle>
    <tableStyle name="분할_26년03월-style 150" pivot="0" count="2">
      <tableStyleElement type="firstRowStripe" dxfId="2"/>
      <tableStyleElement type="secondRowStripe" dxfId="1"/>
    </tableStyle>
    <tableStyle name="분할_26년03월-style 151" pivot="0" count="2">
      <tableStyleElement type="firstRowStripe" dxfId="1"/>
      <tableStyleElement type="secondRowStripe" dxfId="2"/>
    </tableStyle>
    <tableStyle name="분할_26년03월-style 152" pivot="0" count="2">
      <tableStyleElement type="firstRowStripe" dxfId="2"/>
      <tableStyleElement type="secondRowStripe" dxfId="1"/>
    </tableStyle>
    <tableStyle name="분할_26년03월-style 153" pivot="0" count="2">
      <tableStyleElement type="firstRowStripe" dxfId="2"/>
      <tableStyleElement type="secondRowStripe" dxfId="1"/>
    </tableStyle>
    <tableStyle name="분할_26년03월-style 154" pivot="0" count="2">
      <tableStyleElement type="firstRowStripe" dxfId="1"/>
      <tableStyleElement type="secondRowStripe" dxfId="2"/>
    </tableStyle>
    <tableStyle name="분할_26년03월-style 155" pivot="0" count="2">
      <tableStyleElement type="firstRowStripe" dxfId="1"/>
      <tableStyleElement type="secondRowStripe" dxfId="2"/>
    </tableStyle>
    <tableStyle name="분할_26년03월-style 156" pivot="0" count="2">
      <tableStyleElement type="firstRowStripe" dxfId="2"/>
      <tableStyleElement type="secondRowStripe" dxfId="1"/>
    </tableStyle>
    <tableStyle name="분할_26년03월-style 157" pivot="0" count="2">
      <tableStyleElement type="firstRowStripe" dxfId="1"/>
      <tableStyleElement type="secondRowStripe" dxfId="2"/>
    </tableStyle>
    <tableStyle name="분할_26년03월-style 158" pivot="0" count="2">
      <tableStyleElement type="firstRowStripe" dxfId="2"/>
      <tableStyleElement type="secondRowStripe" dxfId="1"/>
    </tableStyle>
    <tableStyle name="분할_26년03월-style 159" pivot="0" count="2">
      <tableStyleElement type="firstRowStripe" dxfId="2"/>
      <tableStyleElement type="secondRowStripe" dxfId="1"/>
    </tableStyle>
    <tableStyle name="분할_26년03월-style 160" pivot="0" count="2">
      <tableStyleElement type="firstRowStripe" dxfId="2"/>
      <tableStyleElement type="secondRowStripe" dxfId="1"/>
    </tableStyle>
    <tableStyle name="분할_26년03월-style 161" pivot="0" count="2">
      <tableStyleElement type="firstRowStripe" dxfId="2"/>
      <tableStyleElement type="secondRowStripe" dxfId="1"/>
    </tableStyle>
    <tableStyle name="분할_26년03월-style 162" pivot="0" count="2">
      <tableStyleElement type="firstRowStripe" dxfId="1"/>
      <tableStyleElement type="secondRowStripe" dxfId="2"/>
    </tableStyle>
    <tableStyle name="분할_26년03월-style 163" pivot="0" count="2">
      <tableStyleElement type="firstRowStripe" dxfId="2"/>
      <tableStyleElement type="secondRowStripe" dxfId="1"/>
    </tableStyle>
    <tableStyle name="분할_26년03월-style 164" pivot="0" count="2">
      <tableStyleElement type="firstRowStripe" dxfId="1"/>
      <tableStyleElement type="secondRowStripe" dxfId="2"/>
    </tableStyle>
    <tableStyle name="분할_26년03월-style 165" pivot="0" count="2">
      <tableStyleElement type="firstRowStripe" dxfId="2"/>
      <tableStyleElement type="secondRowStripe" dxfId="1"/>
    </tableStyle>
    <tableStyle name="분할_26년03월-style 166" pivot="0" count="2">
      <tableStyleElement type="firstRowStripe" dxfId="1"/>
      <tableStyleElement type="secondRowStripe" dxfId="2"/>
    </tableStyle>
    <tableStyle name="분할_26년03월-style 167" pivot="0" count="2">
      <tableStyleElement type="firstRowStripe" dxfId="2"/>
      <tableStyleElement type="secondRowStripe" dxfId="1"/>
    </tableStyle>
    <tableStyle name="분할_26년03월-style 168" pivot="0" count="2">
      <tableStyleElement type="firstRowStripe" dxfId="1"/>
      <tableStyleElement type="secondRowStripe" dxfId="2"/>
    </tableStyle>
    <tableStyle name="분할_26년03월-style 169" pivot="0" count="2">
      <tableStyleElement type="firstRowStripe" dxfId="1"/>
      <tableStyleElement type="secondRowStripe" dxfId="2"/>
    </tableStyle>
    <tableStyle name="분할_26년03월-style 170" pivot="0" count="2">
      <tableStyleElement type="firstRowStripe" dxfId="2"/>
      <tableStyleElement type="secondRowStripe" dxfId="1"/>
    </tableStyle>
    <tableStyle name="분할_26년03월-style 171" pivot="0" count="2">
      <tableStyleElement type="firstRowStripe" dxfId="1"/>
      <tableStyleElement type="secondRowStripe" dxfId="2"/>
    </tableStyle>
    <tableStyle name="분할_26년03월-style 172" pivot="0" count="2">
      <tableStyleElement type="firstRowStripe" dxfId="1"/>
      <tableStyleElement type="secondRowStripe" dxfId="2"/>
    </tableStyle>
    <tableStyle name="분할_26년03월-style 173" pivot="0" count="2">
      <tableStyleElement type="firstRowStripe" dxfId="2"/>
      <tableStyleElement type="secondRowStripe" dxfId="1"/>
    </tableStyle>
    <tableStyle name="분할_26년03월-style 174" pivot="0" count="2">
      <tableStyleElement type="firstRowStripe" dxfId="1"/>
      <tableStyleElement type="secondRowStripe" dxfId="2"/>
    </tableStyle>
    <tableStyle name="분할_26년03월-style 175" pivot="0" count="2">
      <tableStyleElement type="firstRowStripe" dxfId="1"/>
      <tableStyleElement type="secondRowStripe" dxfId="2"/>
    </tableStyle>
    <tableStyle name="분할_26년03월-style 176" pivot="0" count="2">
      <tableStyleElement type="firstRowStripe" dxfId="1"/>
      <tableStyleElement type="secondRowStripe" dxfId="2"/>
    </tableStyle>
    <tableStyle name="분할_26년03월-style 177" pivot="0" count="2">
      <tableStyleElement type="firstRowStripe" dxfId="1"/>
      <tableStyleElement type="secondRowStripe" dxfId="2"/>
    </tableStyle>
    <tableStyle name="분할_26년03월-style 178" pivot="0" count="2">
      <tableStyleElement type="firstRowStripe" dxfId="1"/>
      <tableStyleElement type="secondRowStripe" dxfId="2"/>
    </tableStyle>
    <tableStyle name="분할_26년03월-style 179" pivot="0" count="2">
      <tableStyleElement type="firstRowStripe" dxfId="1"/>
      <tableStyleElement type="secondRowStripe" dxfId="2"/>
    </tableStyle>
    <tableStyle name="분할_26년03월-style 180" pivot="0" count="2">
      <tableStyleElement type="firstRowStripe" dxfId="1"/>
      <tableStyleElement type="secondRowStripe" dxfId="2"/>
    </tableStyle>
    <tableStyle name="분할_26년03월-style 181" pivot="0" count="2">
      <tableStyleElement type="firstRowStripe" dxfId="1"/>
      <tableStyleElement type="secondRowStripe" dxfId="2"/>
    </tableStyle>
    <tableStyle name="분할_26년03월-style 182" pivot="0" count="2">
      <tableStyleElement type="firstRowStripe" dxfId="1"/>
      <tableStyleElement type="secondRowStripe" dxfId="2"/>
    </tableStyle>
    <tableStyle name="분할_26년03월-style 183" pivot="0" count="2">
      <tableStyleElement type="firstRowStripe" dxfId="1"/>
      <tableStyleElement type="secondRowStripe" dxfId="2"/>
    </tableStyle>
    <tableStyle name="분할_26년03월-style 184" pivot="0" count="2">
      <tableStyleElement type="firstRowStripe" dxfId="1"/>
      <tableStyleElement type="secondRowStripe" dxfId="2"/>
    </tableStyle>
    <tableStyle name="분할_26년03월-style 185" pivot="0" count="2">
      <tableStyleElement type="firstRowStripe" dxfId="1"/>
      <tableStyleElement type="secondRowStripe" dxfId="2"/>
    </tableStyle>
    <tableStyle name="분할_26년03월-style 186" pivot="0" count="2">
      <tableStyleElement type="firstRowStripe" dxfId="2"/>
      <tableStyleElement type="secondRowStripe" dxfId="1"/>
    </tableStyle>
    <tableStyle name="분할_26년03월-style 187" pivot="0" count="2">
      <tableStyleElement type="firstRowStripe" dxfId="1"/>
      <tableStyleElement type="secondRowStripe" dxfId="2"/>
    </tableStyle>
    <tableStyle name="분할_26년03월-style 188" pivot="0" count="2">
      <tableStyleElement type="firstRowStripe" dxfId="1"/>
      <tableStyleElement type="secondRowStripe" dxfId="2"/>
    </tableStyle>
    <tableStyle name="분할_26년03월-style 189" pivot="0" count="2">
      <tableStyleElement type="firstRowStripe" dxfId="1"/>
      <tableStyleElement type="secondRowStripe" dxfId="2"/>
    </tableStyle>
    <tableStyle name="분할_26년03월-style 190" pivot="0" count="2">
      <tableStyleElement type="firstRowStripe" dxfId="1"/>
      <tableStyleElement type="secondRowStripe" dxfId="2"/>
    </tableStyle>
    <tableStyle name="분할_26년03월-style 191" pivot="0" count="2">
      <tableStyleElement type="firstRowStripe" dxfId="1"/>
      <tableStyleElement type="secondRowStripe" dxfId="2"/>
    </tableStyle>
    <tableStyle name="분할_26년03월-style 192" pivot="0" count="2">
      <tableStyleElement type="firstRowStripe" dxfId="2"/>
      <tableStyleElement type="secondRowStripe" dxfId="1"/>
    </tableStyle>
    <tableStyle name="분할_26년03월-style 193" pivot="0" count="2">
      <tableStyleElement type="firstRowStripe" dxfId="1"/>
      <tableStyleElement type="secondRowStripe" dxfId="2"/>
    </tableStyle>
    <tableStyle name="분할_26년03월-style 194" pivot="0" count="2">
      <tableStyleElement type="firstRowStripe" dxfId="1"/>
      <tableStyleElement type="secondRowStripe" dxfId="2"/>
    </tableStyle>
    <tableStyle name="분할_26년03월-style 195" pivot="0" count="2">
      <tableStyleElement type="firstRowStripe" dxfId="1"/>
      <tableStyleElement type="secondRowStripe" dxfId="2"/>
    </tableStyle>
    <tableStyle name="분할_26년03월-style 196" pivot="0" count="2">
      <tableStyleElement type="firstRowStripe" dxfId="1"/>
      <tableStyleElement type="secondRowStripe" dxfId="2"/>
    </tableStyle>
    <tableStyle name="분할_26년03월-style 197" pivot="0" count="2">
      <tableStyleElement type="firstRowStripe" dxfId="2"/>
      <tableStyleElement type="secondRowStripe" dxfId="1"/>
    </tableStyle>
    <tableStyle name="분할_26년03월-style 198" pivot="0" count="2">
      <tableStyleElement type="firstRowStripe" dxfId="1"/>
      <tableStyleElement type="secondRowStripe" dxfId="2"/>
    </tableStyle>
    <tableStyle name="분할_26년03월-style 199" pivot="0" count="2">
      <tableStyleElement type="firstRowStripe" dxfId="2"/>
      <tableStyleElement type="secondRowStripe" dxfId="1"/>
    </tableStyle>
    <tableStyle name="분할_26년03월-style 200" pivot="0" count="2">
      <tableStyleElement type="firstRowStripe" dxfId="1"/>
      <tableStyleElement type="secondRowStripe" dxfId="2"/>
    </tableStyle>
    <tableStyle name="분할_26년03월-style 201" pivot="0" count="2">
      <tableStyleElement type="firstRowStripe" dxfId="1"/>
      <tableStyleElement type="secondRowStripe" dxfId="2"/>
    </tableStyle>
    <tableStyle name="분할_26년03월-style 202" pivot="0" count="2">
      <tableStyleElement type="firstRowStripe" dxfId="1"/>
      <tableStyleElement type="secondRowStripe" dxfId="2"/>
    </tableStyle>
    <tableStyle name="분할_26년03월-style 203" pivot="0" count="2">
      <tableStyleElement type="firstRowStripe" dxfId="1"/>
      <tableStyleElement type="secondRowStripe" dxfId="2"/>
    </tableStyle>
    <tableStyle name="분할_26년03월-style 204" pivot="0" count="2">
      <tableStyleElement type="firstRowStripe" dxfId="2"/>
      <tableStyleElement type="secondRowStripe" dxfId="1"/>
    </tableStyle>
    <tableStyle name="분할_26년03월-style 205" pivot="0" count="2">
      <tableStyleElement type="firstRowStripe" dxfId="1"/>
      <tableStyleElement type="secondRowStripe" dxfId="2"/>
    </tableStyle>
    <tableStyle name="분할_26년03월-style 206" pivot="0" count="2">
      <tableStyleElement type="firstRowStripe" dxfId="1"/>
      <tableStyleElement type="secondRowStripe" dxfId="2"/>
    </tableStyle>
    <tableStyle name="분할_26년03월-style 207" pivot="0" count="2">
      <tableStyleElement type="firstRowStripe" dxfId="2"/>
      <tableStyleElement type="secondRowStripe" dxfId="1"/>
    </tableStyle>
    <tableStyle name="분할_26년03월-style 208" pivot="0" count="2">
      <tableStyleElement type="firstRowStripe" dxfId="1"/>
      <tableStyleElement type="secondRowStripe" dxfId="2"/>
    </tableStyle>
    <tableStyle name="분할_26년03월-style 209" pivot="0" count="2">
      <tableStyleElement type="firstRowStripe" dxfId="2"/>
      <tableStyleElement type="secondRowStripe" dxfId="1"/>
    </tableStyle>
    <tableStyle name="분할_26년03월-style 210" pivot="0" count="2">
      <tableStyleElement type="firstRowStripe" dxfId="2"/>
      <tableStyleElement type="secondRowStripe" dxfId="1"/>
    </tableStyle>
    <tableStyle name="분할_26년03월-style 211" pivot="0" count="2">
      <tableStyleElement type="firstRowStripe" dxfId="1"/>
      <tableStyleElement type="secondRowStripe" dxfId="2"/>
    </tableStyle>
    <tableStyle name="분할_26년03월-style 212" pivot="0" count="2">
      <tableStyleElement type="firstRowStripe" dxfId="1"/>
      <tableStyleElement type="secondRowStripe" dxfId="2"/>
    </tableStyle>
    <tableStyle name="분할_26년03월-style 213" pivot="0" count="2">
      <tableStyleElement type="firstRowStripe" dxfId="1"/>
      <tableStyleElement type="secondRowStripe" dxfId="2"/>
    </tableStyle>
    <tableStyle name="분할_26년03월-style 214" pivot="0" count="2">
      <tableStyleElement type="firstRowStripe" dxfId="1"/>
      <tableStyleElement type="secondRowStripe" dxfId="2"/>
    </tableStyle>
    <tableStyle name="분할_26년03월-style 215" pivot="0" count="2">
      <tableStyleElement type="firstRowStripe" dxfId="1"/>
      <tableStyleElement type="secondRowStripe" dxfId="2"/>
    </tableStyle>
    <tableStyle name="분할_26년03월-style 216" pivot="0" count="2">
      <tableStyleElement type="firstRowStripe" dxfId="1"/>
      <tableStyleElement type="secondRowStripe" dxfId="2"/>
    </tableStyle>
    <tableStyle name="분할_26년03월-style 217" pivot="0" count="2">
      <tableStyleElement type="firstRowStripe" dxfId="1"/>
      <tableStyleElement type="secondRowStripe" dxfId="2"/>
    </tableStyle>
    <tableStyle name="분할_26년03월-style 218" pivot="0" count="2">
      <tableStyleElement type="firstRowStripe" dxfId="2"/>
      <tableStyleElement type="secondRowStripe" dxfId="1"/>
    </tableStyle>
    <tableStyle name="분할_26년03월-style 219" pivot="0" count="2">
      <tableStyleElement type="firstRowStripe" dxfId="1"/>
      <tableStyleElement type="secondRowStripe" dxfId="2"/>
    </tableStyle>
    <tableStyle name="분할_26년03월-style 220" pivot="0" count="2">
      <tableStyleElement type="firstRowStripe" dxfId="2"/>
      <tableStyleElement type="secondRowStripe" dxfId="1"/>
    </tableStyle>
    <tableStyle name="분할_26년03월-style 221" pivot="0" count="2">
      <tableStyleElement type="firstRowStripe" dxfId="1"/>
      <tableStyleElement type="secondRowStripe" dxfId="2"/>
    </tableStyle>
    <tableStyle name="분할_26년03월-style 222" pivot="0" count="2">
      <tableStyleElement type="firstRowStripe" dxfId="2"/>
      <tableStyleElement type="secondRowStripe" dxfId="1"/>
    </tableStyle>
    <tableStyle name="분할_26년03월-style 223" pivot="0" count="2">
      <tableStyleElement type="firstRowStripe" dxfId="2"/>
      <tableStyleElement type="secondRowStripe" dxfId="1"/>
    </tableStyle>
    <tableStyle name="분할_26년03월-style 224" pivot="0" count="2">
      <tableStyleElement type="firstRowStripe" dxfId="1"/>
      <tableStyleElement type="secondRowStripe" dxfId="2"/>
    </tableStyle>
    <tableStyle name="분할_26년03월-style 225" pivot="0" count="2">
      <tableStyleElement type="firstRowStripe" dxfId="1"/>
      <tableStyleElement type="secondRowStripe" dxfId="2"/>
    </tableStyle>
    <tableStyle name="분할_26년03월-style 226" pivot="0" count="2">
      <tableStyleElement type="firstRowStripe" dxfId="1"/>
      <tableStyleElement type="secondRowStripe" dxfId="2"/>
    </tableStyle>
    <tableStyle name="분할_26년03월-style 227" pivot="0" count="2">
      <tableStyleElement type="firstRowStripe" dxfId="2"/>
      <tableStyleElement type="secondRowStripe" dxfId="1"/>
    </tableStyle>
    <tableStyle name="분할_26년03월-style 228" pivot="0" count="2">
      <tableStyleElement type="firstRowStripe" dxfId="2"/>
      <tableStyleElement type="secondRowStripe" dxfId="1"/>
    </tableStyle>
    <tableStyle name="분할_26년03월-style 229" pivot="0" count="2">
      <tableStyleElement type="firstRowStripe" dxfId="2"/>
      <tableStyleElement type="secondRowStripe" dxfId="1"/>
    </tableStyle>
    <tableStyle name="분할_26년03월-style 230" pivot="0" count="2">
      <tableStyleElement type="firstRowStripe" dxfId="1"/>
      <tableStyleElement type="secondRowStripe" dxfId="2"/>
    </tableStyle>
    <tableStyle name="분할_26년03월-style 231" pivot="0" count="2">
      <tableStyleElement type="firstRowStripe" dxfId="2"/>
      <tableStyleElement type="secondRowStripe" dxfId="1"/>
    </tableStyle>
    <tableStyle name="분할_26년03월-style 232" pivot="0" count="2">
      <tableStyleElement type="firstRowStripe" dxfId="1"/>
      <tableStyleElement type="secondRowStripe" dxfId="2"/>
    </tableStyle>
    <tableStyle name="분할_26년03월-style 233" pivot="0" count="2">
      <tableStyleElement type="firstRowStripe" dxfId="2"/>
      <tableStyleElement type="secondRowStripe" dxfId="1"/>
    </tableStyle>
    <tableStyle name="분할_26년03월-style 234" pivot="0" count="2">
      <tableStyleElement type="firstRowStripe" dxfId="2"/>
      <tableStyleElement type="secondRowStripe" dxfId="1"/>
    </tableStyle>
    <tableStyle name="분할_26년03월-style 235" pivot="0" count="2">
      <tableStyleElement type="firstRowStripe" dxfId="2"/>
      <tableStyleElement type="secondRowStripe" dxfId="1"/>
    </tableStyle>
    <tableStyle name="분할_26년03월-style 236" pivot="0" count="2">
      <tableStyleElement type="firstRowStripe" dxfId="2"/>
      <tableStyleElement type="secondRowStripe" dxfId="1"/>
    </tableStyle>
    <tableStyle name="분할_26년03월-style 237" pivot="0" count="2">
      <tableStyleElement type="firstRowStripe" dxfId="2"/>
      <tableStyleElement type="secondRowStripe" dxfId="1"/>
    </tableStyle>
    <tableStyle name="분할_26년03월-style 238" pivot="0" count="2">
      <tableStyleElement type="firstRowStripe" dxfId="2"/>
      <tableStyleElement type="secondRowStripe" dxfId="1"/>
    </tableStyle>
    <tableStyle name="분할_26년03월-style 239" pivot="0" count="2">
      <tableStyleElement type="firstRowStripe" dxfId="2"/>
      <tableStyleElement type="secondRowStripe" dxfId="1"/>
    </tableStyle>
    <tableStyle name="분할_26년03월-style 240" pivot="0" count="2">
      <tableStyleElement type="firstRowStripe" dxfId="1"/>
      <tableStyleElement type="secondRowStripe" dxfId="2"/>
    </tableStyle>
    <tableStyle name="분할_26년03월-style 241" pivot="0" count="2">
      <tableStyleElement type="firstRowStripe" dxfId="2"/>
      <tableStyleElement type="secondRowStripe" dxfId="1"/>
    </tableStyle>
    <tableStyle name="분할_26년03월-style 242" pivot="0" count="2">
      <tableStyleElement type="firstRowStripe" dxfId="1"/>
      <tableStyleElement type="secondRowStripe" dxfId="2"/>
    </tableStyle>
    <tableStyle name="분할_26년03월-style 243" pivot="0" count="2">
      <tableStyleElement type="firstRowStripe" dxfId="1"/>
      <tableStyleElement type="secondRowStripe" dxfId="2"/>
    </tableStyle>
    <tableStyle name="분할_26년03월-style 244" pivot="0" count="2">
      <tableStyleElement type="firstRowStripe" dxfId="1"/>
      <tableStyleElement type="secondRowStripe" dxfId="2"/>
    </tableStyle>
    <tableStyle name="분할_26년03월-style 245" pivot="0" count="2">
      <tableStyleElement type="firstRowStripe" dxfId="2"/>
      <tableStyleElement type="secondRowStripe" dxfId="1"/>
    </tableStyle>
    <tableStyle name="분할_26년03월-style 246" pivot="0" count="2">
      <tableStyleElement type="firstRowStripe" dxfId="1"/>
      <tableStyleElement type="secondRowStripe" dxfId="2"/>
    </tableStyle>
    <tableStyle name="분할_26년03월-style 247" pivot="0" count="2">
      <tableStyleElement type="firstRowStripe" dxfId="2"/>
      <tableStyleElement type="secondRowStripe" dxfId="1"/>
    </tableStyle>
    <tableStyle name="분할_26년03월-style 248" pivot="0" count="2">
      <tableStyleElement type="firstRowStripe" dxfId="2"/>
      <tableStyleElement type="secondRowStripe" dxfId="1"/>
    </tableStyle>
    <tableStyle name="분할_26년03월-style 249" pivot="0" count="2">
      <tableStyleElement type="firstRowStripe" dxfId="1"/>
      <tableStyleElement type="secondRowStripe" dxfId="2"/>
    </tableStyle>
    <tableStyle name="분할_26년03월-style 250" pivot="0" count="2">
      <tableStyleElement type="firstRowStripe" dxfId="2"/>
      <tableStyleElement type="secondRowStripe" dxfId="1"/>
    </tableStyle>
    <tableStyle name="분할_26년03월-style 251" pivot="0" count="2">
      <tableStyleElement type="firstRowStripe" dxfId="2"/>
      <tableStyleElement type="secondRowStripe" dxfId="1"/>
    </tableStyle>
    <tableStyle name="분할_26년03월-style 252" pivot="0" count="2">
      <tableStyleElement type="firstRowStripe" dxfId="1"/>
      <tableStyleElement type="secondRowStripe" dxfId="2"/>
    </tableStyle>
    <tableStyle name="분할_26년03월-style 253" pivot="0" count="2">
      <tableStyleElement type="firstRowStripe" dxfId="2"/>
      <tableStyleElement type="secondRowStripe" dxfId="1"/>
    </tableStyle>
    <tableStyle name="분할_26년03월-style 254" pivot="0" count="2">
      <tableStyleElement type="firstRowStripe" dxfId="2"/>
      <tableStyleElement type="secondRowStripe" dxfId="1"/>
    </tableStyle>
    <tableStyle name="분할_26년03월-style 255" pivot="0" count="2">
      <tableStyleElement type="firstRowStripe" dxfId="2"/>
      <tableStyleElement type="secondRowStripe" dxfId="1"/>
    </tableStyle>
    <tableStyle name="분할_26년03월-style 256" pivot="0" count="2">
      <tableStyleElement type="firstRowStripe" dxfId="2"/>
      <tableStyleElement type="secondRowStripe" dxfId="1"/>
    </tableStyle>
    <tableStyle name="분할_26년03월-style 257" pivot="0" count="2">
      <tableStyleElement type="firstRowStripe" dxfId="2"/>
      <tableStyleElement type="secondRowStripe" dxfId="1"/>
    </tableStyle>
    <tableStyle name="분할_26년03월-style 258" pivot="0" count="2">
      <tableStyleElement type="firstRowStripe" dxfId="1"/>
      <tableStyleElement type="secondRowStripe" dxfId="2"/>
    </tableStyle>
    <tableStyle name="분할_26년03월-style 259" pivot="0" count="2">
      <tableStyleElement type="firstRowStripe" dxfId="2"/>
      <tableStyleElement type="secondRowStripe" dxfId="1"/>
    </tableStyle>
    <tableStyle name="분할_26년03월-style 260" pivot="0" count="2">
      <tableStyleElement type="firstRowStripe" dxfId="2"/>
      <tableStyleElement type="secondRowStripe" dxfId="1"/>
    </tableStyle>
    <tableStyle name="분할_26년03월-style 261" pivot="0" count="2">
      <tableStyleElement type="firstRowStripe" dxfId="1"/>
      <tableStyleElement type="secondRowStripe" dxfId="2"/>
    </tableStyle>
    <tableStyle name="분할_26년03월-style 262" pivot="0" count="2">
      <tableStyleElement type="firstRowStripe" dxfId="1"/>
      <tableStyleElement type="secondRowStripe" dxfId="2"/>
    </tableStyle>
    <tableStyle name="분할_26년03월-style 263" pivot="0" count="2">
      <tableStyleElement type="firstRowStripe" dxfId="1"/>
      <tableStyleElement type="secondRowStripe" dxfId="2"/>
    </tableStyle>
    <tableStyle name="분할_26년03월-style 264" pivot="0" count="2">
      <tableStyleElement type="firstRowStripe" dxfId="2"/>
      <tableStyleElement type="secondRowStripe" dxfId="1"/>
    </tableStyle>
    <tableStyle name="분할_26년03월-style 265" pivot="0" count="2">
      <tableStyleElement type="firstRowStripe" dxfId="2"/>
      <tableStyleElement type="secondRowStripe" dxfId="1"/>
    </tableStyle>
    <tableStyle name="분할_26년03월-style 266" pivot="0" count="2">
      <tableStyleElement type="firstRowStripe" dxfId="1"/>
      <tableStyleElement type="secondRowStripe" dxfId="2"/>
    </tableStyle>
    <tableStyle name="분할_26년03월-style 267" pivot="0" count="2">
      <tableStyleElement type="firstRowStripe" dxfId="2"/>
      <tableStyleElement type="secondRowStripe" dxfId="1"/>
    </tableStyle>
    <tableStyle name="분할_26년03월-style 268" pivot="0" count="2">
      <tableStyleElement type="firstRowStripe" dxfId="2"/>
      <tableStyleElement type="secondRowStripe" dxfId="1"/>
    </tableStyle>
    <tableStyle name="분할_26년03월-style 269" pivot="0" count="2">
      <tableStyleElement type="firstRowStripe" dxfId="2"/>
      <tableStyleElement type="secondRowStripe" dxfId="1"/>
    </tableStyle>
    <tableStyle name="분할_26년03월-style 270" pivot="0" count="2">
      <tableStyleElement type="firstRowStripe" dxfId="2"/>
      <tableStyleElement type="secondRowStripe" dxfId="1"/>
    </tableStyle>
    <tableStyle name="분할_26년03월-style 271" pivot="0" count="2">
      <tableStyleElement type="firstRowStripe" dxfId="2"/>
      <tableStyleElement type="secondRowStripe" dxfId="1"/>
    </tableStyle>
    <tableStyle name="분할_26년03월-style 272" pivot="0" count="2">
      <tableStyleElement type="firstRowStripe" dxfId="1"/>
      <tableStyleElement type="secondRowStripe" dxfId="2"/>
    </tableStyle>
    <tableStyle name="분할_26년03월-style 273" pivot="0" count="2">
      <tableStyleElement type="firstRowStripe" dxfId="1"/>
      <tableStyleElement type="secondRowStripe" dxfId="2"/>
    </tableStyle>
    <tableStyle name="분할_26년03월-style 274" pivot="0" count="2">
      <tableStyleElement type="firstRowStripe" dxfId="2"/>
      <tableStyleElement type="secondRowStripe" dxfId="1"/>
    </tableStyle>
    <tableStyle name="분할_26년03월-style 275" pivot="0" count="2">
      <tableStyleElement type="firstRowStripe" dxfId="1"/>
      <tableStyleElement type="secondRowStripe" dxfId="2"/>
    </tableStyle>
    <tableStyle name="분할_26년03월-style 276" pivot="0" count="2">
      <tableStyleElement type="firstRowStripe" dxfId="2"/>
      <tableStyleElement type="secondRowStripe" dxfId="1"/>
    </tableStyle>
    <tableStyle name="분할_26년03월-style 277" pivot="0" count="2">
      <tableStyleElement type="firstRowStripe" dxfId="2"/>
      <tableStyleElement type="secondRowStripe" dxfId="1"/>
    </tableStyle>
    <tableStyle name="분할_26년03월-style 278" pivot="0" count="2">
      <tableStyleElement type="firstRowStripe" dxfId="2"/>
      <tableStyleElement type="secondRowStripe" dxfId="1"/>
    </tableStyle>
    <tableStyle name="분할_26년03월-style 279" pivot="0" count="2">
      <tableStyleElement type="firstRowStripe" dxfId="1"/>
      <tableStyleElement type="secondRowStripe" dxfId="2"/>
    </tableStyle>
    <tableStyle name="분할_26년03월-style 280" pivot="0" count="2">
      <tableStyleElement type="firstRowStripe" dxfId="2"/>
      <tableStyleElement type="secondRowStripe" dxfId="1"/>
    </tableStyle>
    <tableStyle name="분할_26년03월-style 281" pivot="0" count="2">
      <tableStyleElement type="firstRowStripe" dxfId="1"/>
      <tableStyleElement type="secondRowStripe" dxfId="2"/>
    </tableStyle>
    <tableStyle name="분할_26년03월-style 282" pivot="0" count="2">
      <tableStyleElement type="firstRowStripe" dxfId="2"/>
      <tableStyleElement type="secondRowStripe" dxfId="1"/>
    </tableStyle>
    <tableStyle name="분할_26년03월-style 283" pivot="0" count="2">
      <tableStyleElement type="firstRowStripe" dxfId="2"/>
      <tableStyleElement type="secondRowStripe" dxfId="1"/>
    </tableStyle>
    <tableStyle name="분할_26년03월-style 284" pivot="0" count="2">
      <tableStyleElement type="firstRowStripe" dxfId="2"/>
      <tableStyleElement type="secondRowStripe" dxfId="1"/>
    </tableStyle>
    <tableStyle name="분할_26년03월-style 285" pivot="0" count="2">
      <tableStyleElement type="firstRowStripe" dxfId="1"/>
      <tableStyleElement type="secondRowStripe" dxfId="2"/>
    </tableStyle>
    <tableStyle name="분할_26년03월-style 286" pivot="0" count="2">
      <tableStyleElement type="firstRowStripe" dxfId="1"/>
      <tableStyleElement type="secondRowStripe" dxfId="2"/>
    </tableStyle>
    <tableStyle name="분할_26년03월-style 287" pivot="0" count="2">
      <tableStyleElement type="firstRowStripe" dxfId="1"/>
      <tableStyleElement type="secondRowStripe" dxfId="2"/>
    </tableStyle>
    <tableStyle name="분할_26년03월-style 288" pivot="0" count="2">
      <tableStyleElement type="firstRowStripe" dxfId="2"/>
      <tableStyleElement type="secondRowStripe" dxfId="1"/>
    </tableStyle>
    <tableStyle name="분할_26년03월-style 289" pivot="0" count="2">
      <tableStyleElement type="firstRowStripe" dxfId="2"/>
      <tableStyleElement type="secondRowStripe" dxfId="1"/>
    </tableStyle>
    <tableStyle name="분할_26년03월-style 290" pivot="0" count="2">
      <tableStyleElement type="firstRowStripe" dxfId="2"/>
      <tableStyleElement type="secondRowStripe" dxfId="1"/>
    </tableStyle>
    <tableStyle name="분할_26년03월-style 291" pivot="0" count="2">
      <tableStyleElement type="firstRowStripe" dxfId="1"/>
      <tableStyleElement type="secondRowStripe" dxfId="2"/>
    </tableStyle>
    <tableStyle name="분할_26년03월-style 292" pivot="0" count="2">
      <tableStyleElement type="firstRowStripe" dxfId="1"/>
      <tableStyleElement type="secondRowStripe" dxfId="2"/>
    </tableStyle>
    <tableStyle name="분할_26년03월-style 293" pivot="0" count="2">
      <tableStyleElement type="firstRowStripe" dxfId="1"/>
      <tableStyleElement type="secondRowStripe" dxfId="2"/>
    </tableStyle>
    <tableStyle name="분할_26년03월-style 294" pivot="0" count="2">
      <tableStyleElement type="firstRowStripe" dxfId="2"/>
      <tableStyleElement type="secondRowStripe" dxfId="1"/>
    </tableStyle>
    <tableStyle name="분할_26년03월-style 295" pivot="0" count="2">
      <tableStyleElement type="firstRowStripe" dxfId="2"/>
      <tableStyleElement type="secondRowStripe" dxfId="1"/>
    </tableStyle>
    <tableStyle name="분할_26년03월-style 296" pivot="0" count="2">
      <tableStyleElement type="firstRowStripe" dxfId="1"/>
      <tableStyleElement type="secondRowStripe" dxfId="2"/>
    </tableStyle>
    <tableStyle name="분할_26년03월-style 297" pivot="0" count="2">
      <tableStyleElement type="firstRowStripe" dxfId="2"/>
      <tableStyleElement type="secondRowStripe" dxfId="1"/>
    </tableStyle>
    <tableStyle name="분할_26년03월-style 298" pivot="0" count="2">
      <tableStyleElement type="firstRowStripe" dxfId="1"/>
      <tableStyleElement type="secondRowStripe" dxfId="2"/>
    </tableStyle>
    <tableStyle name="분할_26년03월-style 299" pivot="0" count="2">
      <tableStyleElement type="firstRowStripe" dxfId="1"/>
      <tableStyleElement type="secondRowStripe" dxfId="2"/>
    </tableStyle>
    <tableStyle name="분할_26년03월-style 300" pivot="0" count="2">
      <tableStyleElement type="firstRowStripe" dxfId="1"/>
      <tableStyleElement type="secondRowStripe" dxfId="2"/>
    </tableStyle>
    <tableStyle name="분할_26년03월-style 301" pivot="0" count="2">
      <tableStyleElement type="firstRowStripe" dxfId="1"/>
      <tableStyleElement type="secondRowStripe" dxfId="2"/>
    </tableStyle>
    <tableStyle name="분할_26년03월-style 302" pivot="0" count="2">
      <tableStyleElement type="firstRowStripe" dxfId="2"/>
      <tableStyleElement type="secondRowStripe" dxfId="1"/>
    </tableStyle>
    <tableStyle name="분할_26년03월-style 303" pivot="0" count="2">
      <tableStyleElement type="firstRowStripe" dxfId="1"/>
      <tableStyleElement type="secondRowStripe" dxfId="2"/>
    </tableStyle>
    <tableStyle name="분할_26년03월-style 304" pivot="0" count="2">
      <tableStyleElement type="firstRowStripe" dxfId="1"/>
      <tableStyleElement type="secondRowStripe" dxfId="2"/>
    </tableStyle>
    <tableStyle name="분할_26년03월-style 305" pivot="0" count="2">
      <tableStyleElement type="firstRowStripe" dxfId="2"/>
      <tableStyleElement type="secondRowStripe" dxfId="1"/>
    </tableStyle>
    <tableStyle name="분할_26년03월-style 306" pivot="0" count="2">
      <tableStyleElement type="firstRowStripe" dxfId="2"/>
      <tableStyleElement type="secondRowStripe" dxfId="1"/>
    </tableStyle>
    <tableStyle name="분할_26년03월-style 307" pivot="0" count="2">
      <tableStyleElement type="firstRowStripe" dxfId="2"/>
      <tableStyleElement type="secondRowStripe" dxfId="1"/>
    </tableStyle>
    <tableStyle name="분할_26년03월-style 308" pivot="0" count="2">
      <tableStyleElement type="firstRowStripe" dxfId="2"/>
      <tableStyleElement type="secondRowStripe" dxfId="1"/>
    </tableStyle>
    <tableStyle name="분할_26년03월-style 309" pivot="0" count="2">
      <tableStyleElement type="firstRowStripe" dxfId="1"/>
      <tableStyleElement type="secondRowStripe" dxfId="2"/>
    </tableStyle>
    <tableStyle name="분할_26년03월-style 310" pivot="0" count="2">
      <tableStyleElement type="firstRowStripe" dxfId="2"/>
      <tableStyleElement type="secondRowStripe" dxfId="1"/>
    </tableStyle>
    <tableStyle name="분할_26년03월-style 311" pivot="0" count="2">
      <tableStyleElement type="firstRowStripe" dxfId="2"/>
      <tableStyleElement type="secondRowStripe" dxfId="1"/>
    </tableStyle>
    <tableStyle name="분할_26년03월-style 312" pivot="0" count="2">
      <tableStyleElement type="firstRowStripe" dxfId="2"/>
      <tableStyleElement type="secondRowStripe" dxfId="1"/>
    </tableStyle>
    <tableStyle name="분할_26년03월-style 313" pivot="0" count="2">
      <tableStyleElement type="firstRowStripe" dxfId="1"/>
      <tableStyleElement type="secondRowStripe" dxfId="2"/>
    </tableStyle>
    <tableStyle name="분할_26년03월-style 314" pivot="0" count="2">
      <tableStyleElement type="firstRowStripe" dxfId="1"/>
      <tableStyleElement type="secondRowStripe" dxfId="2"/>
    </tableStyle>
    <tableStyle name="분할_26년03월-style 315" pivot="0" count="2">
      <tableStyleElement type="firstRowStripe" dxfId="2"/>
      <tableStyleElement type="secondRowStripe" dxfId="1"/>
    </tableStyle>
    <tableStyle name="분할_26년03월-style 316" pivot="0" count="2">
      <tableStyleElement type="firstRowStripe" dxfId="1"/>
      <tableStyleElement type="secondRowStripe" dxfId="2"/>
    </tableStyle>
    <tableStyle name="분할_26년03월-style 317" pivot="0" count="2">
      <tableStyleElement type="firstRowStripe" dxfId="1"/>
      <tableStyleElement type="secondRowStripe" dxfId="2"/>
    </tableStyle>
    <tableStyle name="분할_26년03월-style 318" pivot="0" count="2">
      <tableStyleElement type="firstRowStripe" dxfId="2"/>
      <tableStyleElement type="secondRowStripe" dxfId="1"/>
    </tableStyle>
    <tableStyle name="분할_26년03월-style 319" pivot="0" count="2">
      <tableStyleElement type="firstRowStripe" dxfId="1"/>
      <tableStyleElement type="secondRowStripe" dxfId="2"/>
    </tableStyle>
    <tableStyle name="분할_26년03월-style 320" pivot="0" count="2">
      <tableStyleElement type="firstRowStripe" dxfId="1"/>
      <tableStyleElement type="secondRowStripe" dxfId="2"/>
    </tableStyle>
    <tableStyle name="분할_26년03월-style 321" pivot="0" count="2">
      <tableStyleElement type="firstRowStripe" dxfId="1"/>
      <tableStyleElement type="secondRowStripe" dxfId="2"/>
    </tableStyle>
    <tableStyle name="분할_26년03월-style 322" pivot="0" count="2">
      <tableStyleElement type="firstRowStripe" dxfId="1"/>
      <tableStyleElement type="secondRowStripe" dxfId="2"/>
    </tableStyle>
    <tableStyle name="분할_26년03월-style 323" pivot="0" count="2">
      <tableStyleElement type="firstRowStripe" dxfId="1"/>
      <tableStyleElement type="secondRowStripe" dxfId="2"/>
    </tableStyle>
    <tableStyle name="분할_26년03월-style 324" pivot="0" count="2">
      <tableStyleElement type="firstRowStripe" dxfId="2"/>
      <tableStyleElement type="secondRowStripe" dxfId="1"/>
    </tableStyle>
    <tableStyle name="분할_26년03월-style 325" pivot="0" count="2">
      <tableStyleElement type="firstRowStripe" dxfId="2"/>
      <tableStyleElement type="secondRowStripe" dxfId="1"/>
    </tableStyle>
    <tableStyle name="분할_26년03월-style 326" pivot="0" count="2">
      <tableStyleElement type="firstRowStripe" dxfId="2"/>
      <tableStyleElement type="secondRowStripe" dxfId="1"/>
    </tableStyle>
    <tableStyle name="분할_26년03월-style 327" pivot="0" count="2">
      <tableStyleElement type="firstRowStripe" dxfId="2"/>
      <tableStyleElement type="secondRowStripe" dxfId="1"/>
    </tableStyle>
    <tableStyle name="분할_26년03월-style 328" pivot="0" count="2">
      <tableStyleElement type="firstRowStripe" dxfId="1"/>
      <tableStyleElement type="secondRowStripe" dxfId="2"/>
    </tableStyle>
    <tableStyle name="분할_26년03월-style 329" pivot="0" count="2">
      <tableStyleElement type="firstRowStripe" dxfId="2"/>
      <tableStyleElement type="secondRowStripe" dxfId="1"/>
    </tableStyle>
    <tableStyle name="분할_26년03월-style 330" pivot="0" count="2">
      <tableStyleElement type="firstRowStripe" dxfId="2"/>
      <tableStyleElement type="secondRowStripe" dxfId="1"/>
    </tableStyle>
    <tableStyle name="분할_26년03월-style 331" pivot="0" count="2">
      <tableStyleElement type="firstRowStripe" dxfId="1"/>
      <tableStyleElement type="secondRowStripe" dxfId="2"/>
    </tableStyle>
    <tableStyle name="분할_26년03월-style 332" pivot="0" count="2">
      <tableStyleElement type="firstRowStripe" dxfId="2"/>
      <tableStyleElement type="secondRowStripe" dxfId="1"/>
    </tableStyle>
    <tableStyle name="분할_26년03월-style 333" pivot="0" count="2">
      <tableStyleElement type="firstRowStripe" dxfId="2"/>
      <tableStyleElement type="secondRowStripe" dxfId="1"/>
    </tableStyle>
    <tableStyle name="분할_26년03월-style 334" pivot="0" count="2">
      <tableStyleElement type="firstRowStripe" dxfId="1"/>
      <tableStyleElement type="secondRowStripe" dxfId="2"/>
    </tableStyle>
    <tableStyle name="분할_26년03월-style 335" pivot="0" count="2">
      <tableStyleElement type="firstRowStripe" dxfId="2"/>
      <tableStyleElement type="secondRowStripe" dxfId="1"/>
    </tableStyle>
    <tableStyle name="분할_26년03월-style 336" pivot="0" count="2">
      <tableStyleElement type="firstRowStripe" dxfId="1"/>
      <tableStyleElement type="secondRowStripe" dxfId="2"/>
    </tableStyle>
    <tableStyle name="분할_26년03월-style 337" pivot="0" count="2">
      <tableStyleElement type="firstRowStripe" dxfId="1"/>
      <tableStyleElement type="secondRowStripe" dxfId="2"/>
    </tableStyle>
    <tableStyle name="분할_26년03월-style 338" pivot="0" count="2">
      <tableStyleElement type="firstRowStripe" dxfId="1"/>
      <tableStyleElement type="secondRowStripe" dxfId="2"/>
    </tableStyle>
    <tableStyle name="분할_26년03월-style 339" pivot="0" count="2">
      <tableStyleElement type="firstRowStripe" dxfId="2"/>
      <tableStyleElement type="secondRowStripe" dxfId="1"/>
    </tableStyle>
    <tableStyle name="분할_26년03월-style 340" pivot="0" count="2">
      <tableStyleElement type="firstRowStripe" dxfId="1"/>
      <tableStyleElement type="secondRowStripe" dxfId="2"/>
    </tableStyle>
    <tableStyle name="분할_26년03월-style 341" pivot="0" count="2">
      <tableStyleElement type="firstRowStripe" dxfId="2"/>
      <tableStyleElement type="secondRowStripe" dxfId="1"/>
    </tableStyle>
    <tableStyle name="분할_26년03월-style 342" pivot="0" count="2">
      <tableStyleElement type="firstRowStripe" dxfId="2"/>
      <tableStyleElement type="secondRowStripe" dxfId="1"/>
    </tableStyle>
    <tableStyle name="분할_26년03월-style 343" pivot="0" count="2">
      <tableStyleElement type="firstRowStripe" dxfId="2"/>
      <tableStyleElement type="secondRowStripe" dxfId="1"/>
    </tableStyle>
    <tableStyle name="분할_26년03월-style 344" pivot="0" count="2">
      <tableStyleElement type="firstRowStripe" dxfId="2"/>
      <tableStyleElement type="secondRowStripe" dxfId="1"/>
    </tableStyle>
    <tableStyle name="분할_26년03월-style 345" pivot="0" count="2">
      <tableStyleElement type="firstRowStripe" dxfId="2"/>
      <tableStyleElement type="secondRowStripe" dxfId="1"/>
    </tableStyle>
    <tableStyle name="분할_26년03월-style 346" pivot="0" count="2">
      <tableStyleElement type="firstRowStripe" dxfId="1"/>
      <tableStyleElement type="secondRowStripe" dxfId="2"/>
    </tableStyle>
    <tableStyle name="분할_26년03월-style 347" pivot="0" count="2">
      <tableStyleElement type="firstRowStripe" dxfId="1"/>
      <tableStyleElement type="secondRowStripe" dxfId="2"/>
    </tableStyle>
    <tableStyle name="분할_26년03월-style 348" pivot="0" count="2">
      <tableStyleElement type="firstRowStripe" dxfId="2"/>
      <tableStyleElement type="secondRowStripe" dxfId="1"/>
    </tableStyle>
    <tableStyle name="분할_26년03월-style 349" pivot="0" count="2">
      <tableStyleElement type="firstRowStripe" dxfId="1"/>
      <tableStyleElement type="secondRowStripe" dxfId="2"/>
    </tableStyle>
    <tableStyle name="분할_26년03월-style 350" pivot="0" count="2">
      <tableStyleElement type="firstRowStripe" dxfId="1"/>
      <tableStyleElement type="secondRowStripe" dxfId="2"/>
    </tableStyle>
    <tableStyle name="분할_26년03월-style 351" pivot="0" count="2">
      <tableStyleElement type="firstRowStripe" dxfId="2"/>
      <tableStyleElement type="secondRowStripe" dxfId="1"/>
    </tableStyle>
    <tableStyle name="분할_26년03월-style 352" pivot="0" count="2">
      <tableStyleElement type="firstRowStripe" dxfId="1"/>
      <tableStyleElement type="secondRowStripe" dxfId="2"/>
    </tableStyle>
    <tableStyle name="분할_26년03월-style 353" pivot="0" count="2">
      <tableStyleElement type="firstRowStripe" dxfId="1"/>
      <tableStyleElement type="secondRowStripe" dxfId="2"/>
    </tableStyle>
    <tableStyle name="분할_26년03월-style 354" pivot="0" count="2">
      <tableStyleElement type="firstRowStripe" dxfId="1"/>
      <tableStyleElement type="secondRowStripe" dxfId="2"/>
    </tableStyle>
    <tableStyle name="분할_26년03월-style 355" pivot="0" count="2">
      <tableStyleElement type="firstRowStripe" dxfId="1"/>
      <tableStyleElement type="secondRowStripe" dxfId="2"/>
    </tableStyle>
    <tableStyle name="분할_26년03월-style 356" pivot="0" count="2">
      <tableStyleElement type="firstRowStripe" dxfId="1"/>
      <tableStyleElement type="secondRowStripe" dxfId="2"/>
    </tableStyle>
    <tableStyle name="분할_26년03월-style 357" pivot="0" count="2">
      <tableStyleElement type="firstRowStripe" dxfId="2"/>
      <tableStyleElement type="secondRowStripe" dxfId="1"/>
    </tableStyle>
    <tableStyle name="분할_26년03월-style 358" pivot="0" count="2">
      <tableStyleElement type="firstRowStripe" dxfId="1"/>
      <tableStyleElement type="secondRowStripe" dxfId="2"/>
    </tableStyle>
    <tableStyle name="분할_26년03월-style 359" pivot="0" count="2">
      <tableStyleElement type="firstRowStripe" dxfId="2"/>
      <tableStyleElement type="secondRowStripe" dxfId="1"/>
    </tableStyle>
    <tableStyle name="분할_26년03월-style 360" pivot="0" count="2">
      <tableStyleElement type="firstRowStripe" dxfId="1"/>
      <tableStyleElement type="secondRowStripe" dxfId="2"/>
    </tableStyle>
    <tableStyle name="분할_26년03월-style 361" pivot="0" count="2">
      <tableStyleElement type="firstRowStripe" dxfId="1"/>
      <tableStyleElement type="secondRowStripe" dxfId="2"/>
    </tableStyle>
    <tableStyle name="분할_26년03월-style 362" pivot="0" count="2">
      <tableStyleElement type="firstRowStripe" dxfId="1"/>
      <tableStyleElement type="secondRowStripe" dxfId="2"/>
    </tableStyle>
    <tableStyle name="분할_26년03월-style 363" pivot="0" count="2">
      <tableStyleElement type="firstRowStripe" dxfId="2"/>
      <tableStyleElement type="secondRowStripe" dxfId="1"/>
    </tableStyle>
    <tableStyle name="분할_26년03월-style 364" pivot="0" count="2">
      <tableStyleElement type="firstRowStripe" dxfId="2"/>
      <tableStyleElement type="secondRowStripe" dxfId="1"/>
    </tableStyle>
    <tableStyle name="분할_26년03월-style 365" pivot="0" count="2">
      <tableStyleElement type="firstRowStripe" dxfId="1"/>
      <tableStyleElement type="secondRowStripe" dxfId="2"/>
    </tableStyle>
    <tableStyle name="분할_26년03월-style 366" pivot="0" count="2">
      <tableStyleElement type="firstRowStripe" dxfId="1"/>
      <tableStyleElement type="secondRowStripe" dxfId="2"/>
    </tableStyle>
    <tableStyle name="분할_26년03월-style 367" pivot="0" count="2">
      <tableStyleElement type="firstRowStripe" dxfId="1"/>
      <tableStyleElement type="secondRowStripe" dxfId="2"/>
    </tableStyle>
    <tableStyle name="분할_26년03월-style 368" pivot="0" count="2">
      <tableStyleElement type="firstRowStripe" dxfId="1"/>
      <tableStyleElement type="secondRowStripe" dxfId="2"/>
    </tableStyle>
    <tableStyle name="분할_26년03월-style 369" pivot="0" count="2">
      <tableStyleElement type="firstRowStripe" dxfId="2"/>
      <tableStyleElement type="secondRowStripe" dxfId="1"/>
    </tableStyle>
    <tableStyle name="분할_26년03월-style 370" pivot="0" count="2">
      <tableStyleElement type="firstRowStripe" dxfId="2"/>
      <tableStyleElement type="secondRowStripe" dxfId="1"/>
    </tableStyle>
    <tableStyle name="분할_26년03월-style 371" pivot="0" count="2">
      <tableStyleElement type="firstRowStripe" dxfId="2"/>
      <tableStyleElement type="secondRowStripe" dxfId="1"/>
    </tableStyle>
    <tableStyle name="분할_26년03월-style 372" pivot="0" count="2">
      <tableStyleElement type="firstRowStripe" dxfId="1"/>
      <tableStyleElement type="secondRowStripe" dxfId="2"/>
    </tableStyle>
    <tableStyle name="분할_26년03월-style 373" pivot="0" count="2">
      <tableStyleElement type="firstRowStripe" dxfId="2"/>
      <tableStyleElement type="secondRowStripe" dxfId="1"/>
    </tableStyle>
    <tableStyle name="분할_26년03월-style 374" pivot="0" count="2">
      <tableStyleElement type="firstRowStripe" dxfId="2"/>
      <tableStyleElement type="secondRowStripe" dxfId="1"/>
    </tableStyle>
    <tableStyle name="분할_26년03월-style 375" pivot="0" count="2">
      <tableStyleElement type="firstRowStripe" dxfId="2"/>
      <tableStyleElement type="secondRowStripe" dxfId="1"/>
    </tableStyle>
    <tableStyle name="분할_26년03월-style 376" pivot="0" count="2">
      <tableStyleElement type="firstRowStripe" dxfId="2"/>
      <tableStyleElement type="secondRowStripe" dxfId="1"/>
    </tableStyle>
    <tableStyle name="분할_26년03월-style 377" pivot="0" count="2">
      <tableStyleElement type="firstRowStripe" dxfId="2"/>
      <tableStyleElement type="secondRowStripe" dxfId="1"/>
    </tableStyle>
    <tableStyle name="분할_26년03월-style 378" pivot="0" count="2">
      <tableStyleElement type="firstRowStripe" dxfId="2"/>
      <tableStyleElement type="secondRowStripe" dxfId="1"/>
    </tableStyle>
    <tableStyle name="분할_26년03월-style 379" pivot="0" count="2">
      <tableStyleElement type="firstRowStripe" dxfId="2"/>
      <tableStyleElement type="secondRowStripe" dxfId="1"/>
    </tableStyle>
    <tableStyle name="분할_26년03월-style 380" pivot="0" count="2">
      <tableStyleElement type="firstRowStripe" dxfId="1"/>
      <tableStyleElement type="secondRowStripe" dxfId="2"/>
    </tableStyle>
    <tableStyle name="분할_26년03월-style 381" pivot="0" count="2">
      <tableStyleElement type="firstRowStripe" dxfId="2"/>
      <tableStyleElement type="secondRowStripe" dxfId="1"/>
    </tableStyle>
    <tableStyle name="분할_26년03월-style 382" pivot="0" count="2">
      <tableStyleElement type="firstRowStripe" dxfId="1"/>
      <tableStyleElement type="secondRowStripe" dxfId="2"/>
    </tableStyle>
    <tableStyle name="분할_26년03월-style 383" pivot="0" count="2">
      <tableStyleElement type="firstRowStripe" dxfId="1"/>
      <tableStyleElement type="secondRowStripe" dxfId="2"/>
    </tableStyle>
    <tableStyle name="분할_26년03월-style 384" pivot="0" count="2">
      <tableStyleElement type="firstRowStripe" dxfId="2"/>
      <tableStyleElement type="secondRowStripe" dxfId="1"/>
    </tableStyle>
    <tableStyle name="분할_26년03월-style 385" pivot="0" count="2">
      <tableStyleElement type="firstRowStripe" dxfId="1"/>
      <tableStyleElement type="secondRowStripe" dxfId="2"/>
    </tableStyle>
    <tableStyle name="분할_26년03월-style 386" pivot="0" count="2">
      <tableStyleElement type="firstRowStripe" dxfId="2"/>
      <tableStyleElement type="secondRowStripe" dxfId="1"/>
    </tableStyle>
    <tableStyle name="분할_26년03월-style 387" pivot="0" count="2">
      <tableStyleElement type="firstRowStripe" dxfId="2"/>
      <tableStyleElement type="secondRowStripe" dxfId="1"/>
    </tableStyle>
    <tableStyle name="분할_26년03월-style 388" pivot="0" count="2">
      <tableStyleElement type="firstRowStripe" dxfId="1"/>
      <tableStyleElement type="secondRowStripe" dxfId="2"/>
    </tableStyle>
    <tableStyle name="분할_26년03월-style 389" pivot="0" count="2">
      <tableStyleElement type="firstRowStripe" dxfId="1"/>
      <tableStyleElement type="secondRowStripe" dxfId="2"/>
    </tableStyle>
    <tableStyle name="분할_26년03월-style 390" pivot="0" count="2">
      <tableStyleElement type="firstRowStripe" dxfId="1"/>
      <tableStyleElement type="secondRowStripe" dxfId="2"/>
    </tableStyle>
    <tableStyle name="분할_26년03월-style 391" pivot="0" count="2">
      <tableStyleElement type="firstRowStripe" dxfId="2"/>
      <tableStyleElement type="secondRowStripe" dxfId="1"/>
    </tableStyle>
    <tableStyle name="분할_26년03월-style 392" pivot="0" count="2">
      <tableStyleElement type="firstRowStripe" dxfId="2"/>
      <tableStyleElement type="secondRowStripe" dxfId="1"/>
    </tableStyle>
    <tableStyle name="분할_26년03월-style 393" pivot="0" count="2">
      <tableStyleElement type="firstRowStripe" dxfId="2"/>
      <tableStyleElement type="secondRowStripe" dxfId="1"/>
    </tableStyle>
    <tableStyle name="분할_26년03월-style 394" pivot="0" count="2">
      <tableStyleElement type="firstRowStripe" dxfId="1"/>
      <tableStyleElement type="secondRowStripe" dxfId="2"/>
    </tableStyle>
    <tableStyle name="분할_26년03월-style 395" pivot="0" count="2">
      <tableStyleElement type="firstRowStripe" dxfId="2"/>
      <tableStyleElement type="secondRowStripe" dxfId="1"/>
    </tableStyle>
    <tableStyle name="분할_26년03월-style 396" pivot="0" count="2">
      <tableStyleElement type="firstRowStripe" dxfId="2"/>
      <tableStyleElement type="secondRowStripe" dxfId="1"/>
    </tableStyle>
    <tableStyle name="분할_26년03월-style 397" pivot="0" count="2">
      <tableStyleElement type="firstRowStripe" dxfId="2"/>
      <tableStyleElement type="secondRowStripe" dxfId="1"/>
    </tableStyle>
    <tableStyle name="분할_26년03월-style 398" pivot="0" count="2">
      <tableStyleElement type="firstRowStripe" dxfId="1"/>
      <tableStyleElement type="secondRowStripe" dxfId="2"/>
    </tableStyle>
    <tableStyle name="분할_26년03월-style 399" pivot="0" count="2">
      <tableStyleElement type="firstRowStripe" dxfId="1"/>
      <tableStyleElement type="secondRowStripe" dxfId="2"/>
    </tableStyle>
    <tableStyle name="분할_26년03월-style 400" pivot="0" count="2">
      <tableStyleElement type="firstRowStripe" dxfId="2"/>
      <tableStyleElement type="secondRowStripe" dxfId="1"/>
    </tableStyle>
    <tableStyle name="분할_26년03월-style 401" pivot="0" count="2">
      <tableStyleElement type="firstRowStripe" dxfId="1"/>
      <tableStyleElement type="secondRowStripe" dxfId="2"/>
    </tableStyle>
    <tableStyle name="분할_26년03월-style 402" pivot="0" count="2">
      <tableStyleElement type="firstRowStripe" dxfId="2"/>
      <tableStyleElement type="secondRowStripe" dxfId="1"/>
    </tableStyle>
    <tableStyle name="분할_26년03월-style 403" pivot="0" count="2">
      <tableStyleElement type="firstRowStripe" dxfId="1"/>
      <tableStyleElement type="secondRowStripe" dxfId="2"/>
    </tableStyle>
    <tableStyle name="분할_26년03월-style 404" pivot="0" count="2">
      <tableStyleElement type="firstRowStripe" dxfId="2"/>
      <tableStyleElement type="secondRowStripe" dxfId="1"/>
    </tableStyle>
    <tableStyle name="분할_26년03월-style 405" pivot="0" count="2">
      <tableStyleElement type="firstRowStripe" dxfId="2"/>
      <tableStyleElement type="secondRowStripe" dxfId="1"/>
    </tableStyle>
    <tableStyle name="분할_26년03월-style 406" pivot="0" count="2">
      <tableStyleElement type="firstRowStripe" dxfId="1"/>
      <tableStyleElement type="secondRowStripe" dxfId="2"/>
    </tableStyle>
    <tableStyle name="분할_26년03월-style 407" pivot="0" count="2">
      <tableStyleElement type="firstRowStripe" dxfId="2"/>
      <tableStyleElement type="secondRowStripe" dxfId="1"/>
    </tableStyle>
    <tableStyle name="분할_26년03월-style 408" pivot="0" count="2">
      <tableStyleElement type="firstRowStripe" dxfId="2"/>
      <tableStyleElement type="secondRowStripe" dxfId="1"/>
    </tableStyle>
    <tableStyle name="분할_26년03월-style 409" pivot="0" count="2">
      <tableStyleElement type="firstRowStripe" dxfId="2"/>
      <tableStyleElement type="secondRowStripe" dxfId="1"/>
    </tableStyle>
    <tableStyle name="분할_26년03월-style 410" pivot="0" count="2">
      <tableStyleElement type="firstRowStripe" dxfId="2"/>
      <tableStyleElement type="secondRowStripe" dxfId="1"/>
    </tableStyle>
    <tableStyle name="분할_26년03월-style 411" pivot="0" count="2">
      <tableStyleElement type="firstRowStripe" dxfId="1"/>
      <tableStyleElement type="secondRowStripe" dxfId="2"/>
    </tableStyle>
    <tableStyle name="분할_26년03월-style 412" pivot="0" count="2">
      <tableStyleElement type="firstRowStripe" dxfId="1"/>
      <tableStyleElement type="secondRowStripe" dxfId="2"/>
    </tableStyle>
    <tableStyle name="분할_26년03월-style 413" pivot="0" count="2">
      <tableStyleElement type="firstRowStripe" dxfId="1"/>
      <tableStyleElement type="secondRowStripe" dxfId="2"/>
    </tableStyle>
    <tableStyle name="분할_26년03월-style 414" pivot="0" count="2">
      <tableStyleElement type="firstRowStripe" dxfId="1"/>
      <tableStyleElement type="secondRowStripe" dxfId="2"/>
    </tableStyle>
    <tableStyle name="분할_26년03월-style 415" pivot="0" count="2">
      <tableStyleElement type="firstRowStripe" dxfId="1"/>
      <tableStyleElement type="secondRowStripe" dxfId="2"/>
    </tableStyle>
    <tableStyle name="분할_26년03월-style 416" pivot="0" count="2">
      <tableStyleElement type="firstRowStripe" dxfId="1"/>
      <tableStyleElement type="secondRowStripe" dxfId="2"/>
    </tableStyle>
    <tableStyle name="분할_26년03월-style 417" pivot="0" count="2">
      <tableStyleElement type="firstRowStripe" dxfId="1"/>
      <tableStyleElement type="secondRowStripe" dxfId="2"/>
    </tableStyle>
    <tableStyle name="분할_26년03월-style 418" pivot="0" count="2">
      <tableStyleElement type="firstRowStripe" dxfId="1"/>
      <tableStyleElement type="secondRowStripe" dxfId="2"/>
    </tableStyle>
    <tableStyle name="분할_26년03월-style 419" pivot="0" count="2">
      <tableStyleElement type="firstRowStripe" dxfId="1"/>
      <tableStyleElement type="secondRowStripe" dxfId="2"/>
    </tableStyle>
    <tableStyle name="분할_26년03월-style 420" pivot="0" count="2">
      <tableStyleElement type="firstRowStripe" dxfId="1"/>
      <tableStyleElement type="secondRowStripe" dxfId="2"/>
    </tableStyle>
    <tableStyle name="분할_26년03월-style 421" pivot="0" count="2">
      <tableStyleElement type="firstRowStripe" dxfId="1"/>
      <tableStyleElement type="secondRowStripe" dxfId="2"/>
    </tableStyle>
    <tableStyle name="분할_26년03월-style 422" pivot="0" count="2">
      <tableStyleElement type="firstRowStripe" dxfId="1"/>
      <tableStyleElement type="secondRowStripe" dxfId="2"/>
    </tableStyle>
    <tableStyle name="분할_26년03월-style 423" pivot="0" count="2">
      <tableStyleElement type="firstRowStripe" dxfId="2"/>
      <tableStyleElement type="secondRowStripe" dxfId="1"/>
    </tableStyle>
    <tableStyle name="분할_26년03월-style 424" pivot="0" count="2">
      <tableStyleElement type="firstRowStripe" dxfId="1"/>
      <tableStyleElement type="secondRowStripe" dxfId="2"/>
    </tableStyle>
    <tableStyle name="분할_26년03월-style 425" pivot="0" count="2">
      <tableStyleElement type="firstRowStripe" dxfId="2"/>
      <tableStyleElement type="secondRowStripe" dxfId="1"/>
    </tableStyle>
    <tableStyle name="분할_26년03월-style 426" pivot="0" count="2">
      <tableStyleElement type="firstRowStripe" dxfId="1"/>
      <tableStyleElement type="secondRowStripe" dxfId="2"/>
    </tableStyle>
    <tableStyle name="분할_26년03월-style 427" pivot="0" count="2">
      <tableStyleElement type="firstRowStripe" dxfId="2"/>
      <tableStyleElement type="secondRowStripe" dxfId="1"/>
    </tableStyle>
    <tableStyle name="분할_26년03월-style 428" pivot="0" count="2">
      <tableStyleElement type="firstRowStripe" dxfId="2"/>
      <tableStyleElement type="secondRowStripe" dxfId="1"/>
    </tableStyle>
    <tableStyle name="분할_26년03월-style 429" pivot="0" count="2">
      <tableStyleElement type="firstRowStripe" dxfId="1"/>
      <tableStyleElement type="secondRowStripe" dxfId="2"/>
    </tableStyle>
    <tableStyle name="분할_26년03월-style 430" pivot="0" count="2">
      <tableStyleElement type="firstRowStripe" dxfId="2"/>
      <tableStyleElement type="secondRowStripe" dxfId="1"/>
    </tableStyle>
    <tableStyle name="분할_26년03월-style 431" pivot="0" count="2">
      <tableStyleElement type="firstRowStripe" dxfId="1"/>
      <tableStyleElement type="secondRowStripe" dxfId="2"/>
    </tableStyle>
    <tableStyle name="분할_26년03월-style 432" pivot="0" count="2">
      <tableStyleElement type="firstRowStripe" dxfId="2"/>
      <tableStyleElement type="secondRowStripe" dxfId="1"/>
    </tableStyle>
    <tableStyle name="분할_26년03월-style 433" pivot="0" count="2">
      <tableStyleElement type="firstRowStripe" dxfId="2"/>
      <tableStyleElement type="secondRowStripe" dxfId="1"/>
    </tableStyle>
    <tableStyle name="분할_26년03월-style 434" pivot="0" count="2">
      <tableStyleElement type="firstRowStripe" dxfId="1"/>
      <tableStyleElement type="secondRowStripe" dxfId="2"/>
    </tableStyle>
    <tableStyle name="분할_26년03월-style 435" pivot="0" count="2">
      <tableStyleElement type="firstRowStripe" dxfId="1"/>
      <tableStyleElement type="secondRowStripe" dxfId="2"/>
    </tableStyle>
    <tableStyle name="분할_26년03월-style 436" pivot="0" count="2">
      <tableStyleElement type="firstRowStripe" dxfId="2"/>
      <tableStyleElement type="secondRowStripe" dxfId="1"/>
    </tableStyle>
    <tableStyle name="분할_26년03월-style 437" pivot="0" count="2">
      <tableStyleElement type="firstRowStripe" dxfId="1"/>
      <tableStyleElement type="secondRowStripe" dxfId="2"/>
    </tableStyle>
    <tableStyle name="분할_26년03월-style 438" pivot="0" count="2">
      <tableStyleElement type="firstRowStripe" dxfId="1"/>
      <tableStyleElement type="secondRowStripe" dxfId="2"/>
    </tableStyle>
    <tableStyle name="분할_26년03월-style 439" pivot="0" count="2">
      <tableStyleElement type="firstRowStripe" dxfId="1"/>
      <tableStyleElement type="secondRowStripe" dxfId="2"/>
    </tableStyle>
    <tableStyle name="분할_26년03월-style 440" pivot="0" count="2">
      <tableStyleElement type="firstRowStripe" dxfId="2"/>
      <tableStyleElement type="secondRowStripe" dxfId="1"/>
    </tableStyle>
    <tableStyle name="분할_26년03월-style 441" pivot="0" count="2">
      <tableStyleElement type="firstRowStripe" dxfId="1"/>
      <tableStyleElement type="secondRowStripe" dxfId="2"/>
    </tableStyle>
    <tableStyle name="분할_26년03월-style 442" pivot="0" count="2">
      <tableStyleElement type="firstRowStripe" dxfId="2"/>
      <tableStyleElement type="secondRowStripe" dxfId="1"/>
    </tableStyle>
    <tableStyle name="분할_26년03월-style 443" pivot="0" count="2">
      <tableStyleElement type="firstRowStripe" dxfId="1"/>
      <tableStyleElement type="secondRowStripe" dxfId="2"/>
    </tableStyle>
    <tableStyle name="분할_26년03월-style 444" pivot="0" count="2">
      <tableStyleElement type="firstRowStripe" dxfId="1"/>
      <tableStyleElement type="secondRowStripe" dxfId="2"/>
    </tableStyle>
    <tableStyle name="분할_26년03월-style 445" pivot="0" count="2">
      <tableStyleElement type="firstRowStripe" dxfId="1"/>
      <tableStyleElement type="secondRowStripe" dxfId="2"/>
    </tableStyle>
    <tableStyle name="분할_26년03월-style 446" pivot="0" count="2">
      <tableStyleElement type="firstRowStripe" dxfId="1"/>
      <tableStyleElement type="secondRowStripe" dxfId="2"/>
    </tableStyle>
    <tableStyle name="분할_26년03월-style 447" pivot="0" count="2">
      <tableStyleElement type="firstRowStripe" dxfId="1"/>
      <tableStyleElement type="secondRowStripe" dxfId="2"/>
    </tableStyle>
    <tableStyle name="분할_26년03월-style 448" pivot="0" count="2">
      <tableStyleElement type="firstRowStripe" dxfId="1"/>
      <tableStyleElement type="secondRowStripe" dxfId="2"/>
    </tableStyle>
    <tableStyle name="분할_26년03월-style 449" pivot="0" count="2">
      <tableStyleElement type="firstRowStripe" dxfId="2"/>
      <tableStyleElement type="secondRowStripe" dxfId="1"/>
    </tableStyle>
    <tableStyle name="분할_26년03월-style 450" pivot="0" count="2">
      <tableStyleElement type="firstRowStripe" dxfId="2"/>
      <tableStyleElement type="secondRowStripe" dxfId="1"/>
    </tableStyle>
    <tableStyle name="분할_26년03월-style 451" pivot="0" count="2">
      <tableStyleElement type="firstRowStripe" dxfId="2"/>
      <tableStyleElement type="secondRowStripe" dxfId="1"/>
    </tableStyle>
    <tableStyle name="분할_26년03월-style 452" pivot="0" count="2">
      <tableStyleElement type="firstRowStripe" dxfId="2"/>
      <tableStyleElement type="secondRowStripe" dxfId="1"/>
    </tableStyle>
    <tableStyle name="분할_26년03월-style 453" pivot="0" count="2">
      <tableStyleElement type="firstRowStripe" dxfId="1"/>
      <tableStyleElement type="secondRowStripe" dxfId="2"/>
    </tableStyle>
    <tableStyle name="분할_26년03월-style 454" pivot="0" count="2">
      <tableStyleElement type="firstRowStripe" dxfId="1"/>
      <tableStyleElement type="secondRowStripe" dxfId="2"/>
    </tableStyle>
    <tableStyle name="분할_26년03월-style 455" pivot="0" count="2">
      <tableStyleElement type="firstRowStripe" dxfId="1"/>
      <tableStyleElement type="secondRowStripe" dxfId="2"/>
    </tableStyle>
    <tableStyle name="분할_26년03월-style 456" pivot="0" count="2">
      <tableStyleElement type="firstRowStripe" dxfId="1"/>
      <tableStyleElement type="secondRowStripe" dxfId="2"/>
    </tableStyle>
    <tableStyle name="분할_26년03월-style 457" pivot="0" count="2">
      <tableStyleElement type="firstRowStripe" dxfId="2"/>
      <tableStyleElement type="secondRowStripe" dxfId="1"/>
    </tableStyle>
    <tableStyle name="분할_26년03월-style 458" pivot="0" count="2">
      <tableStyleElement type="firstRowStripe" dxfId="1"/>
      <tableStyleElement type="secondRowStripe" dxfId="2"/>
    </tableStyle>
    <tableStyle name="분할_26년03월-style 459" pivot="0" count="2">
      <tableStyleElement type="firstRowStripe" dxfId="2"/>
      <tableStyleElement type="secondRowStripe" dxfId="1"/>
    </tableStyle>
    <tableStyle name="분할_26년03월-style 460" pivot="0" count="2">
      <tableStyleElement type="firstRowStripe" dxfId="1"/>
      <tableStyleElement type="secondRowStripe" dxfId="2"/>
    </tableStyle>
    <tableStyle name="분할_26년03월-style 461" pivot="0" count="2">
      <tableStyleElement type="firstRowStripe" dxfId="2"/>
      <tableStyleElement type="secondRowStripe" dxfId="1"/>
    </tableStyle>
    <tableStyle name="분할_26년03월-style 462" pivot="0" count="2">
      <tableStyleElement type="firstRowStripe" dxfId="1"/>
      <tableStyleElement type="secondRowStripe" dxfId="2"/>
    </tableStyle>
    <tableStyle name="분할_26년03월-style 463" pivot="0" count="2">
      <tableStyleElement type="firstRowStripe" dxfId="1"/>
      <tableStyleElement type="secondRowStripe" dxfId="2"/>
    </tableStyle>
    <tableStyle name="분할_26년03월-style 464" pivot="0" count="2">
      <tableStyleElement type="firstRowStripe" dxfId="1"/>
      <tableStyleElement type="secondRowStripe" dxfId="2"/>
    </tableStyle>
    <tableStyle name="분할_26년03월-style 465" pivot="0" count="2">
      <tableStyleElement type="firstRowStripe" dxfId="1"/>
      <tableStyleElement type="secondRowStripe" dxfId="2"/>
    </tableStyle>
    <tableStyle name="분할_26년03월-style 466" pivot="0" count="2">
      <tableStyleElement type="firstRowStripe" dxfId="2"/>
      <tableStyleElement type="secondRowStripe" dxfId="1"/>
    </tableStyle>
    <tableStyle name="분할_26년03월-style 467" pivot="0" count="2">
      <tableStyleElement type="firstRowStripe" dxfId="1"/>
      <tableStyleElement type="secondRowStripe" dxfId="2"/>
    </tableStyle>
    <tableStyle name="분할_26년03월-style 468" pivot="0" count="2">
      <tableStyleElement type="firstRowStripe" dxfId="2"/>
      <tableStyleElement type="secondRowStripe" dxfId="1"/>
    </tableStyle>
    <tableStyle name="분할_26년03월-style 469" pivot="0" count="2">
      <tableStyleElement type="firstRowStripe" dxfId="2"/>
      <tableStyleElement type="secondRowStripe" dxfId="1"/>
    </tableStyle>
    <tableStyle name="분할_26년03월-style 470" pivot="0" count="2">
      <tableStyleElement type="firstRowStripe" dxfId="1"/>
      <tableStyleElement type="secondRowStripe" dxfId="2"/>
    </tableStyle>
    <tableStyle name="분할_26년03월-style 471" pivot="0" count="2">
      <tableStyleElement type="firstRowStripe" dxfId="2"/>
      <tableStyleElement type="secondRowStripe" dxfId="1"/>
    </tableStyle>
    <tableStyle name="분할_26년03월-style 472" pivot="0" count="2">
      <tableStyleElement type="firstRowStripe" dxfId="1"/>
      <tableStyleElement type="secondRowStripe" dxfId="2"/>
    </tableStyle>
    <tableStyle name="분할_26년03월-style 473" pivot="0" count="2">
      <tableStyleElement type="firstRowStripe" dxfId="2"/>
      <tableStyleElement type="secondRowStripe" dxfId="1"/>
    </tableStyle>
    <tableStyle name="분할_26년03월-style 474" pivot="0" count="2">
      <tableStyleElement type="firstRowStripe" dxfId="1"/>
      <tableStyleElement type="secondRowStripe" dxfId="2"/>
    </tableStyle>
    <tableStyle name="분할_26년03월-style 475" pivot="0" count="2">
      <tableStyleElement type="firstRowStripe" dxfId="2"/>
      <tableStyleElement type="secondRowStripe" dxfId="1"/>
    </tableStyle>
    <tableStyle name="분할_26년03월-style 476" pivot="0" count="2">
      <tableStyleElement type="firstRowStripe" dxfId="1"/>
      <tableStyleElement type="secondRowStripe" dxfId="2"/>
    </tableStyle>
    <tableStyle name="분할_26년03월-style 477" pivot="0" count="2">
      <tableStyleElement type="firstRowStripe" dxfId="2"/>
      <tableStyleElement type="secondRowStripe" dxfId="1"/>
    </tableStyle>
    <tableStyle name="분할_26년03월-style 478" pivot="0" count="2">
      <tableStyleElement type="firstRowStripe" dxfId="1"/>
      <tableStyleElement type="secondRowStripe" dxfId="2"/>
    </tableStyle>
    <tableStyle name="분할_26년03월-style 479" pivot="0" count="2">
      <tableStyleElement type="firstRowStripe" dxfId="2"/>
      <tableStyleElement type="secondRowStripe" dxfId="1"/>
    </tableStyle>
    <tableStyle name="분할_26년03월-style 480" pivot="0" count="2">
      <tableStyleElement type="firstRowStripe" dxfId="1"/>
      <tableStyleElement type="secondRowStripe" dxfId="2"/>
    </tableStyle>
    <tableStyle name="분할_26년03월-style 481" pivot="0" count="2">
      <tableStyleElement type="firstRowStripe" dxfId="2"/>
      <tableStyleElement type="secondRowStripe" dxfId="1"/>
    </tableStyle>
    <tableStyle name="분할_26년03월-style 482" pivot="0" count="2">
      <tableStyleElement type="firstRowStripe" dxfId="1"/>
      <tableStyleElement type="secondRowStripe" dxfId="2"/>
    </tableStyle>
    <tableStyle name="분할_26년03월-style 483" pivot="0" count="2">
      <tableStyleElement type="firstRowStripe" dxfId="2"/>
      <tableStyleElement type="secondRowStripe" dxfId="1"/>
    </tableStyle>
    <tableStyle name="분할_26년03월-style 484" pivot="0" count="2">
      <tableStyleElement type="firstRowStripe" dxfId="1"/>
      <tableStyleElement type="secondRowStripe" dxfId="2"/>
    </tableStyle>
    <tableStyle name="분할_26년03월-style 485" pivot="0" count="2">
      <tableStyleElement type="firstRowStripe" dxfId="2"/>
      <tableStyleElement type="secondRowStripe" dxfId="1"/>
    </tableStyle>
    <tableStyle name="분할_26년03월-style 486" pivot="0" count="2">
      <tableStyleElement type="firstRowStripe" dxfId="1"/>
      <tableStyleElement type="secondRowStripe" dxfId="2"/>
    </tableStyle>
    <tableStyle name="분할_26년03월-style 487" pivot="0" count="2">
      <tableStyleElement type="firstRowStripe" dxfId="2"/>
      <tableStyleElement type="secondRowStripe" dxfId="1"/>
    </tableStyle>
    <tableStyle name="분할_26년03월-style 488" pivot="0" count="2">
      <tableStyleElement type="firstRowStripe" dxfId="1"/>
      <tableStyleElement type="secondRowStripe" dxfId="2"/>
    </tableStyle>
    <tableStyle name="분할_26년03월-style 489" pivot="0" count="2">
      <tableStyleElement type="firstRowStripe" dxfId="2"/>
      <tableStyleElement type="secondRowStripe" dxfId="1"/>
    </tableStyle>
    <tableStyle name="분할_26년03월-style 490" pivot="0" count="2">
      <tableStyleElement type="firstRowStripe" dxfId="1"/>
      <tableStyleElement type="secondRowStripe" dxfId="2"/>
    </tableStyle>
    <tableStyle name="분할_26년03월-style 491" pivot="0" count="2">
      <tableStyleElement type="firstRowStripe" dxfId="2"/>
      <tableStyleElement type="secondRowStripe" dxfId="1"/>
    </tableStyle>
    <tableStyle name="분할_26년03월-style 492" pivot="0" count="2">
      <tableStyleElement type="firstRowStripe" dxfId="1"/>
      <tableStyleElement type="secondRowStripe" dxfId="2"/>
    </tableStyle>
    <tableStyle name="분할_26년03월-style 493" pivot="0" count="2">
      <tableStyleElement type="firstRowStripe" dxfId="2"/>
      <tableStyleElement type="secondRowStripe" dxfId="1"/>
    </tableStyle>
    <tableStyle name="분할_26년03월-style 494" pivot="0" count="2">
      <tableStyleElement type="firstRowStripe" dxfId="1"/>
      <tableStyleElement type="secondRowStripe" dxfId="2"/>
    </tableStyle>
    <tableStyle name="분할_26년03월-style 495" pivot="0" count="2">
      <tableStyleElement type="firstRowStripe" dxfId="2"/>
      <tableStyleElement type="secondRowStripe" dxfId="1"/>
    </tableStyle>
    <tableStyle name="분할_26년03월-style 496" pivot="0" count="2">
      <tableStyleElement type="firstRowStripe" dxfId="2"/>
      <tableStyleElement type="secondRowStripe" dxfId="1"/>
    </tableStyle>
    <tableStyle name="분할_26년03월-style 497" pivot="0" count="2">
      <tableStyleElement type="firstRowStripe" dxfId="2"/>
      <tableStyleElement type="secondRowStripe" dxfId="1"/>
    </tableStyle>
    <tableStyle name="분할_26년03월-style 498" pivot="0" count="2">
      <tableStyleElement type="firstRowStripe" dxfId="1"/>
      <tableStyleElement type="secondRowStripe" dxfId="2"/>
    </tableStyle>
    <tableStyle name="분할_26년03월-style 499" pivot="0" count="2">
      <tableStyleElement type="firstRowStripe" dxfId="1"/>
      <tableStyleElement type="secondRowStripe" dxfId="2"/>
    </tableStyle>
    <tableStyle name="분할_26년03월-style 500" pivot="0" count="2">
      <tableStyleElement type="firstRowStripe" dxfId="1"/>
      <tableStyleElement type="secondRowStripe" dxfId="2"/>
    </tableStyle>
    <tableStyle name="분할_26년03월-style 501" pivot="0" count="2">
      <tableStyleElement type="firstRowStripe" dxfId="2"/>
      <tableStyleElement type="secondRowStripe" dxfId="1"/>
    </tableStyle>
    <tableStyle name="분할_26년03월-style 502" pivot="0" count="2">
      <tableStyleElement type="firstRowStripe" dxfId="1"/>
      <tableStyleElement type="secondRowStripe" dxfId="2"/>
    </tableStyle>
    <tableStyle name="분할_26년03월-style 503" pivot="0" count="2">
      <tableStyleElement type="firstRowStripe" dxfId="2"/>
      <tableStyleElement type="secondRowStripe" dxfId="1"/>
    </tableStyle>
    <tableStyle name="분할_26년03월-style 504" pivot="0" count="2">
      <tableStyleElement type="firstRowStripe" dxfId="1"/>
      <tableStyleElement type="secondRowStripe" dxfId="2"/>
    </tableStyle>
    <tableStyle name="분할_26년03월-style 505" pivot="0" count="2">
      <tableStyleElement type="firstRowStripe" dxfId="1"/>
      <tableStyleElement type="secondRowStripe" dxfId="2"/>
    </tableStyle>
    <tableStyle name="분할_26년03월-style 506" pivot="0" count="2">
      <tableStyleElement type="firstRowStripe" dxfId="1"/>
      <tableStyleElement type="secondRowStripe" dxfId="2"/>
    </tableStyle>
    <tableStyle name="분할_26년03월-style 507" pivot="0" count="2">
      <tableStyleElement type="firstRowStripe" dxfId="1"/>
      <tableStyleElement type="secondRowStripe" dxfId="2"/>
    </tableStyle>
    <tableStyle name="분할_26년03월-style 508" pivot="0" count="2">
      <tableStyleElement type="firstRowStripe" dxfId="1"/>
      <tableStyleElement type="secondRowStripe" dxfId="2"/>
    </tableStyle>
    <tableStyle name="분할_26년03월-style 509" pivot="0" count="2">
      <tableStyleElement type="firstRowStripe" dxfId="1"/>
      <tableStyleElement type="secondRowStripe" dxfId="2"/>
    </tableStyle>
    <tableStyle name="분할_26년03월-style 510" pivot="0" count="2">
      <tableStyleElement type="firstRowStripe" dxfId="1"/>
      <tableStyleElement type="secondRowStripe" dxfId="2"/>
    </tableStyle>
    <tableStyle name="분할_26년03월-style 511" pivot="0" count="2">
      <tableStyleElement type="firstRowStripe" dxfId="1"/>
      <tableStyleElement type="secondRowStripe" dxfId="2"/>
    </tableStyle>
    <tableStyle name="분할_26년03월-style 512" pivot="0" count="2">
      <tableStyleElement type="firstRowStripe" dxfId="2"/>
      <tableStyleElement type="secondRowStripe" dxfId="1"/>
    </tableStyle>
    <tableStyle name="분할_26년03월-style 513" pivot="0" count="2">
      <tableStyleElement type="firstRowStripe" dxfId="1"/>
      <tableStyleElement type="secondRowStripe" dxfId="2"/>
    </tableStyle>
    <tableStyle name="분할_26년03월-style 514" pivot="0" count="2">
      <tableStyleElement type="firstRowStripe" dxfId="1"/>
      <tableStyleElement type="secondRowStripe" dxfId="2"/>
    </tableStyle>
    <tableStyle name="분할_26년03월-style 515" pivot="0" count="2">
      <tableStyleElement type="firstRowStripe" dxfId="1"/>
      <tableStyleElement type="secondRowStripe" dxfId="2"/>
    </tableStyle>
    <tableStyle name="분할_26년03월-style 516" pivot="0" count="2">
      <tableStyleElement type="firstRowStripe" dxfId="2"/>
      <tableStyleElement type="secondRowStripe" dxfId="1"/>
    </tableStyle>
    <tableStyle name="분할_26년03월-style 517" pivot="0" count="2">
      <tableStyleElement type="firstRowStripe" dxfId="2"/>
      <tableStyleElement type="secondRowStripe" dxfId="1"/>
    </tableStyle>
    <tableStyle name="분할_26년03월-style 518" pivot="0" count="2">
      <tableStyleElement type="firstRowStripe" dxfId="2"/>
      <tableStyleElement type="secondRowStripe" dxfId="1"/>
    </tableStyle>
    <tableStyle name="분할_26년03월-style 519" pivot="0" count="2">
      <tableStyleElement type="firstRowStripe" dxfId="1"/>
      <tableStyleElement type="secondRowStripe" dxfId="2"/>
    </tableStyle>
    <tableStyle name="분할_26년03월-style 520" pivot="0" count="2">
      <tableStyleElement type="firstRowStripe" dxfId="1"/>
      <tableStyleElement type="secondRowStripe" dxfId="2"/>
    </tableStyle>
    <tableStyle name="분할_26년03월-style 521" pivot="0" count="2">
      <tableStyleElement type="firstRowStripe" dxfId="1"/>
      <tableStyleElement type="secondRowStripe" dxfId="2"/>
    </tableStyle>
    <tableStyle name="분할_26년03월-style 522" pivot="0" count="2">
      <tableStyleElement type="firstRowStripe" dxfId="1"/>
      <tableStyleElement type="secondRowStripe" dxfId="2"/>
    </tableStyle>
    <tableStyle name="분할_26년03월-style 523" pivot="0" count="2">
      <tableStyleElement type="firstRowStripe" dxfId="2"/>
      <tableStyleElement type="secondRowStripe" dxfId="1"/>
    </tableStyle>
    <tableStyle name="분할_26년03월-style 524" pivot="0" count="2">
      <tableStyleElement type="firstRowStripe" dxfId="2"/>
      <tableStyleElement type="secondRowStripe" dxfId="1"/>
    </tableStyle>
    <tableStyle name="분할_26년03월-style 525" pivot="0" count="2">
      <tableStyleElement type="firstRowStripe" dxfId="1"/>
      <tableStyleElement type="secondRowStripe" dxfId="2"/>
    </tableStyle>
    <tableStyle name="분할_26년03월-style 526" pivot="0" count="2">
      <tableStyleElement type="firstRowStripe" dxfId="2"/>
      <tableStyleElement type="secondRowStripe" dxfId="1"/>
    </tableStyle>
    <tableStyle name="분할_26년03월-style 527" pivot="0" count="2">
      <tableStyleElement type="firstRowStripe" dxfId="1"/>
      <tableStyleElement type="secondRowStripe" dxfId="2"/>
    </tableStyle>
    <tableStyle name="분할_26년03월-style 528" pivot="0" count="2">
      <tableStyleElement type="firstRowStripe" dxfId="2"/>
      <tableStyleElement type="secondRowStripe" dxfId="1"/>
    </tableStyle>
    <tableStyle name="분할_26년03월-style 529" pivot="0" count="2">
      <tableStyleElement type="firstRowStripe" dxfId="1"/>
      <tableStyleElement type="secondRowStripe" dxfId="2"/>
    </tableStyle>
    <tableStyle name="분할_26년03월-style 530" pivot="0" count="2">
      <tableStyleElement type="firstRowStripe" dxfId="1"/>
      <tableStyleElement type="secondRowStripe" dxfId="2"/>
    </tableStyle>
    <tableStyle name="분할_26년03월-style 531" pivot="0" count="2">
      <tableStyleElement type="firstRowStripe" dxfId="1"/>
      <tableStyleElement type="secondRowStripe" dxfId="2"/>
    </tableStyle>
    <tableStyle name="분할_26년03월-style 532" pivot="0" count="2">
      <tableStyleElement type="firstRowStripe" dxfId="1"/>
      <tableStyleElement type="secondRowStripe" dxfId="2"/>
    </tableStyle>
    <tableStyle name="분할_26년03월-style 533" pivot="0" count="2">
      <tableStyleElement type="firstRowStripe" dxfId="2"/>
      <tableStyleElement type="secondRowStripe" dxfId="1"/>
    </tableStyle>
    <tableStyle name="분할_26년03월-style 534" pivot="0" count="2">
      <tableStyleElement type="firstRowStripe" dxfId="1"/>
      <tableStyleElement type="secondRowStripe" dxfId="2"/>
    </tableStyle>
    <tableStyle name="분할_26년03월-style 535" pivot="0" count="2">
      <tableStyleElement type="firstRowStripe" dxfId="2"/>
      <tableStyleElement type="secondRowStripe" dxfId="1"/>
    </tableStyle>
    <tableStyle name="분할_26년03월-style 536" pivot="0" count="2">
      <tableStyleElement type="firstRowStripe" dxfId="2"/>
      <tableStyleElement type="secondRowStripe" dxfId="1"/>
    </tableStyle>
    <tableStyle name="분할_26년03월-style 537" pivot="0" count="2">
      <tableStyleElement type="firstRowStripe" dxfId="2"/>
      <tableStyleElement type="secondRowStripe" dxfId="1"/>
    </tableStyle>
    <tableStyle name="분할_26년03월-style 538" pivot="0" count="2">
      <tableStyleElement type="firstRowStripe" dxfId="2"/>
      <tableStyleElement type="secondRowStripe" dxfId="1"/>
    </tableStyle>
    <tableStyle name="분할_26년03월-style 539" pivot="0" count="2">
      <tableStyleElement type="firstRowStripe" dxfId="1"/>
      <tableStyleElement type="secondRowStripe" dxfId="2"/>
    </tableStyle>
    <tableStyle name="분할_26년03월-style 540" pivot="0" count="2">
      <tableStyleElement type="firstRowStripe" dxfId="1"/>
      <tableStyleElement type="secondRowStripe" dxfId="2"/>
    </tableStyle>
    <tableStyle name="분할_26년03월-style 541" pivot="0" count="2">
      <tableStyleElement type="firstRowStripe" dxfId="1"/>
      <tableStyleElement type="secondRowStripe" dxfId="2"/>
    </tableStyle>
    <tableStyle name="분할_26년03월-style 542" pivot="0" count="2">
      <tableStyleElement type="firstRowStripe" dxfId="2"/>
      <tableStyleElement type="secondRowStripe" dxfId="1"/>
    </tableStyle>
    <tableStyle name="분할_26년03월-style 543" pivot="0" count="2">
      <tableStyleElement type="firstRowStripe" dxfId="1"/>
      <tableStyleElement type="secondRowStripe" dxfId="2"/>
    </tableStyle>
    <tableStyle name="분할_26년03월-style 544" pivot="0" count="2">
      <tableStyleElement type="firstRowStripe" dxfId="2"/>
      <tableStyleElement type="secondRowStripe" dxfId="1"/>
    </tableStyle>
    <tableStyle name="분할_26년03월-style 545" pivot="0" count="2">
      <tableStyleElement type="firstRowStripe" dxfId="1"/>
      <tableStyleElement type="secondRowStripe" dxfId="2"/>
    </tableStyle>
    <tableStyle name="분할_26년03월-style 546" pivot="0" count="2">
      <tableStyleElement type="firstRowStripe" dxfId="2"/>
      <tableStyleElement type="secondRowStripe" dxfId="1"/>
    </tableStyle>
    <tableStyle name="분할_26년03월-style 547" pivot="0" count="2">
      <tableStyleElement type="firstRowStripe" dxfId="2"/>
      <tableStyleElement type="secondRowStripe" dxfId="1"/>
    </tableStyle>
    <tableStyle name="분할_26년03월-style 548" pivot="0" count="2">
      <tableStyleElement type="firstRowStripe" dxfId="1"/>
      <tableStyleElement type="secondRowStripe" dxfId="2"/>
    </tableStyle>
    <tableStyle name="분할_26년03월-style 549" pivot="0" count="2">
      <tableStyleElement type="firstRowStripe" dxfId="1"/>
      <tableStyleElement type="secondRowStripe" dxfId="2"/>
    </tableStyle>
    <tableStyle name="분할_26년03월-style 550" pivot="0" count="2">
      <tableStyleElement type="firstRowStripe" dxfId="2"/>
      <tableStyleElement type="secondRowStripe" dxfId="1"/>
    </tableStyle>
    <tableStyle name="분할_26년03월-style 551" pivot="0" count="2">
      <tableStyleElement type="firstRowStripe" dxfId="2"/>
      <tableStyleElement type="secondRowStripe" dxfId="1"/>
    </tableStyle>
    <tableStyle name="분할_26년03월-style 552" pivot="0" count="2">
      <tableStyleElement type="firstRowStripe" dxfId="2"/>
      <tableStyleElement type="secondRowStripe" dxfId="1"/>
    </tableStyle>
    <tableStyle name="분할_26년03월-style 553" pivot="0" count="2">
      <tableStyleElement type="firstRowStripe" dxfId="2"/>
      <tableStyleElement type="secondRowStripe" dxfId="1"/>
    </tableStyle>
    <tableStyle name="분할_26년03월-style 554" pivot="0" count="2">
      <tableStyleElement type="firstRowStripe" dxfId="1"/>
      <tableStyleElement type="secondRowStripe" dxfId="2"/>
    </tableStyle>
    <tableStyle name="분할_26년03월-style 555" pivot="0" count="2">
      <tableStyleElement type="firstRowStripe" dxfId="1"/>
      <tableStyleElement type="secondRowStripe" dxfId="2"/>
    </tableStyle>
    <tableStyle name="분할_26년03월-style 556" pivot="0" count="2">
      <tableStyleElement type="firstRowStripe" dxfId="2"/>
      <tableStyleElement type="secondRowStripe" dxfId="1"/>
    </tableStyle>
    <tableStyle name="분할_26년03월-style 557" pivot="0" count="2">
      <tableStyleElement type="firstRowStripe" dxfId="2"/>
      <tableStyleElement type="secondRowStripe" dxfId="1"/>
    </tableStyle>
    <tableStyle name="분할_26년03월-style 558" pivot="0" count="2">
      <tableStyleElement type="firstRowStripe" dxfId="2"/>
      <tableStyleElement type="secondRowStripe" dxfId="1"/>
    </tableStyle>
    <tableStyle name="분할_26년03월-style 559" pivot="0" count="2">
      <tableStyleElement type="firstRowStripe" dxfId="1"/>
      <tableStyleElement type="secondRowStripe" dxfId="2"/>
    </tableStyle>
    <tableStyle name="분할_26년03월-style 560" pivot="0" count="2">
      <tableStyleElement type="firstRowStripe" dxfId="2"/>
      <tableStyleElement type="secondRowStripe" dxfId="1"/>
    </tableStyle>
    <tableStyle name="분할_26년03월-style 561" pivot="0" count="2">
      <tableStyleElement type="firstRowStripe" dxfId="2"/>
      <tableStyleElement type="secondRowStripe" dxfId="1"/>
    </tableStyle>
    <tableStyle name="분할_26년03월-style 562" pivot="0" count="2">
      <tableStyleElement type="firstRowStripe" dxfId="2"/>
      <tableStyleElement type="secondRowStripe" dxfId="1"/>
    </tableStyle>
    <tableStyle name="분할_26년03월-style 563" pivot="0" count="2">
      <tableStyleElement type="firstRowStripe" dxfId="1"/>
      <tableStyleElement type="secondRowStripe" dxfId="2"/>
    </tableStyle>
    <tableStyle name="분할_26년03월-style 564" pivot="0" count="2">
      <tableStyleElement type="firstRowStripe" dxfId="1"/>
      <tableStyleElement type="secondRowStripe" dxfId="2"/>
    </tableStyle>
    <tableStyle name="분할_26년03월-style 565" pivot="0" count="2">
      <tableStyleElement type="firstRowStripe" dxfId="1"/>
      <tableStyleElement type="secondRowStripe" dxfId="2"/>
    </tableStyle>
    <tableStyle name="분할_26년03월-style 566" pivot="0" count="2">
      <tableStyleElement type="firstRowStripe" dxfId="1"/>
      <tableStyleElement type="secondRowStripe" dxfId="2"/>
    </tableStyle>
    <tableStyle name="분할_26년03월-style 567" pivot="0" count="2">
      <tableStyleElement type="firstRowStripe" dxfId="1"/>
      <tableStyleElement type="secondRowStripe" dxfId="2"/>
    </tableStyle>
    <tableStyle name="분할_26년03월-style 568" pivot="0" count="2">
      <tableStyleElement type="firstRowStripe" dxfId="1"/>
      <tableStyleElement type="secondRowStripe" dxfId="2"/>
    </tableStyle>
    <tableStyle name="분할_26년03월-style 569" pivot="0" count="2">
      <tableStyleElement type="firstRowStripe" dxfId="1"/>
      <tableStyleElement type="secondRowStripe" dxfId="2"/>
    </tableStyle>
    <tableStyle name="분할_26년03월-style 570" pivot="0" count="2">
      <tableStyleElement type="firstRowStripe" dxfId="1"/>
      <tableStyleElement type="secondRowStripe" dxfId="2"/>
    </tableStyle>
    <tableStyle name="분할_26년03월-style 571" pivot="0" count="2">
      <tableStyleElement type="firstRowStripe" dxfId="1"/>
      <tableStyleElement type="secondRowStripe" dxfId="2"/>
    </tableStyle>
    <tableStyle name="분할_26년03월-style 572" pivot="0" count="2">
      <tableStyleElement type="firstRowStripe" dxfId="2"/>
      <tableStyleElement type="secondRowStripe" dxfId="1"/>
    </tableStyle>
    <tableStyle name="분할_26년03월-style 573" pivot="0" count="2">
      <tableStyleElement type="firstRowStripe" dxfId="1"/>
      <tableStyleElement type="secondRowStripe" dxfId="2"/>
    </tableStyle>
    <tableStyle name="분할_26년03월-style 574" pivot="0" count="2">
      <tableStyleElement type="firstRowStripe" dxfId="1"/>
      <tableStyleElement type="secondRowStripe" dxfId="2"/>
    </tableStyle>
    <tableStyle name="분할_26년03월-style 575" pivot="0" count="2">
      <tableStyleElement type="firstRowStripe" dxfId="2"/>
      <tableStyleElement type="secondRowStripe" dxfId="1"/>
    </tableStyle>
    <tableStyle name="분할_26년03월-style 576" pivot="0" count="2">
      <tableStyleElement type="firstRowStripe" dxfId="2"/>
      <tableStyleElement type="secondRowStripe" dxfId="1"/>
    </tableStyle>
    <tableStyle name="분할_26년03월-style 577" pivot="0" count="2">
      <tableStyleElement type="firstRowStripe" dxfId="1"/>
      <tableStyleElement type="secondRowStripe" dxfId="2"/>
    </tableStyle>
    <tableStyle name="분할_26년03월-style 578" pivot="0" count="2">
      <tableStyleElement type="firstRowStripe" dxfId="1"/>
      <tableStyleElement type="secondRowStripe" dxfId="2"/>
    </tableStyle>
    <tableStyle name="분할_26년03월-style 579" pivot="0" count="2">
      <tableStyleElement type="firstRowStripe" dxfId="1"/>
      <tableStyleElement type="secondRowStripe" dxfId="2"/>
    </tableStyle>
    <tableStyle name="분할_26년03월-style 580" pivot="0" count="2">
      <tableStyleElement type="firstRowStripe" dxfId="2"/>
      <tableStyleElement type="secondRowStripe" dxfId="1"/>
    </tableStyle>
    <tableStyle name="분할_26년03월-style 581" pivot="0" count="2">
      <tableStyleElement type="firstRowStripe" dxfId="1"/>
      <tableStyleElement type="secondRowStripe" dxfId="2"/>
    </tableStyle>
    <tableStyle name="분할_26년03월-style 582" pivot="0" count="2">
      <tableStyleElement type="firstRowStripe" dxfId="2"/>
      <tableStyleElement type="secondRowStripe" dxfId="1"/>
    </tableStyle>
    <tableStyle name="분할_26년03월-style 583" pivot="0" count="2">
      <tableStyleElement type="firstRowStripe" dxfId="1"/>
      <tableStyleElement type="secondRowStripe" dxfId="2"/>
    </tableStyle>
    <tableStyle name="분할_26년03월-style 584" pivot="0" count="2">
      <tableStyleElement type="firstRowStripe" dxfId="2"/>
      <tableStyleElement type="secondRowStripe" dxfId="1"/>
    </tableStyle>
    <tableStyle name="분할_26년03월-style 585" pivot="0" count="2">
      <tableStyleElement type="firstRowStripe" dxfId="1"/>
      <tableStyleElement type="secondRowStripe" dxfId="2"/>
    </tableStyle>
    <tableStyle name="분할_26년03월-style 586" pivot="0" count="2">
      <tableStyleElement type="firstRowStripe" dxfId="1"/>
      <tableStyleElement type="secondRowStripe" dxfId="2"/>
    </tableStyle>
    <tableStyle name="분할_26년03월-style 587" pivot="0" count="2">
      <tableStyleElement type="firstRowStripe" dxfId="2"/>
      <tableStyleElement type="secondRowStripe" dxfId="1"/>
    </tableStyle>
    <tableStyle name="분할_26년03월-style 588" pivot="0" count="2">
      <tableStyleElement type="firstRowStripe" dxfId="1"/>
      <tableStyleElement type="secondRowStripe" dxfId="2"/>
    </tableStyle>
    <tableStyle name="분할_26년03월-style 589" pivot="0" count="2">
      <tableStyleElement type="firstRowStripe" dxfId="2"/>
      <tableStyleElement type="secondRowStripe" dxfId="1"/>
    </tableStyle>
    <tableStyle name="분할_26년03월-style 590" pivot="0" count="2">
      <tableStyleElement type="firstRowStripe" dxfId="2"/>
      <tableStyleElement type="secondRowStripe" dxfId="1"/>
    </tableStyle>
    <tableStyle name="분할_26년03월-style 591" pivot="0" count="2">
      <tableStyleElement type="firstRowStripe" dxfId="2"/>
      <tableStyleElement type="secondRowStripe" dxfId="1"/>
    </tableStyle>
    <tableStyle name="분할_26년03월-style 592" pivot="0" count="2">
      <tableStyleElement type="firstRowStripe" dxfId="2"/>
      <tableStyleElement type="secondRowStripe" dxfId="1"/>
    </tableStyle>
    <tableStyle name="분할_26년03월-style 593" pivot="0" count="2">
      <tableStyleElement type="firstRowStripe" dxfId="1"/>
      <tableStyleElement type="secondRowStripe" dxfId="2"/>
    </tableStyle>
    <tableStyle name="분할_26년03월-style 594" pivot="0" count="2">
      <tableStyleElement type="firstRowStripe" dxfId="1"/>
      <tableStyleElement type="secondRowStripe" dxfId="2"/>
    </tableStyle>
    <tableStyle name="분할_26년03월-style 595" pivot="0" count="2">
      <tableStyleElement type="firstRowStripe" dxfId="1"/>
      <tableStyleElement type="secondRowStripe" dxfId="2"/>
    </tableStyle>
    <tableStyle name="분할_26년03월-style 596" pivot="0" count="2">
      <tableStyleElement type="firstRowStripe" dxfId="1"/>
      <tableStyleElement type="secondRowStripe" dxfId="2"/>
    </tableStyle>
    <tableStyle name="분할_26년03월-style 597" pivot="0" count="2">
      <tableStyleElement type="firstRowStripe" dxfId="1"/>
      <tableStyleElement type="secondRowStripe" dxfId="2"/>
    </tableStyle>
    <tableStyle name="분할_26년03월-style 598" pivot="0" count="2">
      <tableStyleElement type="firstRowStripe" dxfId="2"/>
      <tableStyleElement type="secondRowStripe" dxfId="1"/>
    </tableStyle>
    <tableStyle name="분할_26년03월-style 599" pivot="0" count="2">
      <tableStyleElement type="firstRowStripe" dxfId="1"/>
      <tableStyleElement type="secondRowStripe" dxfId="2"/>
    </tableStyle>
    <tableStyle name="분할_26년03월-style 600" pivot="0" count="2">
      <tableStyleElement type="firstRowStripe" dxfId="1"/>
      <tableStyleElement type="secondRowStripe" dxfId="2"/>
    </tableStyle>
    <tableStyle name="분할_26년03월-style 601" pivot="0" count="2">
      <tableStyleElement type="firstRowStripe" dxfId="1"/>
      <tableStyleElement type="secondRowStripe" dxfId="2"/>
    </tableStyle>
    <tableStyle name="분할_26년03월-style 602" pivot="0" count="2">
      <tableStyleElement type="firstRowStripe" dxfId="1"/>
      <tableStyleElement type="secondRowStripe" dxfId="2"/>
    </tableStyle>
    <tableStyle name="분할_26년03월-style 603" pivot="0" count="2">
      <tableStyleElement type="firstRowStripe" dxfId="1"/>
      <tableStyleElement type="secondRowStripe" dxfId="2"/>
    </tableStyle>
    <tableStyle name="분할_26년03월-style 604" pivot="0" count="2">
      <tableStyleElement type="firstRowStripe" dxfId="2"/>
      <tableStyleElement type="secondRowStripe" dxfId="1"/>
    </tableStyle>
    <tableStyle name="분할_26년03월-style 605" pivot="0" count="2">
      <tableStyleElement type="firstRowStripe" dxfId="1"/>
      <tableStyleElement type="secondRowStripe" dxfId="2"/>
    </tableStyle>
    <tableStyle name="분할_26년03월-style 606" pivot="0" count="2">
      <tableStyleElement type="firstRowStripe" dxfId="1"/>
      <tableStyleElement type="secondRowStripe" dxfId="2"/>
    </tableStyle>
    <tableStyle name="분할_26년03월-style 607" pivot="0" count="2">
      <tableStyleElement type="firstRowStripe" dxfId="2"/>
      <tableStyleElement type="secondRowStripe" dxfId="1"/>
    </tableStyle>
    <tableStyle name="분할_26년03월-style 608" pivot="0" count="2">
      <tableStyleElement type="firstRowStripe" dxfId="1"/>
      <tableStyleElement type="secondRowStripe" dxfId="2"/>
    </tableStyle>
    <tableStyle name="분할_26년03월-style 609" pivot="0" count="2">
      <tableStyleElement type="firstRowStripe" dxfId="1"/>
      <tableStyleElement type="secondRowStripe" dxfId="2"/>
    </tableStyle>
    <tableStyle name="분할_26년03월-style 610" pivot="0" count="2">
      <tableStyleElement type="firstRowStripe" dxfId="1"/>
      <tableStyleElement type="secondRowStripe" dxfId="2"/>
    </tableStyle>
    <tableStyle name="분할_26년03월-style 611" pivot="0" count="2">
      <tableStyleElement type="firstRowStripe" dxfId="1"/>
      <tableStyleElement type="secondRowStripe" dxfId="2"/>
    </tableStyle>
    <tableStyle name="분할_26년03월-style 612" pivot="0" count="2">
      <tableStyleElement type="firstRowStripe" dxfId="1"/>
      <tableStyleElement type="secondRowStripe" dxfId="2"/>
    </tableStyle>
    <tableStyle name="분할_26년03월-style 613" pivot="0" count="2">
      <tableStyleElement type="firstRowStripe" dxfId="1"/>
      <tableStyleElement type="secondRowStripe" dxfId="2"/>
    </tableStyle>
    <tableStyle name="분할_26년03월-style 614" pivot="0" count="2">
      <tableStyleElement type="firstRowStripe" dxfId="1"/>
      <tableStyleElement type="secondRowStripe" dxfId="2"/>
    </tableStyle>
    <tableStyle name="분할_26년03월-style 615" pivot="0" count="2">
      <tableStyleElement type="firstRowStripe" dxfId="2"/>
      <tableStyleElement type="secondRowStripe" dxfId="1"/>
    </tableStyle>
    <tableStyle name="분할_26년03월-style 616" pivot="0" count="2">
      <tableStyleElement type="firstRowStripe" dxfId="1"/>
      <tableStyleElement type="secondRowStripe" dxfId="2"/>
    </tableStyle>
    <tableStyle name="분할_26년03월-style 617" pivot="0" count="2">
      <tableStyleElement type="firstRowStripe" dxfId="1"/>
      <tableStyleElement type="secondRowStripe" dxfId="2"/>
    </tableStyle>
    <tableStyle name="분할_26년03월-style 618" pivot="0" count="2">
      <tableStyleElement type="firstRowStripe" dxfId="1"/>
      <tableStyleElement type="secondRowStripe" dxfId="2"/>
    </tableStyle>
    <tableStyle name="분할_26년03월-style 619" pivot="0" count="2">
      <tableStyleElement type="firstRowStripe" dxfId="1"/>
      <tableStyleElement type="secondRowStripe" dxfId="2"/>
    </tableStyle>
    <tableStyle name="분할_26년03월-style 620" pivot="0" count="2">
      <tableStyleElement type="firstRowStripe" dxfId="1"/>
      <tableStyleElement type="secondRowStripe" dxfId="2"/>
    </tableStyle>
    <tableStyle name="분할_26년03월-style 621" pivot="0" count="2">
      <tableStyleElement type="firstRowStripe" dxfId="2"/>
      <tableStyleElement type="secondRowStripe" dxfId="1"/>
    </tableStyle>
    <tableStyle name="분할_26년03월-style 622" pivot="0" count="2">
      <tableStyleElement type="firstRowStripe" dxfId="2"/>
      <tableStyleElement type="secondRowStripe" dxfId="1"/>
    </tableStyle>
    <tableStyle name="분할_26년03월-style 623" pivot="0" count="2">
      <tableStyleElement type="firstRowStripe" dxfId="1"/>
      <tableStyleElement type="secondRowStripe" dxfId="2"/>
    </tableStyle>
    <tableStyle name="분할_26년03월-style 624" pivot="0" count="2">
      <tableStyleElement type="firstRowStripe" dxfId="2"/>
      <tableStyleElement type="secondRowStripe" dxfId="1"/>
    </tableStyle>
    <tableStyle name="분할_26년03월-style 625" pivot="0" count="2">
      <tableStyleElement type="firstRowStripe" dxfId="1"/>
      <tableStyleElement type="secondRowStripe" dxfId="2"/>
    </tableStyle>
    <tableStyle name="분할_26년03월-style 626" pivot="0" count="2">
      <tableStyleElement type="firstRowStripe" dxfId="1"/>
      <tableStyleElement type="secondRowStripe" dxfId="2"/>
    </tableStyle>
    <tableStyle name="분할_26년03월-style 627" pivot="0" count="2">
      <tableStyleElement type="firstRowStripe" dxfId="2"/>
      <tableStyleElement type="secondRowStripe" dxfId="1"/>
    </tableStyle>
    <tableStyle name="분할_26년03월-style 628" pivot="0" count="2">
      <tableStyleElement type="firstRowStripe" dxfId="2"/>
      <tableStyleElement type="secondRowStripe" dxfId="1"/>
    </tableStyle>
    <tableStyle name="분할_26년03월-style 629" pivot="0" count="2">
      <tableStyleElement type="firstRowStripe" dxfId="2"/>
      <tableStyleElement type="secondRowStripe" dxfId="1"/>
    </tableStyle>
    <tableStyle name="분할_26년03월-style 630" pivot="0" count="2">
      <tableStyleElement type="firstRowStripe" dxfId="1"/>
      <tableStyleElement type="secondRowStripe" dxfId="2"/>
    </tableStyle>
    <tableStyle name="분할_26년03월-style 631" pivot="0" count="2">
      <tableStyleElement type="firstRowStripe" dxfId="2"/>
      <tableStyleElement type="secondRowStripe" dxfId="1"/>
    </tableStyle>
    <tableStyle name="분할_26년03월-style 632" pivot="0" count="2">
      <tableStyleElement type="firstRowStripe" dxfId="2"/>
      <tableStyleElement type="secondRowStripe" dxfId="1"/>
    </tableStyle>
    <tableStyle name="분할_26년03월-style 633" pivot="0" count="2">
      <tableStyleElement type="firstRowStripe" dxfId="1"/>
      <tableStyleElement type="secondRowStripe" dxfId="2"/>
    </tableStyle>
    <tableStyle name="분할_26년03월-style 634" pivot="0" count="2">
      <tableStyleElement type="firstRowStripe" dxfId="2"/>
      <tableStyleElement type="secondRowStripe" dxfId="1"/>
    </tableStyle>
    <tableStyle name="분할_26년03월-style 635" pivot="0" count="2">
      <tableStyleElement type="firstRowStripe" dxfId="1"/>
      <tableStyleElement type="secondRowStripe" dxfId="2"/>
    </tableStyle>
    <tableStyle name="분할_26년03월-style 636" pivot="0" count="2">
      <tableStyleElement type="firstRowStripe" dxfId="1"/>
      <tableStyleElement type="secondRowStripe" dxfId="2"/>
    </tableStyle>
    <tableStyle name="분할_26년03월-style 637" pivot="0" count="2">
      <tableStyleElement type="firstRowStripe" dxfId="2"/>
      <tableStyleElement type="secondRowStripe" dxfId="1"/>
    </tableStyle>
    <tableStyle name="분할_26년03월-style 638" pivot="0" count="2">
      <tableStyleElement type="firstRowStripe" dxfId="2"/>
      <tableStyleElement type="secondRowStripe" dxfId="1"/>
    </tableStyle>
    <tableStyle name="분할_26년03월-style 639" pivot="0" count="2">
      <tableStyleElement type="firstRowStripe" dxfId="1"/>
      <tableStyleElement type="secondRowStripe" dxfId="2"/>
    </tableStyle>
    <tableStyle name="분할_26년03월-style 640" pivot="0" count="2">
      <tableStyleElement type="firstRowStripe" dxfId="2"/>
      <tableStyleElement type="secondRowStripe" dxfId="1"/>
    </tableStyle>
    <tableStyle name="분할_26년03월-style 641" pivot="0" count="2">
      <tableStyleElement type="firstRowStripe" dxfId="2"/>
      <tableStyleElement type="secondRowStripe" dxfId="1"/>
    </tableStyle>
    <tableStyle name="분할_26년03월-style 642" pivot="0" count="2">
      <tableStyleElement type="firstRowStripe" dxfId="1"/>
      <tableStyleElement type="secondRowStripe" dxfId="2"/>
    </tableStyle>
    <tableStyle name="분할_26년03월-style 643" pivot="0" count="2">
      <tableStyleElement type="firstRowStripe" dxfId="1"/>
      <tableStyleElement type="secondRowStripe" dxfId="2"/>
    </tableStyle>
    <tableStyle name="분할_26년03월-style 644" pivot="0" count="2">
      <tableStyleElement type="firstRowStripe" dxfId="2"/>
      <tableStyleElement type="secondRowStripe" dxfId="1"/>
    </tableStyle>
    <tableStyle name="분할_26년03월-style 645" pivot="0" count="2">
      <tableStyleElement type="firstRowStripe" dxfId="2"/>
      <tableStyleElement type="secondRowStripe" dxfId="1"/>
    </tableStyle>
    <tableStyle name="분할_26년03월-style 646" pivot="0" count="2">
      <tableStyleElement type="firstRowStripe" dxfId="1"/>
      <tableStyleElement type="secondRowStripe" dxfId="2"/>
    </tableStyle>
    <tableStyle name="분할_26년03월-style 647" pivot="0" count="2">
      <tableStyleElement type="firstRowStripe" dxfId="1"/>
      <tableStyleElement type="secondRowStripe" dxfId="2"/>
    </tableStyle>
    <tableStyle name="분할_26년03월-style 648" pivot="0" count="2">
      <tableStyleElement type="firstRowStripe" dxfId="2"/>
      <tableStyleElement type="secondRowStripe" dxfId="1"/>
    </tableStyle>
    <tableStyle name="분할_26년03월-style 649" pivot="0" count="2">
      <tableStyleElement type="firstRowStripe" dxfId="1"/>
      <tableStyleElement type="secondRowStripe" dxfId="2"/>
    </tableStyle>
    <tableStyle name="분할_26년03월-style 650" pivot="0" count="2">
      <tableStyleElement type="firstRowStripe" dxfId="2"/>
      <tableStyleElement type="secondRowStripe" dxfId="1"/>
    </tableStyle>
    <tableStyle name="분할_26년03월-style 651" pivot="0" count="2">
      <tableStyleElement type="firstRowStripe" dxfId="2"/>
      <tableStyleElement type="secondRowStripe" dxfId="1"/>
    </tableStyle>
    <tableStyle name="분할_26년03월-style 652" pivot="0" count="2">
      <tableStyleElement type="firstRowStripe" dxfId="2"/>
      <tableStyleElement type="secondRowStripe" dxfId="1"/>
    </tableStyle>
    <tableStyle name="분할_26년03월-style 653" pivot="0" count="2">
      <tableStyleElement type="firstRowStripe" dxfId="1"/>
      <tableStyleElement type="secondRowStripe" dxfId="2"/>
    </tableStyle>
    <tableStyle name="분할_26년03월-style 654" pivot="0" count="2">
      <tableStyleElement type="firstRowStripe" dxfId="2"/>
      <tableStyleElement type="secondRowStripe" dxfId="1"/>
    </tableStyle>
    <tableStyle name="분할_26년03월-style 655" pivot="0" count="2">
      <tableStyleElement type="firstRowStripe" dxfId="1"/>
      <tableStyleElement type="secondRowStripe" dxfId="2"/>
    </tableStyle>
    <tableStyle name="분할_26년03월-style 656" pivot="0" count="2">
      <tableStyleElement type="firstRowStripe" dxfId="2"/>
      <tableStyleElement type="secondRowStripe" dxfId="1"/>
    </tableStyle>
    <tableStyle name="분할_26년03월-style 657" pivot="0" count="2">
      <tableStyleElement type="firstRowStripe" dxfId="2"/>
      <tableStyleElement type="secondRowStripe" dxfId="1"/>
    </tableStyle>
    <tableStyle name="분할_26년03월-style 658" pivot="0" count="2">
      <tableStyleElement type="firstRowStripe" dxfId="1"/>
      <tableStyleElement type="secondRowStripe" dxfId="2"/>
    </tableStyle>
    <tableStyle name="분할_26년03월-style 659" pivot="0" count="2">
      <tableStyleElement type="firstRowStripe" dxfId="2"/>
      <tableStyleElement type="secondRowStripe" dxfId="1"/>
    </tableStyle>
    <tableStyle name="분할_26년03월-style 660" pivot="0" count="2">
      <tableStyleElement type="firstRowStripe" dxfId="2"/>
      <tableStyleElement type="secondRowStripe" dxfId="1"/>
    </tableStyle>
    <tableStyle name="분할_26년03월-style 661" pivot="0" count="2">
      <tableStyleElement type="firstRowStripe" dxfId="1"/>
      <tableStyleElement type="secondRowStripe" dxfId="2"/>
    </tableStyle>
    <tableStyle name="분할_26년03월-style 662" pivot="0" count="2">
      <tableStyleElement type="firstRowStripe" dxfId="1"/>
      <tableStyleElement type="secondRowStripe" dxfId="2"/>
    </tableStyle>
    <tableStyle name="분할_26년03월-style 663" pivot="0" count="2">
      <tableStyleElement type="firstRowStripe" dxfId="2"/>
      <tableStyleElement type="secondRowStripe" dxfId="1"/>
    </tableStyle>
    <tableStyle name="분할_26년03월-style 664" pivot="0" count="2">
      <tableStyleElement type="firstRowStripe" dxfId="2"/>
      <tableStyleElement type="secondRowStripe" dxfId="1"/>
    </tableStyle>
    <tableStyle name="분할_26년03월-style 665" pivot="0" count="2">
      <tableStyleElement type="firstRowStripe" dxfId="1"/>
      <tableStyleElement type="secondRowStripe" dxfId="2"/>
    </tableStyle>
    <tableStyle name="분할_26년03월-style 666" pivot="0" count="2">
      <tableStyleElement type="firstRowStripe" dxfId="1"/>
      <tableStyleElement type="secondRowStripe" dxfId="2"/>
    </tableStyle>
    <tableStyle name="분할_26년03월-style 667" pivot="0" count="2">
      <tableStyleElement type="firstRowStripe" dxfId="1"/>
      <tableStyleElement type="secondRowStripe" dxfId="2"/>
    </tableStyle>
    <tableStyle name="분할_26년03월-style 668" pivot="0" count="2">
      <tableStyleElement type="firstRowStripe" dxfId="2"/>
      <tableStyleElement type="secondRowStripe" dxfId="1"/>
    </tableStyle>
    <tableStyle name="분할_26년03월-style 669" pivot="0" count="2">
      <tableStyleElement type="firstRowStripe" dxfId="2"/>
      <tableStyleElement type="secondRowStripe" dxfId="1"/>
    </tableStyle>
    <tableStyle name="분할_26년03월-style 670" pivot="0" count="2">
      <tableStyleElement type="firstRowStripe" dxfId="2"/>
      <tableStyleElement type="secondRowStripe" dxfId="1"/>
    </tableStyle>
    <tableStyle name="분할_26년03월-style 671" pivot="0" count="2">
      <tableStyleElement type="firstRowStripe" dxfId="1"/>
      <tableStyleElement type="secondRowStripe" dxfId="2"/>
    </tableStyle>
    <tableStyle name="분할_26년03월-style 672" pivot="0" count="2">
      <tableStyleElement type="firstRowStripe" dxfId="1"/>
      <tableStyleElement type="secondRowStripe" dxfId="2"/>
    </tableStyle>
    <tableStyle name="분할_26년03월-style 673" pivot="0" count="2">
      <tableStyleElement type="firstRowStripe" dxfId="2"/>
      <tableStyleElement type="secondRowStripe" dxfId="1"/>
    </tableStyle>
    <tableStyle name="분할_26년03월-style 674" pivot="0" count="2">
      <tableStyleElement type="firstRowStripe" dxfId="1"/>
      <tableStyleElement type="secondRowStripe" dxfId="2"/>
    </tableStyle>
    <tableStyle name="분할_26년03월-style 675" pivot="0" count="2">
      <tableStyleElement type="firstRowStripe" dxfId="2"/>
      <tableStyleElement type="secondRowStripe" dxfId="1"/>
    </tableStyle>
    <tableStyle name="분할_26년03월-style 676" pivot="0" count="2">
      <tableStyleElement type="firstRowStripe" dxfId="1"/>
      <tableStyleElement type="secondRowStripe" dxfId="2"/>
    </tableStyle>
    <tableStyle name="분할_26년03월-style 677" pivot="0" count="2">
      <tableStyleElement type="firstRowStripe" dxfId="1"/>
      <tableStyleElement type="secondRowStripe" dxfId="2"/>
    </tableStyle>
    <tableStyle name="분할_26년03월-style 678" pivot="0" count="2">
      <tableStyleElement type="firstRowStripe" dxfId="2"/>
      <tableStyleElement type="secondRowStripe" dxfId="1"/>
    </tableStyle>
    <tableStyle name="분할_26년03월-style 679" pivot="0" count="2">
      <tableStyleElement type="firstRowStripe" dxfId="1"/>
      <tableStyleElement type="secondRowStripe" dxfId="2"/>
    </tableStyle>
    <tableStyle name="분할_26년03월-style 680" pivot="0" count="2">
      <tableStyleElement type="firstRowStripe" dxfId="1"/>
      <tableStyleElement type="secondRowStripe" dxfId="2"/>
    </tableStyle>
    <tableStyle name="분할_26년03월-style 681" pivot="0" count="2">
      <tableStyleElement type="firstRowStripe" dxfId="1"/>
      <tableStyleElement type="secondRowStripe" dxfId="2"/>
    </tableStyle>
    <tableStyle name="분할_26년03월-style 682" pivot="0" count="2">
      <tableStyleElement type="firstRowStripe" dxfId="2"/>
      <tableStyleElement type="secondRowStripe" dxfId="1"/>
    </tableStyle>
    <tableStyle name="분할_26년03월-style 683" pivot="0" count="2">
      <tableStyleElement type="firstRowStripe" dxfId="2"/>
      <tableStyleElement type="secondRowStripe" dxfId="1"/>
    </tableStyle>
    <tableStyle name="분할_26년03월-style 684" pivot="0" count="2">
      <tableStyleElement type="firstRowStripe" dxfId="1"/>
      <tableStyleElement type="secondRowStripe" dxfId="2"/>
    </tableStyle>
    <tableStyle name="분할_26년03월-style 685" pivot="0" count="2">
      <tableStyleElement type="firstRowStripe" dxfId="2"/>
      <tableStyleElement type="secondRowStripe" dxfId="1"/>
    </tableStyle>
    <tableStyle name="분할_26년03월-style 686" pivot="0" count="2">
      <tableStyleElement type="firstRowStripe" dxfId="1"/>
      <tableStyleElement type="secondRowStripe" dxfId="2"/>
    </tableStyle>
    <tableStyle name="분할_26년03월-style 687" pivot="0" count="2">
      <tableStyleElement type="firstRowStripe" dxfId="2"/>
      <tableStyleElement type="secondRowStripe" dxfId="1"/>
    </tableStyle>
    <tableStyle name="분할_26년03월-style 688" pivot="0" count="2">
      <tableStyleElement type="firstRowStripe" dxfId="1"/>
      <tableStyleElement type="secondRowStripe" dxfId="2"/>
    </tableStyle>
    <tableStyle name="분할_26년03월-style 689" pivot="0" count="2">
      <tableStyleElement type="firstRowStripe" dxfId="2"/>
      <tableStyleElement type="secondRowStripe" dxfId="1"/>
    </tableStyle>
    <tableStyle name="분할_26년03월-style 690" pivot="0" count="2">
      <tableStyleElement type="firstRowStripe" dxfId="2"/>
      <tableStyleElement type="secondRowStripe" dxfId="1"/>
    </tableStyle>
    <tableStyle name="분할_26년03월-style 691" pivot="0" count="2">
      <tableStyleElement type="firstRowStripe" dxfId="1"/>
      <tableStyleElement type="secondRowStripe" dxfId="2"/>
    </tableStyle>
    <tableStyle name="분할_26년03월-style 692" pivot="0" count="2">
      <tableStyleElement type="firstRowStripe" dxfId="1"/>
      <tableStyleElement type="secondRowStripe" dxfId="2"/>
    </tableStyle>
    <tableStyle name="분할_26년03월-style 693" pivot="0" count="2">
      <tableStyleElement type="firstRowStripe" dxfId="1"/>
      <tableStyleElement type="secondRowStripe" dxfId="2"/>
    </tableStyle>
    <tableStyle name="분할_26년03월-style 694" pivot="0" count="2">
      <tableStyleElement type="firstRowStripe" dxfId="2"/>
      <tableStyleElement type="secondRowStripe" dxfId="1"/>
    </tableStyle>
    <tableStyle name="분할_26년03월-style 695" pivot="0" count="2">
      <tableStyleElement type="firstRowStripe" dxfId="1"/>
      <tableStyleElement type="secondRowStripe" dxfId="2"/>
    </tableStyle>
    <tableStyle name="분할_26년03월-style 696" pivot="0" count="2">
      <tableStyleElement type="firstRowStripe" dxfId="2"/>
      <tableStyleElement type="secondRowStripe" dxfId="1"/>
    </tableStyle>
    <tableStyle name="분할_26년03월-style 697" pivot="0" count="2">
      <tableStyleElement type="firstRowStripe" dxfId="1"/>
      <tableStyleElement type="secondRowStripe" dxfId="2"/>
    </tableStyle>
    <tableStyle name="분할_26년03월-style 698" pivot="0" count="2">
      <tableStyleElement type="firstRowStripe" dxfId="1"/>
      <tableStyleElement type="secondRowStripe" dxfId="2"/>
    </tableStyle>
    <tableStyle name="분할_26년03월-style 699" pivot="0" count="2">
      <tableStyleElement type="firstRowStripe" dxfId="1"/>
      <tableStyleElement type="secondRowStripe" dxfId="2"/>
    </tableStyle>
    <tableStyle name="분할_26년03월-style 700" pivot="0" count="2">
      <tableStyleElement type="firstRowStripe" dxfId="1"/>
      <tableStyleElement type="secondRowStripe" dxfId="2"/>
    </tableStyle>
    <tableStyle name="분할_26년03월-style 701" pivot="0" count="2">
      <tableStyleElement type="firstRowStripe" dxfId="1"/>
      <tableStyleElement type="secondRowStripe" dxfId="2"/>
    </tableStyle>
    <tableStyle name="분할_26년03월-style 702" pivot="0" count="2">
      <tableStyleElement type="firstRowStripe" dxfId="1"/>
      <tableStyleElement type="secondRowStripe" dxfId="2"/>
    </tableStyle>
    <tableStyle name="분할_26년03월-style 703" pivot="0" count="2">
      <tableStyleElement type="firstRowStripe" dxfId="1"/>
      <tableStyleElement type="secondRowStripe" dxfId="2"/>
    </tableStyle>
    <tableStyle name="분할_26년03월-style 704" pivot="0" count="2">
      <tableStyleElement type="firstRowStripe" dxfId="1"/>
      <tableStyleElement type="secondRowStripe" dxfId="2"/>
    </tableStyle>
    <tableStyle name="분할_26년03월-style 705" pivot="0" count="2">
      <tableStyleElement type="firstRowStripe" dxfId="1"/>
      <tableStyleElement type="secondRowStripe" dxfId="2"/>
    </tableStyle>
    <tableStyle name="분할_26년03월-style 706" pivot="0" count="2">
      <tableStyleElement type="firstRowStripe" dxfId="1"/>
      <tableStyleElement type="secondRowStripe" dxfId="2"/>
    </tableStyle>
    <tableStyle name="분할_26년03월-style 707" pivot="0" count="2">
      <tableStyleElement type="firstRowStripe" dxfId="1"/>
      <tableStyleElement type="secondRowStripe" dxfId="2"/>
    </tableStyle>
    <tableStyle name="분할_26년03월-style 708" pivot="0" count="2">
      <tableStyleElement type="firstRowStripe" dxfId="1"/>
      <tableStyleElement type="secondRowStripe" dxfId="2"/>
    </tableStyle>
    <tableStyle name="분할_26년03월-style 709" pivot="0" count="2">
      <tableStyleElement type="firstRowStripe" dxfId="2"/>
      <tableStyleElement type="secondRowStripe" dxfId="1"/>
    </tableStyle>
    <tableStyle name="분할_26년03월-style 710" pivot="0" count="2">
      <tableStyleElement type="firstRowStripe" dxfId="1"/>
      <tableStyleElement type="secondRowStripe" dxfId="2"/>
    </tableStyle>
    <tableStyle name="분할_26년03월-style 711" pivot="0" count="2">
      <tableStyleElement type="firstRowStripe" dxfId="1"/>
      <tableStyleElement type="secondRowStripe" dxfId="2"/>
    </tableStyle>
    <tableStyle name="분할_26년03월-style 712" pivot="0" count="2">
      <tableStyleElement type="firstRowStripe" dxfId="2"/>
      <tableStyleElement type="secondRowStripe" dxfId="1"/>
    </tableStyle>
    <tableStyle name="분할_26년03월-style 713" pivot="0" count="2">
      <tableStyleElement type="firstRowStripe" dxfId="2"/>
      <tableStyleElement type="secondRowStripe" dxfId="1"/>
    </tableStyle>
    <tableStyle name="분할_26년03월-style 714" pivot="0" count="2">
      <tableStyleElement type="firstRowStripe" dxfId="1"/>
      <tableStyleElement type="secondRowStripe" dxfId="2"/>
    </tableStyle>
    <tableStyle name="분할_26년03월-style 715" pivot="0" count="2">
      <tableStyleElement type="firstRowStripe" dxfId="1"/>
      <tableStyleElement type="secondRowStripe" dxfId="2"/>
    </tableStyle>
    <tableStyle name="분할_26년03월-style 716" pivot="0" count="2">
      <tableStyleElement type="firstRowStripe" dxfId="1"/>
      <tableStyleElement type="secondRowStripe" dxfId="2"/>
    </tableStyle>
    <tableStyle name="분할_26년03월-style 717" pivot="0" count="2">
      <tableStyleElement type="firstRowStripe" dxfId="2"/>
      <tableStyleElement type="secondRowStripe" dxfId="1"/>
    </tableStyle>
    <tableStyle name="분할_26년03월-style 718" pivot="0" count="2">
      <tableStyleElement type="firstRowStripe" dxfId="2"/>
      <tableStyleElement type="secondRowStripe" dxfId="1"/>
    </tableStyle>
    <tableStyle name="분할_26년03월-style 719" pivot="0" count="2">
      <tableStyleElement type="firstRowStripe" dxfId="2"/>
      <tableStyleElement type="secondRowStripe" dxfId="1"/>
    </tableStyle>
    <tableStyle name="분할_26년03월-style 720" pivot="0" count="2">
      <tableStyleElement type="firstRowStripe" dxfId="1"/>
      <tableStyleElement type="secondRowStripe" dxfId="2"/>
    </tableStyle>
    <tableStyle name="분할_26년03월-style 721" pivot="0" count="2">
      <tableStyleElement type="firstRowStripe" dxfId="2"/>
      <tableStyleElement type="secondRowStripe" dxfId="1"/>
    </tableStyle>
    <tableStyle name="분할_26년03월-style 722" pivot="0" count="2">
      <tableStyleElement type="firstRowStripe" dxfId="2"/>
      <tableStyleElement type="secondRowStripe" dxfId="1"/>
    </tableStyle>
    <tableStyle name="분할_26년03월-style 723" pivot="0" count="2">
      <tableStyleElement type="firstRowStripe" dxfId="1"/>
      <tableStyleElement type="secondRowStripe" dxfId="2"/>
    </tableStyle>
    <tableStyle name="분할_26년03월-style 724" pivot="0" count="2">
      <tableStyleElement type="firstRowStripe" dxfId="1"/>
      <tableStyleElement type="secondRowStripe" dxfId="2"/>
    </tableStyle>
    <tableStyle name="분할_26년03월-style 725" pivot="0" count="2">
      <tableStyleElement type="firstRowStripe" dxfId="1"/>
      <tableStyleElement type="secondRowStripe" dxfId="2"/>
    </tableStyle>
    <tableStyle name="분할_26년03월-style 726" pivot="0" count="2">
      <tableStyleElement type="firstRowStripe" dxfId="1"/>
      <tableStyleElement type="secondRowStripe" dxfId="2"/>
    </tableStyle>
    <tableStyle name="분할_26년03월-style 727" pivot="0" count="2">
      <tableStyleElement type="firstRowStripe" dxfId="2"/>
      <tableStyleElement type="secondRowStripe" dxfId="1"/>
    </tableStyle>
    <tableStyle name="분할_26년03월-style 728" pivot="0" count="2">
      <tableStyleElement type="firstRowStripe" dxfId="1"/>
      <tableStyleElement type="secondRowStripe" dxfId="2"/>
    </tableStyle>
    <tableStyle name="분할_26년03월-style 729" pivot="0" count="2">
      <tableStyleElement type="firstRowStripe" dxfId="2"/>
      <tableStyleElement type="secondRowStripe" dxfId="1"/>
    </tableStyle>
    <tableStyle name="분할_26년03월-style 730" pivot="0" count="2">
      <tableStyleElement type="firstRowStripe" dxfId="1"/>
      <tableStyleElement type="secondRowStripe" dxfId="2"/>
    </tableStyle>
    <tableStyle name="분할_26년03월-style 731" pivot="0" count="2">
      <tableStyleElement type="firstRowStripe" dxfId="1"/>
      <tableStyleElement type="secondRowStripe" dxfId="2"/>
    </tableStyle>
    <tableStyle name="분할_26년03월-style 732" pivot="0" count="2">
      <tableStyleElement type="firstRowStripe" dxfId="1"/>
      <tableStyleElement type="secondRowStripe" dxfId="2"/>
    </tableStyle>
    <tableStyle name="분할_26년03월-style 733" pivot="0" count="2">
      <tableStyleElement type="firstRowStripe" dxfId="1"/>
      <tableStyleElement type="secondRowStripe" dxfId="2"/>
    </tableStyle>
    <tableStyle name="분할_26년03월-style 734" pivot="0" count="2">
      <tableStyleElement type="firstRowStripe" dxfId="1"/>
      <tableStyleElement type="secondRowStripe" dxfId="2"/>
    </tableStyle>
    <tableStyle name="분할_26년03월-style 735" pivot="0" count="2">
      <tableStyleElement type="firstRowStripe" dxfId="1"/>
      <tableStyleElement type="secondRowStripe" dxfId="2"/>
    </tableStyle>
    <tableStyle name="분할_26년03월-style 736" pivot="0" count="2">
      <tableStyleElement type="firstRowStripe" dxfId="1"/>
      <tableStyleElement type="secondRowStripe" dxfId="2"/>
    </tableStyle>
    <tableStyle name="분할_26년03월-style 737" pivot="0" count="2">
      <tableStyleElement type="firstRowStripe" dxfId="1"/>
      <tableStyleElement type="secondRowStripe" dxfId="2"/>
    </tableStyle>
    <tableStyle name="분할_26년03월-style 738" pivot="0" count="2">
      <tableStyleElement type="firstRowStripe" dxfId="1"/>
      <tableStyleElement type="secondRowStripe" dxfId="2"/>
    </tableStyle>
    <tableStyle name="분할_26년03월-style 739" pivot="0" count="2">
      <tableStyleElement type="firstRowStripe" dxfId="1"/>
      <tableStyleElement type="secondRowStripe" dxfId="2"/>
    </tableStyle>
    <tableStyle name="분할_26년03월-style 740" pivot="0" count="2">
      <tableStyleElement type="firstRowStripe" dxfId="1"/>
      <tableStyleElement type="secondRowStripe" dxfId="2"/>
    </tableStyle>
    <tableStyle name="분할_26년03월-style 741" pivot="0" count="2">
      <tableStyleElement type="firstRowStripe" dxfId="1"/>
      <tableStyleElement type="secondRowStripe" dxfId="2"/>
    </tableStyle>
    <tableStyle name="분할_26년03월-style 742" pivot="0" count="2">
      <tableStyleElement type="firstRowStripe" dxfId="1"/>
      <tableStyleElement type="secondRowStripe" dxfId="2"/>
    </tableStyle>
    <tableStyle name="분할_26년03월-style 743" pivot="0" count="2">
      <tableStyleElement type="firstRowStripe" dxfId="1"/>
      <tableStyleElement type="secondRowStripe" dxfId="2"/>
    </tableStyle>
    <tableStyle name="분할_26년03월-style 744" pivot="0" count="2">
      <tableStyleElement type="firstRowStripe" dxfId="1"/>
      <tableStyleElement type="secondRowStripe" dxfId="2"/>
    </tableStyle>
    <tableStyle name="분할_26년03월-style 745" pivot="0" count="2">
      <tableStyleElement type="firstRowStripe" dxfId="1"/>
      <tableStyleElement type="secondRowStripe" dxfId="2"/>
    </tableStyle>
    <tableStyle name="분할_26년03월-style 746" pivot="0" count="2">
      <tableStyleElement type="firstRowStripe" dxfId="2"/>
      <tableStyleElement type="secondRowStripe" dxfId="1"/>
    </tableStyle>
    <tableStyle name="분할_26년03월-style 747" pivot="0" count="2">
      <tableStyleElement type="firstRowStripe" dxfId="1"/>
      <tableStyleElement type="secondRowStripe" dxfId="2"/>
    </tableStyle>
    <tableStyle name="분할_26년03월-style 748" pivot="0" count="2">
      <tableStyleElement type="firstRowStripe" dxfId="1"/>
      <tableStyleElement type="secondRowStripe" dxfId="2"/>
    </tableStyle>
    <tableStyle name="분할_26년03월-style 749" pivot="0" count="2">
      <tableStyleElement type="firstRowStripe" dxfId="1"/>
      <tableStyleElement type="secondRowStripe" dxfId="2"/>
    </tableStyle>
    <tableStyle name="분할_26년03월-style 750" pivot="0" count="2">
      <tableStyleElement type="firstRowStripe" dxfId="2"/>
      <tableStyleElement type="secondRowStripe" dxfId="1"/>
    </tableStyle>
    <tableStyle name="분할_26년03월-style 751" pivot="0" count="2">
      <tableStyleElement type="firstRowStripe" dxfId="2"/>
      <tableStyleElement type="secondRowStripe" dxfId="1"/>
    </tableStyle>
    <tableStyle name="분할_26년03월-style 752" pivot="0" count="2">
      <tableStyleElement type="firstRowStripe" dxfId="1"/>
      <tableStyleElement type="secondRowStripe" dxfId="2"/>
    </tableStyle>
    <tableStyle name="분할_26년03월-style 753" pivot="0" count="2">
      <tableStyleElement type="firstRowStripe" dxfId="1"/>
      <tableStyleElement type="secondRowStripe" dxfId="2"/>
    </tableStyle>
    <tableStyle name="분할_26년03월-style 754" pivot="0" count="2">
      <tableStyleElement type="firstRowStripe" dxfId="1"/>
      <tableStyleElement type="secondRowStripe" dxfId="2"/>
    </tableStyle>
    <tableStyle name="분할_26년03월-style 755" pivot="0" count="2">
      <tableStyleElement type="firstRowStripe" dxfId="2"/>
      <tableStyleElement type="secondRowStripe" dxfId="1"/>
    </tableStyle>
    <tableStyle name="분할_26년03월-style 756" pivot="0" count="2">
      <tableStyleElement type="firstRowStripe" dxfId="2"/>
      <tableStyleElement type="secondRowStripe" dxfId="1"/>
    </tableStyle>
    <tableStyle name="분할_26년03월-style 757" pivot="0" count="2">
      <tableStyleElement type="firstRowStripe" dxfId="2"/>
      <tableStyleElement type="secondRowStripe" dxfId="1"/>
    </tableStyle>
    <tableStyle name="분할_26년03월-style 758" pivot="0" count="2">
      <tableStyleElement type="firstRowStripe" dxfId="1"/>
      <tableStyleElement type="secondRowStripe" dxfId="2"/>
    </tableStyle>
    <tableStyle name="분할_26년03월-style 759" pivot="0" count="2">
      <tableStyleElement type="firstRowStripe" dxfId="2"/>
      <tableStyleElement type="secondRowStripe" dxfId="1"/>
    </tableStyle>
    <tableStyle name="분할_26년03월-style 760" pivot="0" count="2">
      <tableStyleElement type="firstRowStripe" dxfId="1"/>
      <tableStyleElement type="secondRowStripe" dxfId="2"/>
    </tableStyle>
    <tableStyle name="분할_26년03월-style 761" pivot="0" count="2">
      <tableStyleElement type="firstRowStripe" dxfId="2"/>
      <tableStyleElement type="secondRowStripe" dxfId="1"/>
    </tableStyle>
    <tableStyle name="분할_26년03월-style 762" pivot="0" count="2">
      <tableStyleElement type="firstRowStripe" dxfId="1"/>
      <tableStyleElement type="secondRowStripe" dxfId="2"/>
    </tableStyle>
    <tableStyle name="분할_26년03월-style 763" pivot="0" count="2">
      <tableStyleElement type="firstRowStripe" dxfId="2"/>
      <tableStyleElement type="secondRowStripe" dxfId="1"/>
    </tableStyle>
    <tableStyle name="분할_26년03월-style 764" pivot="0" count="2">
      <tableStyleElement type="firstRowStripe" dxfId="2"/>
      <tableStyleElement type="secondRowStripe" dxfId="1"/>
    </tableStyle>
    <tableStyle name="분할_26년03월-style 765" pivot="0" count="2">
      <tableStyleElement type="firstRowStripe" dxfId="2"/>
      <tableStyleElement type="secondRowStripe" dxfId="1"/>
    </tableStyle>
    <tableStyle name="분할_26년03월-style 766" pivot="0" count="2">
      <tableStyleElement type="firstRowStripe" dxfId="1"/>
      <tableStyleElement type="secondRowStripe" dxfId="2"/>
    </tableStyle>
    <tableStyle name="분할_26년03월-style 767" pivot="0" count="2">
      <tableStyleElement type="firstRowStripe" dxfId="1"/>
      <tableStyleElement type="secondRowStripe" dxfId="2"/>
    </tableStyle>
    <tableStyle name="분할_26년03월-style 768" pivot="0" count="2">
      <tableStyleElement type="firstRowStripe" dxfId="1"/>
      <tableStyleElement type="secondRowStripe" dxfId="2"/>
    </tableStyle>
    <tableStyle name="분할_26년03월-style 769" pivot="0" count="2">
      <tableStyleElement type="firstRowStripe" dxfId="2"/>
      <tableStyleElement type="secondRowStripe" dxfId="1"/>
    </tableStyle>
    <tableStyle name="분할_26년03월-style 770" pivot="0" count="2">
      <tableStyleElement type="firstRowStripe" dxfId="1"/>
      <tableStyleElement type="secondRowStripe" dxfId="2"/>
    </tableStyle>
    <tableStyle name="분할_26년03월-style 771" pivot="0" count="2">
      <tableStyleElement type="firstRowStripe" dxfId="1"/>
      <tableStyleElement type="secondRowStripe" dxfId="2"/>
    </tableStyle>
    <tableStyle name="분할_26년03월-style 772" pivot="0" count="2">
      <tableStyleElement type="firstRowStripe" dxfId="1"/>
      <tableStyleElement type="secondRowStripe" dxfId="2"/>
    </tableStyle>
    <tableStyle name="분할_26년03월-style 773" pivot="0" count="2">
      <tableStyleElement type="firstRowStripe" dxfId="1"/>
      <tableStyleElement type="secondRowStripe" dxfId="2"/>
    </tableStyle>
    <tableStyle name="분할_26년03월-style 774" pivot="0" count="2">
      <tableStyleElement type="firstRowStripe" dxfId="2"/>
      <tableStyleElement type="secondRowStripe" dxfId="1"/>
    </tableStyle>
    <tableStyle name="분할_26년03월-style 775" pivot="0" count="2">
      <tableStyleElement type="firstRowStripe" dxfId="1"/>
      <tableStyleElement type="secondRowStripe" dxfId="2"/>
    </tableStyle>
    <tableStyle name="분할_26년03월-style 776" pivot="0" count="2">
      <tableStyleElement type="firstRowStripe" dxfId="1"/>
      <tableStyleElement type="secondRowStripe" dxfId="2"/>
    </tableStyle>
    <tableStyle name="분할_26년03월-style 777" pivot="0" count="2">
      <tableStyleElement type="firstRowStripe" dxfId="1"/>
      <tableStyleElement type="secondRowStripe" dxfId="2"/>
    </tableStyle>
    <tableStyle name="분할_26년03월-style 778" pivot="0" count="2">
      <tableStyleElement type="firstRowStripe" dxfId="1"/>
      <tableStyleElement type="secondRowStripe" dxfId="2"/>
    </tableStyle>
    <tableStyle name="분할_26년03월-style 779" pivot="0" count="2">
      <tableStyleElement type="firstRowStripe" dxfId="1"/>
      <tableStyleElement type="secondRowStripe" dxfId="2"/>
    </tableStyle>
    <tableStyle name="분할_26년03월-style 780" pivot="0" count="2">
      <tableStyleElement type="firstRowStripe" dxfId="1"/>
      <tableStyleElement type="secondRowStripe" dxfId="2"/>
    </tableStyle>
    <tableStyle name="분할_26년03월-style 781" pivot="0" count="2">
      <tableStyleElement type="firstRowStripe" dxfId="1"/>
      <tableStyleElement type="secondRowStripe" dxfId="2"/>
    </tableStyle>
    <tableStyle name="분할_26년03월-style 782" pivot="0" count="2">
      <tableStyleElement type="firstRowStripe" dxfId="1"/>
      <tableStyleElement type="secondRowStripe" dxfId="2"/>
    </tableStyle>
    <tableStyle name="분할_26년03월-style 783" pivot="0" count="2">
      <tableStyleElement type="firstRowStripe" dxfId="1"/>
      <tableStyleElement type="secondRowStripe" dxfId="2"/>
    </tableStyle>
    <tableStyle name="분할_26년03월-style 784" pivot="0" count="2">
      <tableStyleElement type="firstRowStripe" dxfId="1"/>
      <tableStyleElement type="secondRowStripe" dxfId="2"/>
    </tableStyle>
    <tableStyle name="분할_26년03월-style 785" pivot="0" count="2">
      <tableStyleElement type="firstRowStripe" dxfId="1"/>
      <tableStyleElement type="secondRowStripe" dxfId="2"/>
    </tableStyle>
    <tableStyle name="분할_26년03월-style 786" pivot="0" count="2">
      <tableStyleElement type="firstRowStripe" dxfId="1"/>
      <tableStyleElement type="secondRowStripe" dxfId="2"/>
    </tableStyle>
    <tableStyle name="분할_26년03월-style 787" pivot="0" count="2">
      <tableStyleElement type="firstRowStripe" dxfId="1"/>
      <tableStyleElement type="secondRowStripe" dxfId="2"/>
    </tableStyle>
    <tableStyle name="분할_26년03월-style 788" pivot="0" count="2">
      <tableStyleElement type="firstRowStripe" dxfId="1"/>
      <tableStyleElement type="secondRowStripe" dxfId="2"/>
    </tableStyle>
    <tableStyle name="분할_26년03월-style 789" pivot="0" count="2">
      <tableStyleElement type="firstRowStripe" dxfId="1"/>
      <tableStyleElement type="secondRowStripe" dxfId="2"/>
    </tableStyle>
    <tableStyle name="분할_26년03월-style 790" pivot="0" count="2">
      <tableStyleElement type="firstRowStripe" dxfId="1"/>
      <tableStyleElement type="secondRowStripe" dxfId="2"/>
    </tableStyle>
    <tableStyle name="분할_26년03월-style 791" pivot="0" count="2">
      <tableStyleElement type="firstRowStripe" dxfId="2"/>
      <tableStyleElement type="secondRowStripe" dxfId="1"/>
    </tableStyle>
    <tableStyle name="분할_26년03월-style 792" pivot="0" count="2">
      <tableStyleElement type="firstRowStripe" dxfId="1"/>
      <tableStyleElement type="secondRowStripe" dxfId="2"/>
    </tableStyle>
    <tableStyle name="분할_26년03월-style 793" pivot="0" count="2">
      <tableStyleElement type="firstRowStripe" dxfId="1"/>
      <tableStyleElement type="secondRowStripe" dxfId="2"/>
    </tableStyle>
    <tableStyle name="분할_26년03월-style 794" pivot="0" count="2">
      <tableStyleElement type="firstRowStripe" dxfId="2"/>
      <tableStyleElement type="secondRowStripe" dxfId="1"/>
    </tableStyle>
    <tableStyle name="분할_26년03월-style 795" pivot="0" count="2">
      <tableStyleElement type="firstRowStripe" dxfId="2"/>
      <tableStyleElement type="secondRowStripe" dxfId="1"/>
    </tableStyle>
    <tableStyle name="분할_26년03월-style 796" pivot="0" count="2">
      <tableStyleElement type="firstRowStripe" dxfId="1"/>
      <tableStyleElement type="secondRowStripe" dxfId="2"/>
    </tableStyle>
    <tableStyle name="분할_26년03월-style 797" pivot="0" count="2">
      <tableStyleElement type="firstRowStripe" dxfId="1"/>
      <tableStyleElement type="secondRowStripe" dxfId="2"/>
    </tableStyle>
    <tableStyle name="분할_26년03월-style 798" pivot="0" count="2">
      <tableStyleElement type="firstRowStripe" dxfId="1"/>
      <tableStyleElement type="secondRowStripe" dxfId="2"/>
    </tableStyle>
    <tableStyle name="분할_26년03월-style 799" pivot="0" count="2">
      <tableStyleElement type="firstRowStripe" dxfId="2"/>
      <tableStyleElement type="secondRowStripe" dxfId="1"/>
    </tableStyle>
    <tableStyle name="분할_26년03월-style 800" pivot="0" count="2">
      <tableStyleElement type="firstRowStripe" dxfId="2"/>
      <tableStyleElement type="secondRowStripe" dxfId="1"/>
    </tableStyle>
    <tableStyle name="분할_26년03월-style 801" pivot="0" count="2">
      <tableStyleElement type="firstRowStripe" dxfId="2"/>
      <tableStyleElement type="secondRowStripe" dxfId="1"/>
    </tableStyle>
    <tableStyle name="분할_26년03월-style 802" pivot="0" count="2">
      <tableStyleElement type="firstRowStripe" dxfId="1"/>
      <tableStyleElement type="secondRowStripe" dxfId="2"/>
    </tableStyle>
    <tableStyle name="분할_26년03월-style 803" pivot="0" count="2">
      <tableStyleElement type="firstRowStripe" dxfId="2"/>
      <tableStyleElement type="secondRowStripe" dxfId="1"/>
    </tableStyle>
    <tableStyle name="분할_26년03월-style 804" pivot="0" count="2">
      <tableStyleElement type="firstRowStripe" dxfId="2"/>
      <tableStyleElement type="secondRowStripe" dxfId="1"/>
    </tableStyle>
    <tableStyle name="분할_26년03월-style 805" pivot="0" count="2">
      <tableStyleElement type="firstRowStripe" dxfId="2"/>
      <tableStyleElement type="secondRowStripe" dxfId="1"/>
    </tableStyle>
    <tableStyle name="분할_26년03월-style 806" pivot="0" count="2">
      <tableStyleElement type="firstRowStripe" dxfId="1"/>
      <tableStyleElement type="secondRowStripe" dxfId="2"/>
    </tableStyle>
    <tableStyle name="분할_26년03월-style 807" pivot="0" count="2">
      <tableStyleElement type="firstRowStripe" dxfId="1"/>
      <tableStyleElement type="secondRowStripe" dxfId="2"/>
    </tableStyle>
    <tableStyle name="분할_26년03월-style 808" pivot="0" count="2">
      <tableStyleElement type="firstRowStripe" dxfId="1"/>
      <tableStyleElement type="secondRowStripe" dxfId="2"/>
    </tableStyle>
    <tableStyle name="분할_26년03월-style 809" pivot="0" count="2">
      <tableStyleElement type="firstRowStripe" dxfId="1"/>
      <tableStyleElement type="secondRowStripe" dxfId="2"/>
    </tableStyle>
    <tableStyle name="분할_26년03월-style 810" pivot="0" count="2">
      <tableStyleElement type="firstRowStripe" dxfId="1"/>
      <tableStyleElement type="secondRowStripe" dxfId="2"/>
    </tableStyle>
    <tableStyle name="분할_26년03월-style 811" pivot="0" count="2">
      <tableStyleElement type="firstRowStripe" dxfId="1"/>
      <tableStyleElement type="secondRowStripe" dxfId="2"/>
    </tableStyle>
    <tableStyle name="분할_26년03월-style 812" pivot="0" count="2">
      <tableStyleElement type="firstRowStripe" dxfId="2"/>
      <tableStyleElement type="secondRowStripe" dxfId="1"/>
    </tableStyle>
    <tableStyle name="분할_26년03월-style 813" pivot="0" count="2">
      <tableStyleElement type="firstRowStripe" dxfId="1"/>
      <tableStyleElement type="secondRowStripe" dxfId="2"/>
    </tableStyle>
    <tableStyle name="분할_26년03월-style 814" pivot="0" count="2">
      <tableStyleElement type="firstRowStripe" dxfId="1"/>
      <tableStyleElement type="secondRowStripe" dxfId="2"/>
    </tableStyle>
    <tableStyle name="분할_26년03월-style 815" pivot="0" count="2">
      <tableStyleElement type="firstRowStripe" dxfId="1"/>
      <tableStyleElement type="secondRowStripe" dxfId="2"/>
    </tableStyle>
    <tableStyle name="분할_26년03월-style 816" pivot="0" count="2">
      <tableStyleElement type="firstRowStripe" dxfId="1"/>
      <tableStyleElement type="secondRowStripe" dxfId="2"/>
    </tableStyle>
    <tableStyle name="분할_26년03월-style 817" pivot="0" count="2">
      <tableStyleElement type="firstRowStripe" dxfId="1"/>
      <tableStyleElement type="secondRowStripe" dxfId="2"/>
    </tableStyle>
    <tableStyle name="분할_26년03월-style 818" pivot="0" count="2">
      <tableStyleElement type="firstRowStripe" dxfId="1"/>
      <tableStyleElement type="secondRowStripe" dxfId="2"/>
    </tableStyle>
    <tableStyle name="분할_26년03월-style 819" pivot="0" count="2">
      <tableStyleElement type="firstRowStripe" dxfId="1"/>
      <tableStyleElement type="secondRowStripe" dxfId="2"/>
    </tableStyle>
    <tableStyle name="분할_26년03월-style 820" pivot="0" count="2">
      <tableStyleElement type="firstRowStripe" dxfId="1"/>
      <tableStyleElement type="secondRowStripe" dxfId="2"/>
    </tableStyle>
    <tableStyle name="분할_26년03월-style 821" pivot="0" count="2">
      <tableStyleElement type="firstRowStripe" dxfId="2"/>
      <tableStyleElement type="secondRowStripe" dxfId="1"/>
    </tableStyle>
    <tableStyle name="분할_26년03월-style 822" pivot="0" count="2">
      <tableStyleElement type="firstRowStripe" dxfId="1"/>
      <tableStyleElement type="secondRowStripe" dxfId="2"/>
    </tableStyle>
    <tableStyle name="분할_26년03월-style 823" pivot="0" count="2">
      <tableStyleElement type="firstRowStripe" dxfId="2"/>
      <tableStyleElement type="secondRowStripe" dxfId="1"/>
    </tableStyle>
    <tableStyle name="분할_26년03월-style 824" pivot="0" count="2">
      <tableStyleElement type="firstRowStripe" dxfId="1"/>
      <tableStyleElement type="secondRowStripe" dxfId="2"/>
    </tableStyle>
    <tableStyle name="분할_26년03월-style 825" pivot="0" count="2">
      <tableStyleElement type="firstRowStripe" dxfId="1"/>
      <tableStyleElement type="secondRowStripe" dxfId="2"/>
    </tableStyle>
    <tableStyle name="분할_26년03월-style 826" pivot="0" count="2">
      <tableStyleElement type="firstRowStripe" dxfId="1"/>
      <tableStyleElement type="secondRowStripe" dxfId="2"/>
    </tableStyle>
    <tableStyle name="분할_26년03월-style 827" pivot="0" count="2">
      <tableStyleElement type="firstRowStripe" dxfId="1"/>
      <tableStyleElement type="secondRowStripe" dxfId="2"/>
    </tableStyle>
    <tableStyle name="분할_26년03월-style 828" pivot="0" count="2">
      <tableStyleElement type="firstRowStripe" dxfId="2"/>
      <tableStyleElement type="secondRowStripe" dxfId="1"/>
    </tableStyle>
    <tableStyle name="분할_26년03월-style 829" pivot="0" count="2">
      <tableStyleElement type="firstRowStripe" dxfId="1"/>
      <tableStyleElement type="secondRowStripe" dxfId="2"/>
    </tableStyle>
    <tableStyle name="분할_26년03월-style 830" pivot="0" count="2">
      <tableStyleElement type="firstRowStripe" dxfId="1"/>
      <tableStyleElement type="secondRowStripe" dxfId="2"/>
    </tableStyle>
    <tableStyle name="분할_26년03월-style 831" pivot="0" count="2">
      <tableStyleElement type="firstRowStripe" dxfId="1"/>
      <tableStyleElement type="secondRowStripe" dxfId="2"/>
    </tableStyle>
    <tableStyle name="분할_26년03월-style 832" pivot="0" count="2">
      <tableStyleElement type="firstRowStripe" dxfId="1"/>
      <tableStyleElement type="secondRowStripe" dxfId="2"/>
    </tableStyle>
    <tableStyle name="분할_26년03월-style 833" pivot="0" count="2">
      <tableStyleElement type="firstRowStripe" dxfId="1"/>
      <tableStyleElement type="secondRowStripe" dxfId="2"/>
    </tableStyle>
    <tableStyle name="분할_26년03월-style 834" pivot="0" count="2">
      <tableStyleElement type="firstRowStripe" dxfId="2"/>
      <tableStyleElement type="secondRowStripe" dxfId="1"/>
    </tableStyle>
    <tableStyle name="분할_26년03월-style 835" pivot="0" count="2">
      <tableStyleElement type="firstRowStripe" dxfId="1"/>
      <tableStyleElement type="secondRowStripe" dxfId="2"/>
    </tableStyle>
    <tableStyle name="분할_26년03월-style 836" pivot="0" count="2">
      <tableStyleElement type="firstRowStripe" dxfId="1"/>
      <tableStyleElement type="secondRowStripe" dxfId="2"/>
    </tableStyle>
    <tableStyle name="분할_26년03월-style 837" pivot="0" count="2">
      <tableStyleElement type="firstRowStripe" dxfId="1"/>
      <tableStyleElement type="secondRowStripe" dxfId="2"/>
    </tableStyle>
    <tableStyle name="분할_26년03월-style 838" pivot="0" count="2">
      <tableStyleElement type="firstRowStripe" dxfId="2"/>
      <tableStyleElement type="secondRowStripe" dxfId="1"/>
    </tableStyle>
    <tableStyle name="분할_26년03월-style 839" pivot="0" count="2">
      <tableStyleElement type="firstRowStripe" dxfId="2"/>
      <tableStyleElement type="secondRowStripe" dxfId="1"/>
    </tableStyle>
    <tableStyle name="분할_26년03월-style 840" pivot="0" count="2">
      <tableStyleElement type="firstRowStripe" dxfId="2"/>
      <tableStyleElement type="secondRowStripe" dxfId="1"/>
    </tableStyle>
    <tableStyle name="분할_26년03월-style 841" pivot="0" count="2">
      <tableStyleElement type="firstRowStripe" dxfId="1"/>
      <tableStyleElement type="secondRowStripe" dxfId="2"/>
    </tableStyle>
    <tableStyle name="분할_26년03월-style 842" pivot="0" count="2">
      <tableStyleElement type="firstRowStripe" dxfId="1"/>
      <tableStyleElement type="secondRowStripe" dxfId="2"/>
    </tableStyle>
    <tableStyle name="분할_26년03월-style 843" pivot="0" count="2">
      <tableStyleElement type="firstRowStripe" dxfId="1"/>
      <tableStyleElement type="secondRowStripe" dxfId="2"/>
    </tableStyle>
    <tableStyle name="분할_26년03월-style 844" pivot="0" count="2">
      <tableStyleElement type="firstRowStripe" dxfId="2"/>
      <tableStyleElement type="secondRowStripe" dxfId="1"/>
    </tableStyle>
    <tableStyle name="분할_26년03월-style 845" pivot="0" count="2">
      <tableStyleElement type="firstRowStripe" dxfId="2"/>
      <tableStyleElement type="secondRowStripe" dxfId="1"/>
    </tableStyle>
    <tableStyle name="분할_26년03월-style 846" pivot="0" count="2">
      <tableStyleElement type="firstRowStripe" dxfId="2"/>
      <tableStyleElement type="secondRowStripe" dxfId="1"/>
    </tableStyle>
    <tableStyle name="분할_26년02월-style" pivot="0" count="2">
      <tableStyleElement type="firstRowStripe" dxfId="1"/>
      <tableStyleElement type="secondRowStripe" dxfId="2"/>
    </tableStyle>
    <tableStyle name="분할_26년02월-style 2" pivot="0" count="2">
      <tableStyleElement type="firstRowStripe" dxfId="1"/>
      <tableStyleElement type="secondRowStripe" dxfId="2"/>
    </tableStyle>
    <tableStyle name="분할_26년02월-style 3" pivot="0" count="2">
      <tableStyleElement type="firstRowStripe" dxfId="2"/>
      <tableStyleElement type="secondRowStripe" dxfId="1"/>
    </tableStyle>
    <tableStyle name="분할_26년02월-style 4" pivot="0" count="2">
      <tableStyleElement type="firstRowStripe" dxfId="1"/>
      <tableStyleElement type="secondRowStripe" dxfId="2"/>
    </tableStyle>
    <tableStyle name="분할_26년02월-style 5" pivot="0" count="2">
      <tableStyleElement type="firstRowStripe" dxfId="1"/>
      <tableStyleElement type="secondRowStripe" dxfId="2"/>
    </tableStyle>
    <tableStyle name="분할_26년02월-style 6" pivot="0" count="2">
      <tableStyleElement type="firstRowStripe" dxfId="1"/>
      <tableStyleElement type="secondRowStripe" dxfId="2"/>
    </tableStyle>
    <tableStyle name="분할_26년02월-style 7" pivot="0" count="2">
      <tableStyleElement type="firstRowStripe" dxfId="1"/>
      <tableStyleElement type="secondRowStripe" dxfId="2"/>
    </tableStyle>
    <tableStyle name="분할_26년02월-style 8" pivot="0" count="2">
      <tableStyleElement type="firstRowStripe" dxfId="1"/>
      <tableStyleElement type="secondRowStripe" dxfId="2"/>
    </tableStyle>
    <tableStyle name="분할_26년02월-style 9" pivot="0" count="2">
      <tableStyleElement type="firstRowStripe" dxfId="1"/>
      <tableStyleElement type="secondRowStripe" dxfId="2"/>
    </tableStyle>
    <tableStyle name="분할_26년02월-style 10" pivot="0" count="2">
      <tableStyleElement type="firstRowStripe" dxfId="1"/>
      <tableStyleElement type="secondRowStripe" dxfId="2"/>
    </tableStyle>
    <tableStyle name="분할_26년02월-style 11" pivot="0" count="2">
      <tableStyleElement type="firstRowStripe" dxfId="1"/>
      <tableStyleElement type="secondRowStripe" dxfId="2"/>
    </tableStyle>
    <tableStyle name="분할_26년02월-style 12" pivot="0" count="2">
      <tableStyleElement type="firstRowStripe" dxfId="3"/>
      <tableStyleElement type="secondRowStripe" dxfId="1"/>
    </tableStyle>
    <tableStyle name="분할_26년02월-style 13" pivot="0" count="2">
      <tableStyleElement type="firstRowStripe" dxfId="2"/>
      <tableStyleElement type="secondRowStripe" dxfId="1"/>
    </tableStyle>
    <tableStyle name="분할_26년02월-style 14" pivot="0" count="2">
      <tableStyleElement type="firstRowStripe" dxfId="2"/>
      <tableStyleElement type="secondRowStripe" dxfId="1"/>
    </tableStyle>
    <tableStyle name="분할_26년02월-style 15" pivot="0" count="2">
      <tableStyleElement type="firstRowStripe" dxfId="2"/>
      <tableStyleElement type="secondRowStripe" dxfId="1"/>
    </tableStyle>
    <tableStyle name="분할_26년02월-style 16" pivot="0" count="2">
      <tableStyleElement type="firstRowStripe" dxfId="1"/>
      <tableStyleElement type="secondRowStripe" dxfId="2"/>
    </tableStyle>
    <tableStyle name="분할_26년02월-style 17" pivot="0" count="2">
      <tableStyleElement type="firstRowStripe" dxfId="2"/>
      <tableStyleElement type="secondRowStripe" dxfId="1"/>
    </tableStyle>
    <tableStyle name="분할_26년02월-style 18" pivot="0" count="2">
      <tableStyleElement type="firstRowStripe" dxfId="2"/>
      <tableStyleElement type="secondRowStripe" dxfId="1"/>
    </tableStyle>
    <tableStyle name="분할_26년02월-style 19" pivot="0" count="2">
      <tableStyleElement type="firstRowStripe" dxfId="1"/>
      <tableStyleElement type="secondRowStripe" dxfId="2"/>
    </tableStyle>
    <tableStyle name="분할_26년02월-style 20" pivot="0" count="2">
      <tableStyleElement type="firstRowStripe" dxfId="1"/>
      <tableStyleElement type="secondRowStripe" dxfId="2"/>
    </tableStyle>
    <tableStyle name="분할_26년02월-style 21" pivot="0" count="2">
      <tableStyleElement type="firstRowStripe" dxfId="2"/>
      <tableStyleElement type="secondRowStripe" dxfId="1"/>
    </tableStyle>
    <tableStyle name="분할_26년02월-style 22" pivot="0" count="2">
      <tableStyleElement type="firstRowStripe" dxfId="1"/>
      <tableStyleElement type="secondRowStripe" dxfId="2"/>
    </tableStyle>
    <tableStyle name="분할_26년02월-style 23" pivot="0" count="2">
      <tableStyleElement type="firstRowStripe" dxfId="1"/>
      <tableStyleElement type="secondRowStripe" dxfId="2"/>
    </tableStyle>
    <tableStyle name="분할_26년02월-style 24" pivot="0" count="2">
      <tableStyleElement type="firstRowStripe" dxfId="1"/>
      <tableStyleElement type="secondRowStripe" dxfId="2"/>
    </tableStyle>
    <tableStyle name="분할_26년02월-style 25" pivot="0" count="2">
      <tableStyleElement type="firstRowStripe" dxfId="1"/>
      <tableStyleElement type="secondRowStripe" dxfId="2"/>
    </tableStyle>
    <tableStyle name="분할_26년02월-style 26" pivot="0" count="2">
      <tableStyleElement type="firstRowStripe" dxfId="1"/>
      <tableStyleElement type="secondRowStripe" dxfId="2"/>
    </tableStyle>
    <tableStyle name="분할_26년02월-style 27" pivot="0" count="2">
      <tableStyleElement type="firstRowStripe" dxfId="1"/>
      <tableStyleElement type="secondRowStripe" dxfId="2"/>
    </tableStyle>
    <tableStyle name="분할_26년02월-style 28" pivot="0" count="2">
      <tableStyleElement type="firstRowStripe" dxfId="1"/>
      <tableStyleElement type="secondRowStripe" dxfId="2"/>
    </tableStyle>
    <tableStyle name="분할_26년02월-style 29" pivot="0" count="2">
      <tableStyleElement type="firstRowStripe" dxfId="1"/>
      <tableStyleElement type="secondRowStripe" dxfId="2"/>
    </tableStyle>
    <tableStyle name="분할_26년02월-style 30" pivot="0" count="2">
      <tableStyleElement type="firstRowStripe" dxfId="1"/>
      <tableStyleElement type="secondRowStripe" dxfId="2"/>
    </tableStyle>
    <tableStyle name="분할_26년02월-style 31" pivot="0" count="2">
      <tableStyleElement type="firstRowStripe" dxfId="1"/>
      <tableStyleElement type="secondRowStripe" dxfId="2"/>
    </tableStyle>
    <tableStyle name="분할_26년02월-style 32" pivot="0" count="2">
      <tableStyleElement type="firstRowStripe" dxfId="1"/>
      <tableStyleElement type="secondRowStripe" dxfId="2"/>
    </tableStyle>
    <tableStyle name="분할_26년02월-style 33" pivot="0" count="2">
      <tableStyleElement type="firstRowStripe" dxfId="1"/>
      <tableStyleElement type="secondRowStripe" dxfId="2"/>
    </tableStyle>
    <tableStyle name="분할_26년02월-style 34" pivot="0" count="2">
      <tableStyleElement type="firstRowStripe" dxfId="1"/>
      <tableStyleElement type="secondRowStripe" dxfId="2"/>
    </tableStyle>
    <tableStyle name="분할_26년02월-style 35" pivot="0" count="2">
      <tableStyleElement type="firstRowStripe" dxfId="1"/>
      <tableStyleElement type="secondRowStripe" dxfId="2"/>
    </tableStyle>
    <tableStyle name="분할_26년02월-style 36" pivot="0" count="2">
      <tableStyleElement type="firstRowStripe" dxfId="1"/>
      <tableStyleElement type="secondRowStripe" dxfId="2"/>
    </tableStyle>
    <tableStyle name="분할_26년02월-style 37" pivot="0" count="2">
      <tableStyleElement type="firstRowStripe" dxfId="1"/>
      <tableStyleElement type="secondRowStripe" dxfId="2"/>
    </tableStyle>
    <tableStyle name="분할_26년02월-style 38" pivot="0" count="2">
      <tableStyleElement type="firstRowStripe" dxfId="2"/>
      <tableStyleElement type="secondRowStripe" dxfId="1"/>
    </tableStyle>
    <tableStyle name="분할_26년02월-style 39" pivot="0" count="2">
      <tableStyleElement type="firstRowStripe" dxfId="2"/>
      <tableStyleElement type="secondRowStripe" dxfId="1"/>
    </tableStyle>
    <tableStyle name="분할_26년02월-style 40" pivot="0" count="2">
      <tableStyleElement type="firstRowStripe" dxfId="1"/>
      <tableStyleElement type="secondRowStripe" dxfId="2"/>
    </tableStyle>
    <tableStyle name="분할_26년02월-style 41" pivot="0" count="2">
      <tableStyleElement type="firstRowStripe" dxfId="1"/>
      <tableStyleElement type="secondRowStripe" dxfId="2"/>
    </tableStyle>
    <tableStyle name="분할_26년02월-style 42" pivot="0" count="2">
      <tableStyleElement type="firstRowStripe" dxfId="1"/>
      <tableStyleElement type="secondRowStripe" dxfId="2"/>
    </tableStyle>
    <tableStyle name="분할_26년02월-style 43" pivot="0" count="2">
      <tableStyleElement type="firstRowStripe" dxfId="1"/>
      <tableStyleElement type="secondRowStripe" dxfId="2"/>
    </tableStyle>
    <tableStyle name="분할_26년02월-style 44" pivot="0" count="2">
      <tableStyleElement type="firstRowStripe" dxfId="1"/>
      <tableStyleElement type="secondRowStripe" dxfId="2"/>
    </tableStyle>
    <tableStyle name="분할_26년02월-style 45" pivot="0" count="2">
      <tableStyleElement type="firstRowStripe" dxfId="2"/>
      <tableStyleElement type="secondRowStripe" dxfId="1"/>
    </tableStyle>
    <tableStyle name="분할_26년02월-style 46" pivot="0" count="2">
      <tableStyleElement type="firstRowStripe" dxfId="1"/>
      <tableStyleElement type="secondRowStripe" dxfId="2"/>
    </tableStyle>
    <tableStyle name="분할_26년02월-style 47" pivot="0" count="2">
      <tableStyleElement type="firstRowStripe" dxfId="1"/>
      <tableStyleElement type="secondRowStripe" dxfId="2"/>
    </tableStyle>
    <tableStyle name="분할_26년02월-style 48" pivot="0" count="2">
      <tableStyleElement type="firstRowStripe" dxfId="1"/>
      <tableStyleElement type="secondRowStripe" dxfId="2"/>
    </tableStyle>
    <tableStyle name="분할_26년02월-style 49" pivot="0" count="2">
      <tableStyleElement type="firstRowStripe" dxfId="1"/>
      <tableStyleElement type="secondRowStripe" dxfId="2"/>
    </tableStyle>
    <tableStyle name="분할_26년02월-style 50" pivot="0" count="2">
      <tableStyleElement type="firstRowStripe" dxfId="1"/>
      <tableStyleElement type="secondRowStripe" dxfId="2"/>
    </tableStyle>
    <tableStyle name="분할_26년02월-style 51" pivot="0" count="2">
      <tableStyleElement type="firstRowStripe" dxfId="1"/>
      <tableStyleElement type="secondRowStripe" dxfId="2"/>
    </tableStyle>
    <tableStyle name="분할_26년02월-style 52" pivot="0" count="2">
      <tableStyleElement type="firstRowStripe" dxfId="1"/>
      <tableStyleElement type="secondRowStripe" dxfId="2"/>
    </tableStyle>
    <tableStyle name="분할_26년02월-style 53" pivot="0" count="2">
      <tableStyleElement type="firstRowStripe" dxfId="1"/>
      <tableStyleElement type="secondRowStripe" dxfId="2"/>
    </tableStyle>
    <tableStyle name="분할_26년02월-style 54" pivot="0" count="2">
      <tableStyleElement type="firstRowStripe" dxfId="1"/>
      <tableStyleElement type="secondRowStripe" dxfId="2"/>
    </tableStyle>
    <tableStyle name="분할_26년02월-style 55" pivot="0" count="2">
      <tableStyleElement type="firstRowStripe" dxfId="2"/>
      <tableStyleElement type="secondRowStripe" dxfId="1"/>
    </tableStyle>
    <tableStyle name="분할_26년02월-style 56" pivot="0" count="2">
      <tableStyleElement type="firstRowStripe" dxfId="1"/>
      <tableStyleElement type="secondRowStripe" dxfId="2"/>
    </tableStyle>
    <tableStyle name="분할_26년02월-style 57" pivot="0" count="2">
      <tableStyleElement type="firstRowStripe" dxfId="1"/>
      <tableStyleElement type="secondRowStripe" dxfId="2"/>
    </tableStyle>
    <tableStyle name="분할_26년02월-style 58" pivot="0" count="2">
      <tableStyleElement type="firstRowStripe" dxfId="1"/>
      <tableStyleElement type="secondRowStripe" dxfId="2"/>
    </tableStyle>
    <tableStyle name="분할_26년02월-style 59" pivot="0" count="2">
      <tableStyleElement type="firstRowStripe" dxfId="1"/>
      <tableStyleElement type="secondRowStripe" dxfId="2"/>
    </tableStyle>
    <tableStyle name="분할_26년02월-style 60" pivot="0" count="2">
      <tableStyleElement type="firstRowStripe" dxfId="1"/>
      <tableStyleElement type="secondRowStripe" dxfId="2"/>
    </tableStyle>
    <tableStyle name="분할_26년02월-style 61" pivot="0" count="2">
      <tableStyleElement type="firstRowStripe" dxfId="1"/>
      <tableStyleElement type="secondRowStripe" dxfId="2"/>
    </tableStyle>
    <tableStyle name="분할_26년02월-style 62" pivot="0" count="2">
      <tableStyleElement type="firstRowStripe" dxfId="1"/>
      <tableStyleElement type="secondRowStripe" dxfId="2"/>
    </tableStyle>
    <tableStyle name="분할_26년02월-style 63" pivot="0" count="2">
      <tableStyleElement type="firstRowStripe" dxfId="1"/>
      <tableStyleElement type="secondRowStripe" dxfId="2"/>
    </tableStyle>
    <tableStyle name="분할_26년02월-style 64" pivot="0" count="2">
      <tableStyleElement type="firstRowStripe" dxfId="1"/>
      <tableStyleElement type="secondRowStripe" dxfId="2"/>
    </tableStyle>
    <tableStyle name="분할_26년02월-style 65" pivot="0" count="2">
      <tableStyleElement type="firstRowStripe" dxfId="2"/>
      <tableStyleElement type="secondRowStripe" dxfId="1"/>
    </tableStyle>
    <tableStyle name="분할_26년02월-style 66" pivot="0" count="2">
      <tableStyleElement type="firstRowStripe" dxfId="2"/>
      <tableStyleElement type="secondRowStripe" dxfId="1"/>
    </tableStyle>
    <tableStyle name="분할_26년02월-style 67" pivot="0" count="2">
      <tableStyleElement type="firstRowStripe" dxfId="1"/>
      <tableStyleElement type="secondRowStripe" dxfId="2"/>
    </tableStyle>
    <tableStyle name="분할_26년02월-style 68" pivot="0" count="2">
      <tableStyleElement type="firstRowStripe" dxfId="2"/>
      <tableStyleElement type="secondRowStripe" dxfId="1"/>
    </tableStyle>
    <tableStyle name="분할_26년02월-style 69" pivot="0" count="2">
      <tableStyleElement type="firstRowStripe" dxfId="1"/>
      <tableStyleElement type="secondRowStripe" dxfId="2"/>
    </tableStyle>
    <tableStyle name="분할_26년02월-style 70" pivot="0" count="2">
      <tableStyleElement type="firstRowStripe" dxfId="1"/>
      <tableStyleElement type="secondRowStripe" dxfId="2"/>
    </tableStyle>
    <tableStyle name="분할_26년02월-style 71" pivot="0" count="2">
      <tableStyleElement type="firstRowStripe" dxfId="1"/>
      <tableStyleElement type="secondRowStripe" dxfId="2"/>
    </tableStyle>
    <tableStyle name="분할_26년02월-style 72" pivot="0" count="2">
      <tableStyleElement type="firstRowStripe" dxfId="1"/>
      <tableStyleElement type="secondRowStripe" dxfId="2"/>
    </tableStyle>
    <tableStyle name="분할_26년02월-style 73" pivot="0" count="2">
      <tableStyleElement type="firstRowStripe" dxfId="1"/>
      <tableStyleElement type="secondRowStripe" dxfId="2"/>
    </tableStyle>
    <tableStyle name="분할_26년02월-style 74" pivot="0" count="2">
      <tableStyleElement type="firstRowStripe" dxfId="1"/>
      <tableStyleElement type="secondRowStripe" dxfId="2"/>
    </tableStyle>
    <tableStyle name="분할_26년02월-style 75" pivot="0" count="2">
      <tableStyleElement type="firstRowStripe" dxfId="2"/>
      <tableStyleElement type="secondRowStripe" dxfId="1"/>
    </tableStyle>
    <tableStyle name="분할_26년02월-style 76" pivot="0" count="2">
      <tableStyleElement type="firstRowStripe" dxfId="2"/>
      <tableStyleElement type="secondRowStripe" dxfId="1"/>
    </tableStyle>
    <tableStyle name="분할_26년02월-style 77" pivot="0" count="2">
      <tableStyleElement type="firstRowStripe" dxfId="1"/>
      <tableStyleElement type="secondRowStripe" dxfId="3"/>
    </tableStyle>
    <tableStyle name="분할_26년02월-style 78" pivot="0" count="2">
      <tableStyleElement type="firstRowStripe" dxfId="2"/>
      <tableStyleElement type="secondRowStripe" dxfId="1"/>
    </tableStyle>
    <tableStyle name="분할_26년02월-style 79" pivot="0" count="2">
      <tableStyleElement type="firstRowStripe" dxfId="1"/>
      <tableStyleElement type="secondRowStripe" dxfId="2"/>
    </tableStyle>
    <tableStyle name="분할_26년02월-style 80" pivot="0" count="2">
      <tableStyleElement type="firstRowStripe" dxfId="1"/>
      <tableStyleElement type="secondRowStripe" dxfId="2"/>
    </tableStyle>
    <tableStyle name="분할_26년02월-style 81" pivot="0" count="2">
      <tableStyleElement type="firstRowStripe" dxfId="1"/>
      <tableStyleElement type="secondRowStripe" dxfId="2"/>
    </tableStyle>
    <tableStyle name="분할_26년02월-style 82" pivot="0" count="2">
      <tableStyleElement type="firstRowStripe" dxfId="2"/>
      <tableStyleElement type="secondRowStripe" dxfId="1"/>
    </tableStyle>
    <tableStyle name="분할_26년02월-style 83" pivot="0" count="2">
      <tableStyleElement type="firstRowStripe" dxfId="2"/>
      <tableStyleElement type="secondRowStripe" dxfId="1"/>
    </tableStyle>
    <tableStyle name="분할_26년02월-style 84" pivot="0" count="2">
      <tableStyleElement type="firstRowStripe" dxfId="2"/>
      <tableStyleElement type="secondRowStripe" dxfId="1"/>
    </tableStyle>
    <tableStyle name="분할_26년02월-style 85" pivot="0" count="2">
      <tableStyleElement type="firstRowStripe" dxfId="1"/>
      <tableStyleElement type="secondRowStripe" dxfId="2"/>
    </tableStyle>
    <tableStyle name="분할_26년02월-style 86" pivot="0" count="2">
      <tableStyleElement type="firstRowStripe" dxfId="2"/>
      <tableStyleElement type="secondRowStripe" dxfId="1"/>
    </tableStyle>
    <tableStyle name="분할_26년02월-style 87" pivot="0" count="2">
      <tableStyleElement type="firstRowStripe" dxfId="1"/>
      <tableStyleElement type="secondRowStripe" dxfId="2"/>
    </tableStyle>
    <tableStyle name="분할_26년02월-style 88" pivot="0" count="2">
      <tableStyleElement type="firstRowStripe" dxfId="2"/>
      <tableStyleElement type="secondRowStripe" dxfId="1"/>
    </tableStyle>
    <tableStyle name="분할_26년02월-style 89" pivot="0" count="2">
      <tableStyleElement type="firstRowStripe" dxfId="1"/>
      <tableStyleElement type="secondRowStripe" dxfId="2"/>
    </tableStyle>
    <tableStyle name="분할_26년02월-style 90" pivot="0" count="2">
      <tableStyleElement type="firstRowStripe" dxfId="2"/>
      <tableStyleElement type="secondRowStripe" dxfId="1"/>
    </tableStyle>
    <tableStyle name="분할_26년02월-style 91" pivot="0" count="2">
      <tableStyleElement type="firstRowStripe" dxfId="2"/>
      <tableStyleElement type="secondRowStripe" dxfId="1"/>
    </tableStyle>
    <tableStyle name="분할_26년02월-style 92" pivot="0" count="2">
      <tableStyleElement type="firstRowStripe" dxfId="1"/>
      <tableStyleElement type="secondRowStripe" dxfId="2"/>
    </tableStyle>
    <tableStyle name="분할_26년02월-style 93" pivot="0" count="2">
      <tableStyleElement type="firstRowStripe" dxfId="1"/>
      <tableStyleElement type="secondRowStripe" dxfId="2"/>
    </tableStyle>
    <tableStyle name="분할_26년02월-style 94" pivot="0" count="2">
      <tableStyleElement type="firstRowStripe" dxfId="1"/>
      <tableStyleElement type="secondRowStripe" dxfId="2"/>
    </tableStyle>
    <tableStyle name="분할_26년02월-style 95" pivot="0" count="2">
      <tableStyleElement type="firstRowStripe" dxfId="1"/>
      <tableStyleElement type="secondRowStripe" dxfId="3"/>
    </tableStyle>
    <tableStyle name="분할_26년02월-style 96" pivot="0" count="2">
      <tableStyleElement type="firstRowStripe" dxfId="2"/>
      <tableStyleElement type="secondRowStripe" dxfId="1"/>
    </tableStyle>
    <tableStyle name="분할_26년02월-style 97" pivot="0" count="2">
      <tableStyleElement type="firstRowStripe" dxfId="1"/>
      <tableStyleElement type="secondRowStripe" dxfId="2"/>
    </tableStyle>
    <tableStyle name="분할_26년02월-style 98" pivot="0" count="2">
      <tableStyleElement type="firstRowStripe" dxfId="2"/>
      <tableStyleElement type="secondRowStripe" dxfId="1"/>
    </tableStyle>
    <tableStyle name="분할_26년02월-style 99" pivot="0" count="2">
      <tableStyleElement type="firstRowStripe" dxfId="1"/>
      <tableStyleElement type="secondRowStripe" dxfId="2"/>
    </tableStyle>
    <tableStyle name="분할_26년02월-style 100" pivot="0" count="2">
      <tableStyleElement type="firstRowStripe" dxfId="1"/>
      <tableStyleElement type="secondRowStripe" dxfId="2"/>
    </tableStyle>
    <tableStyle name="분할_26년02월-style 101" pivot="0" count="2">
      <tableStyleElement type="firstRowStripe" dxfId="1"/>
      <tableStyleElement type="secondRowStripe" dxfId="3"/>
    </tableStyle>
    <tableStyle name="분할_26년02월-style 102" pivot="0" count="2">
      <tableStyleElement type="firstRowStripe" dxfId="2"/>
      <tableStyleElement type="secondRowStripe" dxfId="1"/>
    </tableStyle>
    <tableStyle name="분할_26년02월-style 103" pivot="0" count="2">
      <tableStyleElement type="firstRowStripe" dxfId="1"/>
      <tableStyleElement type="secondRowStripe" dxfId="2"/>
    </tableStyle>
    <tableStyle name="분할_26년02월-style 104" pivot="0" count="2">
      <tableStyleElement type="firstRowStripe" dxfId="2"/>
      <tableStyleElement type="secondRowStripe" dxfId="1"/>
    </tableStyle>
    <tableStyle name="분할_26년02월-style 105" pivot="0" count="2">
      <tableStyleElement type="firstRowStripe" dxfId="1"/>
      <tableStyleElement type="secondRowStripe" dxfId="2"/>
    </tableStyle>
    <tableStyle name="분할_26년02월-style 106" pivot="0" count="2">
      <tableStyleElement type="firstRowStripe" dxfId="2"/>
      <tableStyleElement type="secondRowStripe" dxfId="1"/>
    </tableStyle>
    <tableStyle name="분할_26년02월-style 107" pivot="0" count="2">
      <tableStyleElement type="firstRowStripe" dxfId="1"/>
      <tableStyleElement type="secondRowStripe" dxfId="2"/>
    </tableStyle>
    <tableStyle name="분할_26년02월-style 108" pivot="0" count="2">
      <tableStyleElement type="firstRowStripe" dxfId="1"/>
      <tableStyleElement type="secondRowStripe" dxfId="2"/>
    </tableStyle>
    <tableStyle name="분할_26년02월-style 109" pivot="0" count="2">
      <tableStyleElement type="firstRowStripe" dxfId="1"/>
      <tableStyleElement type="secondRowStripe" dxfId="2"/>
    </tableStyle>
    <tableStyle name="분할_26년02월-style 110" pivot="0" count="2">
      <tableStyleElement type="firstRowStripe" dxfId="1"/>
      <tableStyleElement type="secondRowStripe" dxfId="2"/>
    </tableStyle>
    <tableStyle name="분할_26년02월-style 111" pivot="0" count="2">
      <tableStyleElement type="firstRowStripe" dxfId="1"/>
      <tableStyleElement type="secondRowStripe" dxfId="2"/>
    </tableStyle>
    <tableStyle name="분할_26년02월-style 112" pivot="0" count="2">
      <tableStyleElement type="firstRowStripe" dxfId="2"/>
      <tableStyleElement type="secondRowStripe" dxfId="1"/>
    </tableStyle>
    <tableStyle name="분할_26년02월-style 113" pivot="0" count="2">
      <tableStyleElement type="firstRowStripe" dxfId="1"/>
      <tableStyleElement type="secondRowStripe" dxfId="2"/>
    </tableStyle>
    <tableStyle name="분할_26년02월-style 114" pivot="0" count="2">
      <tableStyleElement type="firstRowStripe" dxfId="1"/>
      <tableStyleElement type="secondRowStripe" dxfId="2"/>
    </tableStyle>
    <tableStyle name="분할_26년02월-style 115" pivot="0" count="2">
      <tableStyleElement type="firstRowStripe" dxfId="1"/>
      <tableStyleElement type="secondRowStripe" dxfId="2"/>
    </tableStyle>
    <tableStyle name="분할_26년02월-style 116" pivot="0" count="2">
      <tableStyleElement type="firstRowStripe" dxfId="2"/>
      <tableStyleElement type="secondRowStripe" dxfId="1"/>
    </tableStyle>
    <tableStyle name="분할_26년02월-style 117" pivot="0" count="2">
      <tableStyleElement type="firstRowStripe" dxfId="1"/>
      <tableStyleElement type="secondRowStripe" dxfId="2"/>
    </tableStyle>
    <tableStyle name="분할_26년02월-style 118" pivot="0" count="2">
      <tableStyleElement type="firstRowStripe" dxfId="1"/>
      <tableStyleElement type="secondRowStripe" dxfId="2"/>
    </tableStyle>
    <tableStyle name="분할_26년02월-style 119" pivot="0" count="2">
      <tableStyleElement type="firstRowStripe" dxfId="2"/>
      <tableStyleElement type="secondRowStripe" dxfId="1"/>
    </tableStyle>
    <tableStyle name="분할_26년02월-style 120" pivot="0" count="2">
      <tableStyleElement type="firstRowStripe" dxfId="1"/>
      <tableStyleElement type="secondRowStripe" dxfId="2"/>
    </tableStyle>
    <tableStyle name="분할_26년02월-style 121" pivot="0" count="2">
      <tableStyleElement type="firstRowStripe" dxfId="1"/>
      <tableStyleElement type="secondRowStripe" dxfId="2"/>
    </tableStyle>
    <tableStyle name="분할_26년02월-style 122" pivot="0" count="2">
      <tableStyleElement type="firstRowStripe" dxfId="1"/>
      <tableStyleElement type="secondRowStripe" dxfId="2"/>
    </tableStyle>
    <tableStyle name="분할_26년02월-style 123" pivot="0" count="2">
      <tableStyleElement type="firstRowStripe" dxfId="1"/>
      <tableStyleElement type="secondRowStripe" dxfId="2"/>
    </tableStyle>
    <tableStyle name="분할_26년02월-style 124" pivot="0" count="2">
      <tableStyleElement type="firstRowStripe" dxfId="2"/>
      <tableStyleElement type="secondRowStripe" dxfId="1"/>
    </tableStyle>
    <tableStyle name="분할_26년02월-style 125" pivot="0" count="2">
      <tableStyleElement type="firstRowStripe" dxfId="2"/>
      <tableStyleElement type="secondRowStripe" dxfId="1"/>
    </tableStyle>
    <tableStyle name="분할_26년02월-style 126" pivot="0" count="2">
      <tableStyleElement type="firstRowStripe" dxfId="1"/>
      <tableStyleElement type="secondRowStripe" dxfId="2"/>
    </tableStyle>
    <tableStyle name="분할_26년02월-style 127" pivot="0" count="2">
      <tableStyleElement type="firstRowStripe" dxfId="1"/>
      <tableStyleElement type="secondRowStripe" dxfId="2"/>
    </tableStyle>
    <tableStyle name="분할_26년02월-style 128" pivot="0" count="2">
      <tableStyleElement type="firstRowStripe" dxfId="2"/>
      <tableStyleElement type="secondRowStripe" dxfId="1"/>
    </tableStyle>
    <tableStyle name="분할_26년02월-style 129" pivot="0" count="2">
      <tableStyleElement type="firstRowStripe" dxfId="2"/>
      <tableStyleElement type="secondRowStripe" dxfId="1"/>
    </tableStyle>
    <tableStyle name="분할_26년02월-style 130" pivot="0" count="2">
      <tableStyleElement type="firstRowStripe" dxfId="1"/>
      <tableStyleElement type="secondRowStripe" dxfId="2"/>
    </tableStyle>
    <tableStyle name="분할_26년02월-style 131" pivot="0" count="2">
      <tableStyleElement type="firstRowStripe" dxfId="1"/>
      <tableStyleElement type="secondRowStripe" dxfId="2"/>
    </tableStyle>
    <tableStyle name="분할_26년02월-style 132" pivot="0" count="2">
      <tableStyleElement type="firstRowStripe" dxfId="1"/>
      <tableStyleElement type="secondRowStripe" dxfId="2"/>
    </tableStyle>
    <tableStyle name="분할_26년02월-style 133" pivot="0" count="2">
      <tableStyleElement type="firstRowStripe" dxfId="2"/>
      <tableStyleElement type="secondRowStripe" dxfId="1"/>
    </tableStyle>
    <tableStyle name="분할_26년02월-style 134" pivot="0" count="2">
      <tableStyleElement type="firstRowStripe" dxfId="2"/>
      <tableStyleElement type="secondRowStripe" dxfId="1"/>
    </tableStyle>
    <tableStyle name="분할_26년02월-style 135" pivot="0" count="2">
      <tableStyleElement type="firstRowStripe" dxfId="2"/>
      <tableStyleElement type="secondRowStripe" dxfId="1"/>
    </tableStyle>
    <tableStyle name="분할_26년02월-style 136" pivot="0" count="2">
      <tableStyleElement type="firstRowStripe" dxfId="1"/>
      <tableStyleElement type="secondRowStripe" dxfId="2"/>
    </tableStyle>
    <tableStyle name="분할_26년02월-style 137" pivot="0" count="2">
      <tableStyleElement type="firstRowStripe" dxfId="2"/>
      <tableStyleElement type="secondRowStripe" dxfId="1"/>
    </tableStyle>
    <tableStyle name="분할_26년02월-style 138" pivot="0" count="2">
      <tableStyleElement type="firstRowStripe" dxfId="2"/>
      <tableStyleElement type="secondRowStripe" dxfId="1"/>
    </tableStyle>
    <tableStyle name="분할_26년02월-style 139" pivot="0" count="2">
      <tableStyleElement type="firstRowStripe" dxfId="2"/>
      <tableStyleElement type="secondRowStripe" dxfId="1"/>
    </tableStyle>
    <tableStyle name="분할_26년02월-style 140" pivot="0" count="2">
      <tableStyleElement type="firstRowStripe" dxfId="2"/>
      <tableStyleElement type="secondRowStripe" dxfId="1"/>
    </tableStyle>
    <tableStyle name="분할_26년02월-style 141" pivot="0" count="2">
      <tableStyleElement type="firstRowStripe" dxfId="1"/>
      <tableStyleElement type="secondRowStripe" dxfId="2"/>
    </tableStyle>
    <tableStyle name="분할_26년02월-style 142" pivot="0" count="2">
      <tableStyleElement type="firstRowStripe" dxfId="2"/>
      <tableStyleElement type="secondRowStripe" dxfId="1"/>
    </tableStyle>
    <tableStyle name="분할_26년02월-style 143" pivot="0" count="2">
      <tableStyleElement type="firstRowStripe" dxfId="2"/>
      <tableStyleElement type="secondRowStripe" dxfId="1"/>
    </tableStyle>
    <tableStyle name="분할_26년02월-style 144" pivot="0" count="2">
      <tableStyleElement type="firstRowStripe" dxfId="2"/>
      <tableStyleElement type="secondRowStripe" dxfId="1"/>
    </tableStyle>
    <tableStyle name="분할_26년02월-style 145" pivot="0" count="2">
      <tableStyleElement type="firstRowStripe" dxfId="2"/>
      <tableStyleElement type="secondRowStripe" dxfId="1"/>
    </tableStyle>
    <tableStyle name="분할_26년02월-style 146" pivot="0" count="2">
      <tableStyleElement type="firstRowStripe" dxfId="2"/>
      <tableStyleElement type="secondRowStripe" dxfId="1"/>
    </tableStyle>
    <tableStyle name="분할_26년02월-style 147" pivot="0" count="2">
      <tableStyleElement type="firstRowStripe" dxfId="2"/>
      <tableStyleElement type="secondRowStripe" dxfId="1"/>
    </tableStyle>
    <tableStyle name="분할_26년02월-style 148" pivot="0" count="2">
      <tableStyleElement type="firstRowStripe" dxfId="2"/>
      <tableStyleElement type="secondRowStripe" dxfId="1"/>
    </tableStyle>
    <tableStyle name="분할_26년02월-style 149" pivot="0" count="2">
      <tableStyleElement type="firstRowStripe" dxfId="1"/>
      <tableStyleElement type="secondRowStripe" dxfId="2"/>
    </tableStyle>
    <tableStyle name="분할_26년02월-style 150" pivot="0" count="2">
      <tableStyleElement type="firstRowStripe" dxfId="2"/>
      <tableStyleElement type="secondRowStripe" dxfId="1"/>
    </tableStyle>
    <tableStyle name="분할_26년02월-style 151" pivot="0" count="2">
      <tableStyleElement type="firstRowStripe" dxfId="2"/>
      <tableStyleElement type="secondRowStripe" dxfId="1"/>
    </tableStyle>
    <tableStyle name="분할_26년02월-style 152" pivot="0" count="2">
      <tableStyleElement type="firstRowStripe" dxfId="1"/>
      <tableStyleElement type="secondRowStripe" dxfId="2"/>
    </tableStyle>
    <tableStyle name="분할_26년02월-style 153" pivot="0" count="2">
      <tableStyleElement type="firstRowStripe" dxfId="2"/>
      <tableStyleElement type="secondRowStripe" dxfId="1"/>
    </tableStyle>
    <tableStyle name="분할_26년02월-style 154" pivot="0" count="2">
      <tableStyleElement type="firstRowStripe" dxfId="2"/>
      <tableStyleElement type="secondRowStripe" dxfId="1"/>
    </tableStyle>
    <tableStyle name="분할_26년02월-style 155" pivot="0" count="2">
      <tableStyleElement type="firstRowStripe" dxfId="1"/>
      <tableStyleElement type="secondRowStripe" dxfId="2"/>
    </tableStyle>
    <tableStyle name="분할_26년02월-style 156" pivot="0" count="2">
      <tableStyleElement type="firstRowStripe" dxfId="1"/>
      <tableStyleElement type="secondRowStripe" dxfId="2"/>
    </tableStyle>
    <tableStyle name="분할_26년02월-style 157" pivot="0" count="2">
      <tableStyleElement type="firstRowStripe" dxfId="2"/>
      <tableStyleElement type="secondRowStripe" dxfId="1"/>
    </tableStyle>
    <tableStyle name="분할_26년02월-style 158" pivot="0" count="2">
      <tableStyleElement type="firstRowStripe" dxfId="1"/>
      <tableStyleElement type="secondRowStripe" dxfId="2"/>
    </tableStyle>
    <tableStyle name="분할_26년02월-style 159" pivot="0" count="2">
      <tableStyleElement type="firstRowStripe" dxfId="2"/>
      <tableStyleElement type="secondRowStripe" dxfId="1"/>
    </tableStyle>
    <tableStyle name="분할_26년02월-style 160" pivot="0" count="2">
      <tableStyleElement type="firstRowStripe" dxfId="2"/>
      <tableStyleElement type="secondRowStripe" dxfId="1"/>
    </tableStyle>
    <tableStyle name="분할_26년02월-style 161" pivot="0" count="2">
      <tableStyleElement type="firstRowStripe" dxfId="2"/>
      <tableStyleElement type="secondRowStripe" dxfId="1"/>
    </tableStyle>
    <tableStyle name="분할_26년02월-style 162" pivot="0" count="2">
      <tableStyleElement type="firstRowStripe" dxfId="2"/>
      <tableStyleElement type="secondRowStripe" dxfId="1"/>
    </tableStyle>
    <tableStyle name="분할_26년02월-style 163" pivot="0" count="2">
      <tableStyleElement type="firstRowStripe" dxfId="1"/>
      <tableStyleElement type="secondRowStripe" dxfId="2"/>
    </tableStyle>
    <tableStyle name="분할_26년02월-style 164" pivot="0" count="2">
      <tableStyleElement type="firstRowStripe" dxfId="2"/>
      <tableStyleElement type="secondRowStripe" dxfId="1"/>
    </tableStyle>
    <tableStyle name="분할_26년02월-style 165" pivot="0" count="2">
      <tableStyleElement type="firstRowStripe" dxfId="1"/>
      <tableStyleElement type="secondRowStripe" dxfId="2"/>
    </tableStyle>
    <tableStyle name="분할_26년02월-style 166" pivot="0" count="2">
      <tableStyleElement type="firstRowStripe" dxfId="2"/>
      <tableStyleElement type="secondRowStripe" dxfId="1"/>
    </tableStyle>
    <tableStyle name="분할_26년02월-style 167" pivot="0" count="2">
      <tableStyleElement type="firstRowStripe" dxfId="1"/>
      <tableStyleElement type="secondRowStripe" dxfId="2"/>
    </tableStyle>
    <tableStyle name="분할_26년02월-style 168" pivot="0" count="2">
      <tableStyleElement type="firstRowStripe" dxfId="2"/>
      <tableStyleElement type="secondRowStripe" dxfId="1"/>
    </tableStyle>
    <tableStyle name="분할_26년02월-style 169" pivot="0" count="2">
      <tableStyleElement type="firstRowStripe" dxfId="1"/>
      <tableStyleElement type="secondRowStripe" dxfId="2"/>
    </tableStyle>
    <tableStyle name="분할_26년02월-style 170" pivot="0" count="2">
      <tableStyleElement type="firstRowStripe" dxfId="1"/>
      <tableStyleElement type="secondRowStripe" dxfId="2"/>
    </tableStyle>
    <tableStyle name="분할_26년02월-style 171" pivot="0" count="2">
      <tableStyleElement type="firstRowStripe" dxfId="2"/>
      <tableStyleElement type="secondRowStripe" dxfId="1"/>
    </tableStyle>
    <tableStyle name="분할_26년02월-style 172" pivot="0" count="2">
      <tableStyleElement type="firstRowStripe" dxfId="1"/>
      <tableStyleElement type="secondRowStripe" dxfId="2"/>
    </tableStyle>
    <tableStyle name="분할_26년02월-style 173" pivot="0" count="2">
      <tableStyleElement type="firstRowStripe" dxfId="1"/>
      <tableStyleElement type="secondRowStripe" dxfId="2"/>
    </tableStyle>
    <tableStyle name="분할_26년02월-style 174" pivot="0" count="2">
      <tableStyleElement type="firstRowStripe" dxfId="2"/>
      <tableStyleElement type="secondRowStripe" dxfId="1"/>
    </tableStyle>
    <tableStyle name="분할_26년02월-style 175" pivot="0" count="2">
      <tableStyleElement type="firstRowStripe" dxfId="1"/>
      <tableStyleElement type="secondRowStripe" dxfId="2"/>
    </tableStyle>
    <tableStyle name="분할_26년02월-style 176" pivot="0" count="2">
      <tableStyleElement type="firstRowStripe" dxfId="1"/>
      <tableStyleElement type="secondRowStripe" dxfId="2"/>
    </tableStyle>
    <tableStyle name="분할_26년02월-style 177" pivot="0" count="2">
      <tableStyleElement type="firstRowStripe" dxfId="1"/>
      <tableStyleElement type="secondRowStripe" dxfId="2"/>
    </tableStyle>
    <tableStyle name="분할_26년02월-style 178" pivot="0" count="2">
      <tableStyleElement type="firstRowStripe" dxfId="1"/>
      <tableStyleElement type="secondRowStripe" dxfId="2"/>
    </tableStyle>
    <tableStyle name="분할_26년02월-style 179" pivot="0" count="2">
      <tableStyleElement type="firstRowStripe" dxfId="1"/>
      <tableStyleElement type="secondRowStripe" dxfId="2"/>
    </tableStyle>
    <tableStyle name="분할_26년02월-style 180" pivot="0" count="2">
      <tableStyleElement type="firstRowStripe" dxfId="1"/>
      <tableStyleElement type="secondRowStripe" dxfId="2"/>
    </tableStyle>
    <tableStyle name="분할_26년02월-style 181" pivot="0" count="2">
      <tableStyleElement type="firstRowStripe" dxfId="1"/>
      <tableStyleElement type="secondRowStripe" dxfId="2"/>
    </tableStyle>
    <tableStyle name="분할_26년02월-style 182" pivot="0" count="2">
      <tableStyleElement type="firstRowStripe" dxfId="1"/>
      <tableStyleElement type="secondRowStripe" dxfId="2"/>
    </tableStyle>
    <tableStyle name="분할_26년02월-style 183" pivot="0" count="2">
      <tableStyleElement type="firstRowStripe" dxfId="1"/>
      <tableStyleElement type="secondRowStripe" dxfId="2"/>
    </tableStyle>
    <tableStyle name="분할_26년02월-style 184" pivot="0" count="2">
      <tableStyleElement type="firstRowStripe" dxfId="1"/>
      <tableStyleElement type="secondRowStripe" dxfId="2"/>
    </tableStyle>
    <tableStyle name="분할_26년02월-style 185" pivot="0" count="2">
      <tableStyleElement type="firstRowStripe" dxfId="1"/>
      <tableStyleElement type="secondRowStripe" dxfId="2"/>
    </tableStyle>
    <tableStyle name="분할_26년02월-style 186" pivot="0" count="2">
      <tableStyleElement type="firstRowStripe" dxfId="1"/>
      <tableStyleElement type="secondRowStripe" dxfId="2"/>
    </tableStyle>
    <tableStyle name="분할_26년02월-style 187" pivot="0" count="2">
      <tableStyleElement type="firstRowStripe" dxfId="2"/>
      <tableStyleElement type="secondRowStripe" dxfId="1"/>
    </tableStyle>
    <tableStyle name="분할_26년02월-style 188" pivot="0" count="2">
      <tableStyleElement type="firstRowStripe" dxfId="1"/>
      <tableStyleElement type="secondRowStripe" dxfId="2"/>
    </tableStyle>
    <tableStyle name="분할_26년02월-style 189" pivot="0" count="2">
      <tableStyleElement type="firstRowStripe" dxfId="1"/>
      <tableStyleElement type="secondRowStripe" dxfId="2"/>
    </tableStyle>
    <tableStyle name="분할_26년02월-style 190" pivot="0" count="2">
      <tableStyleElement type="firstRowStripe" dxfId="1"/>
      <tableStyleElement type="secondRowStripe" dxfId="2"/>
    </tableStyle>
    <tableStyle name="분할_26년02월-style 191" pivot="0" count="2">
      <tableStyleElement type="firstRowStripe" dxfId="1"/>
      <tableStyleElement type="secondRowStripe" dxfId="2"/>
    </tableStyle>
    <tableStyle name="분할_26년02월-style 192" pivot="0" count="2">
      <tableStyleElement type="firstRowStripe" dxfId="1"/>
      <tableStyleElement type="secondRowStripe" dxfId="2"/>
    </tableStyle>
    <tableStyle name="분할_26년02월-style 193" pivot="0" count="2">
      <tableStyleElement type="firstRowStripe" dxfId="2"/>
      <tableStyleElement type="secondRowStripe" dxfId="1"/>
    </tableStyle>
    <tableStyle name="분할_26년02월-style 194" pivot="0" count="2">
      <tableStyleElement type="firstRowStripe" dxfId="1"/>
      <tableStyleElement type="secondRowStripe" dxfId="2"/>
    </tableStyle>
    <tableStyle name="분할_26년02월-style 195" pivot="0" count="2">
      <tableStyleElement type="firstRowStripe" dxfId="1"/>
      <tableStyleElement type="secondRowStripe" dxfId="2"/>
    </tableStyle>
    <tableStyle name="분할_26년02월-style 196" pivot="0" count="2">
      <tableStyleElement type="firstRowStripe" dxfId="1"/>
      <tableStyleElement type="secondRowStripe" dxfId="2"/>
    </tableStyle>
    <tableStyle name="분할_26년02월-style 197" pivot="0" count="2">
      <tableStyleElement type="firstRowStripe" dxfId="1"/>
      <tableStyleElement type="secondRowStripe" dxfId="2"/>
    </tableStyle>
    <tableStyle name="분할_26년02월-style 198" pivot="0" count="2">
      <tableStyleElement type="firstRowStripe" dxfId="2"/>
      <tableStyleElement type="secondRowStripe" dxfId="1"/>
    </tableStyle>
    <tableStyle name="분할_26년02월-style 199" pivot="0" count="2">
      <tableStyleElement type="firstRowStripe" dxfId="1"/>
      <tableStyleElement type="secondRowStripe" dxfId="2"/>
    </tableStyle>
    <tableStyle name="분할_26년02월-style 200" pivot="0" count="2">
      <tableStyleElement type="firstRowStripe" dxfId="2"/>
      <tableStyleElement type="secondRowStripe" dxfId="1"/>
    </tableStyle>
    <tableStyle name="분할_26년02월-style 201" pivot="0" count="2">
      <tableStyleElement type="firstRowStripe" dxfId="1"/>
      <tableStyleElement type="secondRowStripe" dxfId="2"/>
    </tableStyle>
    <tableStyle name="분할_26년02월-style 202" pivot="0" count="2">
      <tableStyleElement type="firstRowStripe" dxfId="1"/>
      <tableStyleElement type="secondRowStripe" dxfId="2"/>
    </tableStyle>
    <tableStyle name="분할_26년02월-style 203" pivot="0" count="2">
      <tableStyleElement type="firstRowStripe" dxfId="1"/>
      <tableStyleElement type="secondRowStripe" dxfId="2"/>
    </tableStyle>
    <tableStyle name="분할_26년02월-style 204" pivot="0" count="2">
      <tableStyleElement type="firstRowStripe" dxfId="1"/>
      <tableStyleElement type="secondRowStripe" dxfId="2"/>
    </tableStyle>
    <tableStyle name="분할_26년02월-style 205" pivot="0" count="2">
      <tableStyleElement type="firstRowStripe" dxfId="2"/>
      <tableStyleElement type="secondRowStripe" dxfId="1"/>
    </tableStyle>
    <tableStyle name="분할_26년02월-style 206" pivot="0" count="2">
      <tableStyleElement type="firstRowStripe" dxfId="1"/>
      <tableStyleElement type="secondRowStripe" dxfId="2"/>
    </tableStyle>
    <tableStyle name="분할_26년02월-style 207" pivot="0" count="2">
      <tableStyleElement type="firstRowStripe" dxfId="1"/>
      <tableStyleElement type="secondRowStripe" dxfId="2"/>
    </tableStyle>
    <tableStyle name="분할_26년02월-style 208" pivot="0" count="2">
      <tableStyleElement type="firstRowStripe" dxfId="2"/>
      <tableStyleElement type="secondRowStripe" dxfId="1"/>
    </tableStyle>
    <tableStyle name="분할_26년02월-style 209" pivot="0" count="2">
      <tableStyleElement type="firstRowStripe" dxfId="1"/>
      <tableStyleElement type="secondRowStripe" dxfId="2"/>
    </tableStyle>
    <tableStyle name="분할_26년02월-style 210" pivot="0" count="2">
      <tableStyleElement type="firstRowStripe" dxfId="2"/>
      <tableStyleElement type="secondRowStripe" dxfId="1"/>
    </tableStyle>
    <tableStyle name="분할_26년02월-style 211" pivot="0" count="2">
      <tableStyleElement type="firstRowStripe" dxfId="2"/>
      <tableStyleElement type="secondRowStripe" dxfId="1"/>
    </tableStyle>
    <tableStyle name="분할_26년02월-style 212" pivot="0" count="2">
      <tableStyleElement type="firstRowStripe" dxfId="1"/>
      <tableStyleElement type="secondRowStripe" dxfId="2"/>
    </tableStyle>
    <tableStyle name="분할_26년02월-style 213" pivot="0" count="2">
      <tableStyleElement type="firstRowStripe" dxfId="1"/>
      <tableStyleElement type="secondRowStripe" dxfId="2"/>
    </tableStyle>
    <tableStyle name="분할_26년02월-style 214" pivot="0" count="2">
      <tableStyleElement type="firstRowStripe" dxfId="1"/>
      <tableStyleElement type="secondRowStripe" dxfId="2"/>
    </tableStyle>
    <tableStyle name="분할_26년02월-style 215" pivot="0" count="2">
      <tableStyleElement type="firstRowStripe" dxfId="1"/>
      <tableStyleElement type="secondRowStripe" dxfId="2"/>
    </tableStyle>
    <tableStyle name="분할_26년02월-style 216" pivot="0" count="2">
      <tableStyleElement type="firstRowStripe" dxfId="1"/>
      <tableStyleElement type="secondRowStripe" dxfId="2"/>
    </tableStyle>
    <tableStyle name="분할_26년02월-style 217" pivot="0" count="2">
      <tableStyleElement type="firstRowStripe" dxfId="1"/>
      <tableStyleElement type="secondRowStripe" dxfId="2"/>
    </tableStyle>
    <tableStyle name="분할_26년02월-style 218" pivot="0" count="2">
      <tableStyleElement type="firstRowStripe" dxfId="1"/>
      <tableStyleElement type="secondRowStripe" dxfId="2"/>
    </tableStyle>
    <tableStyle name="분할_26년02월-style 219" pivot="0" count="2">
      <tableStyleElement type="firstRowStripe" dxfId="2"/>
      <tableStyleElement type="secondRowStripe" dxfId="1"/>
    </tableStyle>
    <tableStyle name="분할_26년02월-style 220" pivot="0" count="2">
      <tableStyleElement type="firstRowStripe" dxfId="1"/>
      <tableStyleElement type="secondRowStripe" dxfId="2"/>
    </tableStyle>
    <tableStyle name="분할_26년02월-style 221" pivot="0" count="2">
      <tableStyleElement type="firstRowStripe" dxfId="2"/>
      <tableStyleElement type="secondRowStripe" dxfId="1"/>
    </tableStyle>
    <tableStyle name="분할_26년02월-style 222" pivot="0" count="2">
      <tableStyleElement type="firstRowStripe" dxfId="1"/>
      <tableStyleElement type="secondRowStripe" dxfId="2"/>
    </tableStyle>
    <tableStyle name="분할_26년02월-style 223" pivot="0" count="2">
      <tableStyleElement type="firstRowStripe" dxfId="2"/>
      <tableStyleElement type="secondRowStripe" dxfId="1"/>
    </tableStyle>
    <tableStyle name="분할_26년02월-style 224" pivot="0" count="2">
      <tableStyleElement type="firstRowStripe" dxfId="2"/>
      <tableStyleElement type="secondRowStripe" dxfId="1"/>
    </tableStyle>
    <tableStyle name="분할_26년02월-style 225" pivot="0" count="2">
      <tableStyleElement type="firstRowStripe" dxfId="1"/>
      <tableStyleElement type="secondRowStripe" dxfId="2"/>
    </tableStyle>
    <tableStyle name="분할_26년02월-style 226" pivot="0" count="2">
      <tableStyleElement type="firstRowStripe" dxfId="1"/>
      <tableStyleElement type="secondRowStripe" dxfId="2"/>
    </tableStyle>
    <tableStyle name="분할_26년02월-style 227" pivot="0" count="2">
      <tableStyleElement type="firstRowStripe" dxfId="1"/>
      <tableStyleElement type="secondRowStripe" dxfId="2"/>
    </tableStyle>
    <tableStyle name="분할_26년02월-style 228" pivot="0" count="2">
      <tableStyleElement type="firstRowStripe" dxfId="2"/>
      <tableStyleElement type="secondRowStripe" dxfId="1"/>
    </tableStyle>
    <tableStyle name="분할_26년02월-style 229" pivot="0" count="2">
      <tableStyleElement type="firstRowStripe" dxfId="2"/>
      <tableStyleElement type="secondRowStripe" dxfId="1"/>
    </tableStyle>
    <tableStyle name="분할_26년02월-style 230" pivot="0" count="2">
      <tableStyleElement type="firstRowStripe" dxfId="2"/>
      <tableStyleElement type="secondRowStripe" dxfId="1"/>
    </tableStyle>
    <tableStyle name="분할_26년02월-style 231" pivot="0" count="2">
      <tableStyleElement type="firstRowStripe" dxfId="1"/>
      <tableStyleElement type="secondRowStripe" dxfId="2"/>
    </tableStyle>
    <tableStyle name="분할_26년02월-style 232" pivot="0" count="2">
      <tableStyleElement type="firstRowStripe" dxfId="2"/>
      <tableStyleElement type="secondRowStripe" dxfId="1"/>
    </tableStyle>
    <tableStyle name="분할_26년02월-style 233" pivot="0" count="2">
      <tableStyleElement type="firstRowStripe" dxfId="1"/>
      <tableStyleElement type="secondRowStripe" dxfId="2"/>
    </tableStyle>
    <tableStyle name="분할_26년02월-style 234" pivot="0" count="2">
      <tableStyleElement type="firstRowStripe" dxfId="2"/>
      <tableStyleElement type="secondRowStripe" dxfId="1"/>
    </tableStyle>
    <tableStyle name="분할_26년02월-style 235" pivot="0" count="2">
      <tableStyleElement type="firstRowStripe" dxfId="2"/>
      <tableStyleElement type="secondRowStripe" dxfId="1"/>
    </tableStyle>
    <tableStyle name="분할_26년02월-style 236" pivot="0" count="2">
      <tableStyleElement type="firstRowStripe" dxfId="2"/>
      <tableStyleElement type="secondRowStripe" dxfId="1"/>
    </tableStyle>
    <tableStyle name="분할_26년02월-style 237" pivot="0" count="2">
      <tableStyleElement type="firstRowStripe" dxfId="2"/>
      <tableStyleElement type="secondRowStripe" dxfId="1"/>
    </tableStyle>
    <tableStyle name="분할_26년02월-style 238" pivot="0" count="2">
      <tableStyleElement type="firstRowStripe" dxfId="2"/>
      <tableStyleElement type="secondRowStripe" dxfId="1"/>
    </tableStyle>
    <tableStyle name="분할_26년02월-style 239" pivot="0" count="2">
      <tableStyleElement type="firstRowStripe" dxfId="2"/>
      <tableStyleElement type="secondRowStripe" dxfId="1"/>
    </tableStyle>
    <tableStyle name="분할_26년02월-style 240" pivot="0" count="2">
      <tableStyleElement type="firstRowStripe" dxfId="2"/>
      <tableStyleElement type="secondRowStripe" dxfId="1"/>
    </tableStyle>
    <tableStyle name="분할_26년02월-style 241" pivot="0" count="2">
      <tableStyleElement type="firstRowStripe" dxfId="1"/>
      <tableStyleElement type="secondRowStripe" dxfId="2"/>
    </tableStyle>
    <tableStyle name="분할_26년02월-style 242" pivot="0" count="2">
      <tableStyleElement type="firstRowStripe" dxfId="2"/>
      <tableStyleElement type="secondRowStripe" dxfId="1"/>
    </tableStyle>
    <tableStyle name="분할_26년02월-style 243" pivot="0" count="2">
      <tableStyleElement type="firstRowStripe" dxfId="1"/>
      <tableStyleElement type="secondRowStripe" dxfId="2"/>
    </tableStyle>
    <tableStyle name="분할_26년02월-style 244" pivot="0" count="2">
      <tableStyleElement type="firstRowStripe" dxfId="1"/>
      <tableStyleElement type="secondRowStripe" dxfId="2"/>
    </tableStyle>
    <tableStyle name="분할_26년02월-style 245" pivot="0" count="2">
      <tableStyleElement type="firstRowStripe" dxfId="1"/>
      <tableStyleElement type="secondRowStripe" dxfId="2"/>
    </tableStyle>
    <tableStyle name="분할_26년02월-style 246" pivot="0" count="2">
      <tableStyleElement type="firstRowStripe" dxfId="2"/>
      <tableStyleElement type="secondRowStripe" dxfId="1"/>
    </tableStyle>
    <tableStyle name="분할_26년02월-style 247" pivot="0" count="2">
      <tableStyleElement type="firstRowStripe" dxfId="1"/>
      <tableStyleElement type="secondRowStripe" dxfId="2"/>
    </tableStyle>
    <tableStyle name="분할_26년02월-style 248" pivot="0" count="2">
      <tableStyleElement type="firstRowStripe" dxfId="2"/>
      <tableStyleElement type="secondRowStripe" dxfId="1"/>
    </tableStyle>
    <tableStyle name="분할_26년02월-style 249" pivot="0" count="2">
      <tableStyleElement type="firstRowStripe" dxfId="2"/>
      <tableStyleElement type="secondRowStripe" dxfId="1"/>
    </tableStyle>
    <tableStyle name="분할_26년02월-style 250" pivot="0" count="2">
      <tableStyleElement type="firstRowStripe" dxfId="1"/>
      <tableStyleElement type="secondRowStripe" dxfId="2"/>
    </tableStyle>
    <tableStyle name="분할_26년02월-style 251" pivot="0" count="2">
      <tableStyleElement type="firstRowStripe" dxfId="2"/>
      <tableStyleElement type="secondRowStripe" dxfId="1"/>
    </tableStyle>
    <tableStyle name="분할_26년02월-style 252" pivot="0" count="2">
      <tableStyleElement type="firstRowStripe" dxfId="2"/>
      <tableStyleElement type="secondRowStripe" dxfId="1"/>
    </tableStyle>
    <tableStyle name="분할_26년02월-style 253" pivot="0" count="2">
      <tableStyleElement type="firstRowStripe" dxfId="1"/>
      <tableStyleElement type="secondRowStripe" dxfId="2"/>
    </tableStyle>
    <tableStyle name="분할_26년02월-style 254" pivot="0" count="2">
      <tableStyleElement type="firstRowStripe" dxfId="2"/>
      <tableStyleElement type="secondRowStripe" dxfId="1"/>
    </tableStyle>
    <tableStyle name="분할_26년02월-style 255" pivot="0" count="2">
      <tableStyleElement type="firstRowStripe" dxfId="2"/>
      <tableStyleElement type="secondRowStripe" dxfId="1"/>
    </tableStyle>
    <tableStyle name="분할_26년02월-style 256" pivot="0" count="2">
      <tableStyleElement type="firstRowStripe" dxfId="2"/>
      <tableStyleElement type="secondRowStripe" dxfId="1"/>
    </tableStyle>
    <tableStyle name="분할_26년02월-style 257" pivot="0" count="2">
      <tableStyleElement type="firstRowStripe" dxfId="2"/>
      <tableStyleElement type="secondRowStripe" dxfId="1"/>
    </tableStyle>
    <tableStyle name="분할_26년02월-style 258" pivot="0" count="2">
      <tableStyleElement type="firstRowStripe" dxfId="2"/>
      <tableStyleElement type="secondRowStripe" dxfId="1"/>
    </tableStyle>
    <tableStyle name="분할_26년02월-style 259" pivot="0" count="2">
      <tableStyleElement type="firstRowStripe" dxfId="1"/>
      <tableStyleElement type="secondRowStripe" dxfId="2"/>
    </tableStyle>
    <tableStyle name="분할_26년02월-style 260" pivot="0" count="2">
      <tableStyleElement type="firstRowStripe" dxfId="2"/>
      <tableStyleElement type="secondRowStripe" dxfId="1"/>
    </tableStyle>
    <tableStyle name="분할_26년02월-style 261" pivot="0" count="2">
      <tableStyleElement type="firstRowStripe" dxfId="2"/>
      <tableStyleElement type="secondRowStripe" dxfId="1"/>
    </tableStyle>
    <tableStyle name="분할_26년02월-style 262" pivot="0" count="2">
      <tableStyleElement type="firstRowStripe" dxfId="1"/>
      <tableStyleElement type="secondRowStripe" dxfId="2"/>
    </tableStyle>
    <tableStyle name="분할_26년02월-style 263" pivot="0" count="2">
      <tableStyleElement type="firstRowStripe" dxfId="1"/>
      <tableStyleElement type="secondRowStripe" dxfId="2"/>
    </tableStyle>
    <tableStyle name="분할_26년02월-style 264" pivot="0" count="2">
      <tableStyleElement type="firstRowStripe" dxfId="1"/>
      <tableStyleElement type="secondRowStripe" dxfId="2"/>
    </tableStyle>
    <tableStyle name="분할_26년02월-style 265" pivot="0" count="2">
      <tableStyleElement type="firstRowStripe" dxfId="2"/>
      <tableStyleElement type="secondRowStripe" dxfId="1"/>
    </tableStyle>
    <tableStyle name="분할_26년02월-style 266" pivot="0" count="2">
      <tableStyleElement type="firstRowStripe" dxfId="2"/>
      <tableStyleElement type="secondRowStripe" dxfId="1"/>
    </tableStyle>
    <tableStyle name="분할_26년02월-style 267" pivot="0" count="2">
      <tableStyleElement type="firstRowStripe" dxfId="1"/>
      <tableStyleElement type="secondRowStripe" dxfId="2"/>
    </tableStyle>
    <tableStyle name="분할_26년02월-style 268" pivot="0" count="2">
      <tableStyleElement type="firstRowStripe" dxfId="2"/>
      <tableStyleElement type="secondRowStripe" dxfId="1"/>
    </tableStyle>
    <tableStyle name="분할_26년02월-style 269" pivot="0" count="2">
      <tableStyleElement type="firstRowStripe" dxfId="2"/>
      <tableStyleElement type="secondRowStripe" dxfId="1"/>
    </tableStyle>
    <tableStyle name="분할_26년02월-style 270" pivot="0" count="2">
      <tableStyleElement type="firstRowStripe" dxfId="2"/>
      <tableStyleElement type="secondRowStripe" dxfId="1"/>
    </tableStyle>
    <tableStyle name="분할_26년02월-style 271" pivot="0" count="2">
      <tableStyleElement type="firstRowStripe" dxfId="2"/>
      <tableStyleElement type="secondRowStripe" dxfId="1"/>
    </tableStyle>
    <tableStyle name="분할_26년02월-style 272" pivot="0" count="2">
      <tableStyleElement type="firstRowStripe" dxfId="2"/>
      <tableStyleElement type="secondRowStripe" dxfId="1"/>
    </tableStyle>
    <tableStyle name="분할_26년02월-style 273" pivot="0" count="2">
      <tableStyleElement type="firstRowStripe" dxfId="1"/>
      <tableStyleElement type="secondRowStripe" dxfId="2"/>
    </tableStyle>
    <tableStyle name="분할_26년02월-style 274" pivot="0" count="2">
      <tableStyleElement type="firstRowStripe" dxfId="1"/>
      <tableStyleElement type="secondRowStripe" dxfId="2"/>
    </tableStyle>
    <tableStyle name="분할_26년02월-style 275" pivot="0" count="2">
      <tableStyleElement type="firstRowStripe" dxfId="2"/>
      <tableStyleElement type="secondRowStripe" dxfId="1"/>
    </tableStyle>
    <tableStyle name="분할_26년02월-style 276" pivot="0" count="2">
      <tableStyleElement type="firstRowStripe" dxfId="1"/>
      <tableStyleElement type="secondRowStripe" dxfId="2"/>
    </tableStyle>
    <tableStyle name="분할_26년02월-style 277" pivot="0" count="2">
      <tableStyleElement type="firstRowStripe" dxfId="2"/>
      <tableStyleElement type="secondRowStripe" dxfId="1"/>
    </tableStyle>
    <tableStyle name="분할_26년02월-style 278" pivot="0" count="2">
      <tableStyleElement type="firstRowStripe" dxfId="2"/>
      <tableStyleElement type="secondRowStripe" dxfId="1"/>
    </tableStyle>
    <tableStyle name="분할_26년02월-style 279" pivot="0" count="2">
      <tableStyleElement type="firstRowStripe" dxfId="2"/>
      <tableStyleElement type="secondRowStripe" dxfId="1"/>
    </tableStyle>
    <tableStyle name="분할_26년02월-style 280" pivot="0" count="2">
      <tableStyleElement type="firstRowStripe" dxfId="1"/>
      <tableStyleElement type="secondRowStripe" dxfId="2"/>
    </tableStyle>
    <tableStyle name="분할_26년02월-style 281" pivot="0" count="2">
      <tableStyleElement type="firstRowStripe" dxfId="2"/>
      <tableStyleElement type="secondRowStripe" dxfId="1"/>
    </tableStyle>
    <tableStyle name="분할_26년02월-style 282" pivot="0" count="2">
      <tableStyleElement type="firstRowStripe" dxfId="1"/>
      <tableStyleElement type="secondRowStripe" dxfId="2"/>
    </tableStyle>
    <tableStyle name="분할_26년02월-style 283" pivot="0" count="2">
      <tableStyleElement type="firstRowStripe" dxfId="2"/>
      <tableStyleElement type="secondRowStripe" dxfId="1"/>
    </tableStyle>
    <tableStyle name="분할_26년02월-style 284" pivot="0" count="2">
      <tableStyleElement type="firstRowStripe" dxfId="2"/>
      <tableStyleElement type="secondRowStripe" dxfId="1"/>
    </tableStyle>
    <tableStyle name="분할_26년02월-style 285" pivot="0" count="2">
      <tableStyleElement type="firstRowStripe" dxfId="2"/>
      <tableStyleElement type="secondRowStripe" dxfId="1"/>
    </tableStyle>
    <tableStyle name="분할_26년02월-style 286" pivot="0" count="2">
      <tableStyleElement type="firstRowStripe" dxfId="1"/>
      <tableStyleElement type="secondRowStripe" dxfId="2"/>
    </tableStyle>
    <tableStyle name="분할_26년02월-style 287" pivot="0" count="2">
      <tableStyleElement type="firstRowStripe" dxfId="1"/>
      <tableStyleElement type="secondRowStripe" dxfId="2"/>
    </tableStyle>
    <tableStyle name="분할_26년02월-style 288" pivot="0" count="2">
      <tableStyleElement type="firstRowStripe" dxfId="1"/>
      <tableStyleElement type="secondRowStripe" dxfId="2"/>
    </tableStyle>
    <tableStyle name="분할_26년02월-style 289" pivot="0" count="2">
      <tableStyleElement type="firstRowStripe" dxfId="2"/>
      <tableStyleElement type="secondRowStripe" dxfId="1"/>
    </tableStyle>
    <tableStyle name="분할_26년02월-style 290" pivot="0" count="2">
      <tableStyleElement type="firstRowStripe" dxfId="2"/>
      <tableStyleElement type="secondRowStripe" dxfId="1"/>
    </tableStyle>
    <tableStyle name="분할_26년02월-style 291" pivot="0" count="2">
      <tableStyleElement type="firstRowStripe" dxfId="2"/>
      <tableStyleElement type="secondRowStripe" dxfId="1"/>
    </tableStyle>
    <tableStyle name="분할_26년02월-style 292" pivot="0" count="2">
      <tableStyleElement type="firstRowStripe" dxfId="1"/>
      <tableStyleElement type="secondRowStripe" dxfId="2"/>
    </tableStyle>
    <tableStyle name="분할_26년02월-style 293" pivot="0" count="2">
      <tableStyleElement type="firstRowStripe" dxfId="1"/>
      <tableStyleElement type="secondRowStripe" dxfId="2"/>
    </tableStyle>
    <tableStyle name="분할_26년02월-style 294" pivot="0" count="2">
      <tableStyleElement type="firstRowStripe" dxfId="1"/>
      <tableStyleElement type="secondRowStripe" dxfId="2"/>
    </tableStyle>
    <tableStyle name="분할_26년02월-style 295" pivot="0" count="2">
      <tableStyleElement type="firstRowStripe" dxfId="2"/>
      <tableStyleElement type="secondRowStripe" dxfId="1"/>
    </tableStyle>
    <tableStyle name="분할_26년02월-style 296" pivot="0" count="2">
      <tableStyleElement type="firstRowStripe" dxfId="2"/>
      <tableStyleElement type="secondRowStripe" dxfId="1"/>
    </tableStyle>
    <tableStyle name="분할_26년02월-style 297" pivot="0" count="2">
      <tableStyleElement type="firstRowStripe" dxfId="1"/>
      <tableStyleElement type="secondRowStripe" dxfId="2"/>
    </tableStyle>
    <tableStyle name="분할_26년02월-style 298" pivot="0" count="2">
      <tableStyleElement type="firstRowStripe" dxfId="2"/>
      <tableStyleElement type="secondRowStripe" dxfId="1"/>
    </tableStyle>
    <tableStyle name="분할_26년02월-style 299" pivot="0" count="2">
      <tableStyleElement type="firstRowStripe" dxfId="1"/>
      <tableStyleElement type="secondRowStripe" dxfId="2"/>
    </tableStyle>
    <tableStyle name="분할_26년02월-style 300" pivot="0" count="2">
      <tableStyleElement type="firstRowStripe" dxfId="1"/>
      <tableStyleElement type="secondRowStripe" dxfId="2"/>
    </tableStyle>
    <tableStyle name="분할_26년02월-style 301" pivot="0" count="2">
      <tableStyleElement type="firstRowStripe" dxfId="1"/>
      <tableStyleElement type="secondRowStripe" dxfId="2"/>
    </tableStyle>
    <tableStyle name="분할_26년02월-style 302" pivot="0" count="2">
      <tableStyleElement type="firstRowStripe" dxfId="1"/>
      <tableStyleElement type="secondRowStripe" dxfId="2"/>
    </tableStyle>
    <tableStyle name="분할_26년02월-style 303" pivot="0" count="2">
      <tableStyleElement type="firstRowStripe" dxfId="2"/>
      <tableStyleElement type="secondRowStripe" dxfId="1"/>
    </tableStyle>
    <tableStyle name="분할_26년02월-style 304" pivot="0" count="2">
      <tableStyleElement type="firstRowStripe" dxfId="1"/>
      <tableStyleElement type="secondRowStripe" dxfId="2"/>
    </tableStyle>
    <tableStyle name="분할_26년02월-style 305" pivot="0" count="2">
      <tableStyleElement type="firstRowStripe" dxfId="1"/>
      <tableStyleElement type="secondRowStripe" dxfId="2"/>
    </tableStyle>
    <tableStyle name="분할_26년02월-style 306" pivot="0" count="2">
      <tableStyleElement type="firstRowStripe" dxfId="2"/>
      <tableStyleElement type="secondRowStripe" dxfId="1"/>
    </tableStyle>
    <tableStyle name="분할_26년02월-style 307" pivot="0" count="2">
      <tableStyleElement type="firstRowStripe" dxfId="2"/>
      <tableStyleElement type="secondRowStripe" dxfId="1"/>
    </tableStyle>
    <tableStyle name="분할_26년02월-style 308" pivot="0" count="2">
      <tableStyleElement type="firstRowStripe" dxfId="2"/>
      <tableStyleElement type="secondRowStripe" dxfId="1"/>
    </tableStyle>
    <tableStyle name="분할_26년02월-style 309" pivot="0" count="2">
      <tableStyleElement type="firstRowStripe" dxfId="2"/>
      <tableStyleElement type="secondRowStripe" dxfId="1"/>
    </tableStyle>
    <tableStyle name="분할_26년02월-style 310" pivot="0" count="2">
      <tableStyleElement type="firstRowStripe" dxfId="1"/>
      <tableStyleElement type="secondRowStripe" dxfId="2"/>
    </tableStyle>
    <tableStyle name="분할_26년02월-style 311" pivot="0" count="2">
      <tableStyleElement type="firstRowStripe" dxfId="2"/>
      <tableStyleElement type="secondRowStripe" dxfId="1"/>
    </tableStyle>
    <tableStyle name="분할_26년02월-style 312" pivot="0" count="2">
      <tableStyleElement type="firstRowStripe" dxfId="2"/>
      <tableStyleElement type="secondRowStripe" dxfId="1"/>
    </tableStyle>
    <tableStyle name="분할_26년02월-style 313" pivot="0" count="2">
      <tableStyleElement type="firstRowStripe" dxfId="2"/>
      <tableStyleElement type="secondRowStripe" dxfId="1"/>
    </tableStyle>
    <tableStyle name="분할_26년02월-style 314" pivot="0" count="2">
      <tableStyleElement type="firstRowStripe" dxfId="1"/>
      <tableStyleElement type="secondRowStripe" dxfId="2"/>
    </tableStyle>
    <tableStyle name="분할_26년02월-style 315" pivot="0" count="2">
      <tableStyleElement type="firstRowStripe" dxfId="1"/>
      <tableStyleElement type="secondRowStripe" dxfId="2"/>
    </tableStyle>
    <tableStyle name="분할_26년02월-style 316" pivot="0" count="2">
      <tableStyleElement type="firstRowStripe" dxfId="2"/>
      <tableStyleElement type="secondRowStripe" dxfId="1"/>
    </tableStyle>
    <tableStyle name="분할_26년02월-style 317" pivot="0" count="2">
      <tableStyleElement type="firstRowStripe" dxfId="1"/>
      <tableStyleElement type="secondRowStripe" dxfId="2"/>
    </tableStyle>
    <tableStyle name="분할_26년02월-style 318" pivot="0" count="2">
      <tableStyleElement type="firstRowStripe" dxfId="1"/>
      <tableStyleElement type="secondRowStripe" dxfId="2"/>
    </tableStyle>
    <tableStyle name="분할_26년02월-style 319" pivot="0" count="2">
      <tableStyleElement type="firstRowStripe" dxfId="2"/>
      <tableStyleElement type="secondRowStripe" dxfId="1"/>
    </tableStyle>
    <tableStyle name="분할_26년02월-style 320" pivot="0" count="2">
      <tableStyleElement type="firstRowStripe" dxfId="1"/>
      <tableStyleElement type="secondRowStripe" dxfId="2"/>
    </tableStyle>
    <tableStyle name="분할_26년02월-style 321" pivot="0" count="2">
      <tableStyleElement type="firstRowStripe" dxfId="1"/>
      <tableStyleElement type="secondRowStripe" dxfId="2"/>
    </tableStyle>
    <tableStyle name="분할_26년02월-style 322" pivot="0" count="2">
      <tableStyleElement type="firstRowStripe" dxfId="1"/>
      <tableStyleElement type="secondRowStripe" dxfId="2"/>
    </tableStyle>
    <tableStyle name="분할_26년02월-style 323" pivot="0" count="2">
      <tableStyleElement type="firstRowStripe" dxfId="1"/>
      <tableStyleElement type="secondRowStripe" dxfId="2"/>
    </tableStyle>
    <tableStyle name="분할_26년02월-style 324" pivot="0" count="2">
      <tableStyleElement type="firstRowStripe" dxfId="1"/>
      <tableStyleElement type="secondRowStripe" dxfId="2"/>
    </tableStyle>
    <tableStyle name="분할_26년02월-style 325" pivot="0" count="2">
      <tableStyleElement type="firstRowStripe" dxfId="2"/>
      <tableStyleElement type="secondRowStripe" dxfId="1"/>
    </tableStyle>
    <tableStyle name="분할_26년02월-style 326" pivot="0" count="2">
      <tableStyleElement type="firstRowStripe" dxfId="2"/>
      <tableStyleElement type="secondRowStripe" dxfId="1"/>
    </tableStyle>
    <tableStyle name="분할_26년02월-style 327" pivot="0" count="2">
      <tableStyleElement type="firstRowStripe" dxfId="2"/>
      <tableStyleElement type="secondRowStripe" dxfId="1"/>
    </tableStyle>
    <tableStyle name="분할_26년02월-style 328" pivot="0" count="2">
      <tableStyleElement type="firstRowStripe" dxfId="2"/>
      <tableStyleElement type="secondRowStripe" dxfId="1"/>
    </tableStyle>
    <tableStyle name="분할_26년02월-style 329" pivot="0" count="2">
      <tableStyleElement type="firstRowStripe" dxfId="1"/>
      <tableStyleElement type="secondRowStripe" dxfId="2"/>
    </tableStyle>
    <tableStyle name="분할_26년02월-style 330" pivot="0" count="2">
      <tableStyleElement type="firstRowStripe" dxfId="2"/>
      <tableStyleElement type="secondRowStripe" dxfId="1"/>
    </tableStyle>
    <tableStyle name="분할_26년02월-style 331" pivot="0" count="2">
      <tableStyleElement type="firstRowStripe" dxfId="2"/>
      <tableStyleElement type="secondRowStripe" dxfId="1"/>
    </tableStyle>
    <tableStyle name="분할_26년02월-style 332" pivot="0" count="2">
      <tableStyleElement type="firstRowStripe" dxfId="1"/>
      <tableStyleElement type="secondRowStripe" dxfId="2"/>
    </tableStyle>
    <tableStyle name="분할_26년02월-style 333" pivot="0" count="2">
      <tableStyleElement type="firstRowStripe" dxfId="2"/>
      <tableStyleElement type="secondRowStripe" dxfId="1"/>
    </tableStyle>
    <tableStyle name="분할_26년02월-style 334" pivot="0" count="2">
      <tableStyleElement type="firstRowStripe" dxfId="2"/>
      <tableStyleElement type="secondRowStripe" dxfId="1"/>
    </tableStyle>
    <tableStyle name="분할_26년02월-style 335" pivot="0" count="2">
      <tableStyleElement type="firstRowStripe" dxfId="1"/>
      <tableStyleElement type="secondRowStripe" dxfId="2"/>
    </tableStyle>
    <tableStyle name="분할_26년02월-style 336" pivot="0" count="2">
      <tableStyleElement type="firstRowStripe" dxfId="2"/>
      <tableStyleElement type="secondRowStripe" dxfId="1"/>
    </tableStyle>
    <tableStyle name="분할_26년02월-style 337" pivot="0" count="2">
      <tableStyleElement type="firstRowStripe" dxfId="1"/>
      <tableStyleElement type="secondRowStripe" dxfId="2"/>
    </tableStyle>
    <tableStyle name="분할_26년02월-style 338" pivot="0" count="2">
      <tableStyleElement type="firstRowStripe" dxfId="1"/>
      <tableStyleElement type="secondRowStripe" dxfId="2"/>
    </tableStyle>
    <tableStyle name="분할_26년02월-style 339" pivot="0" count="2">
      <tableStyleElement type="firstRowStripe" dxfId="1"/>
      <tableStyleElement type="secondRowStripe" dxfId="2"/>
    </tableStyle>
    <tableStyle name="분할_26년02월-style 340" pivot="0" count="2">
      <tableStyleElement type="firstRowStripe" dxfId="2"/>
      <tableStyleElement type="secondRowStripe" dxfId="1"/>
    </tableStyle>
    <tableStyle name="분할_26년02월-style 341" pivot="0" count="2">
      <tableStyleElement type="firstRowStripe" dxfId="1"/>
      <tableStyleElement type="secondRowStripe" dxfId="2"/>
    </tableStyle>
    <tableStyle name="분할_26년02월-style 342" pivot="0" count="2">
      <tableStyleElement type="firstRowStripe" dxfId="2"/>
      <tableStyleElement type="secondRowStripe" dxfId="1"/>
    </tableStyle>
    <tableStyle name="분할_26년02월-style 343" pivot="0" count="2">
      <tableStyleElement type="firstRowStripe" dxfId="2"/>
      <tableStyleElement type="secondRowStripe" dxfId="1"/>
    </tableStyle>
    <tableStyle name="분할_26년02월-style 344" pivot="0" count="2">
      <tableStyleElement type="firstRowStripe" dxfId="2"/>
      <tableStyleElement type="secondRowStripe" dxfId="1"/>
    </tableStyle>
    <tableStyle name="분할_26년02월-style 345" pivot="0" count="2">
      <tableStyleElement type="firstRowStripe" dxfId="2"/>
      <tableStyleElement type="secondRowStripe" dxfId="1"/>
    </tableStyle>
    <tableStyle name="분할_26년02월-style 346" pivot="0" count="2">
      <tableStyleElement type="firstRowStripe" dxfId="2"/>
      <tableStyleElement type="secondRowStripe" dxfId="1"/>
    </tableStyle>
    <tableStyle name="분할_26년02월-style 347" pivot="0" count="2">
      <tableStyleElement type="firstRowStripe" dxfId="1"/>
      <tableStyleElement type="secondRowStripe" dxfId="2"/>
    </tableStyle>
    <tableStyle name="분할_26년02월-style 348" pivot="0" count="2">
      <tableStyleElement type="firstRowStripe" dxfId="1"/>
      <tableStyleElement type="secondRowStripe" dxfId="2"/>
    </tableStyle>
    <tableStyle name="분할_26년02월-style 349" pivot="0" count="2">
      <tableStyleElement type="firstRowStripe" dxfId="2"/>
      <tableStyleElement type="secondRowStripe" dxfId="1"/>
    </tableStyle>
    <tableStyle name="분할_26년02월-style 350" pivot="0" count="2">
      <tableStyleElement type="firstRowStripe" dxfId="1"/>
      <tableStyleElement type="secondRowStripe" dxfId="2"/>
    </tableStyle>
    <tableStyle name="분할_26년02월-style 351" pivot="0" count="2">
      <tableStyleElement type="firstRowStripe" dxfId="1"/>
      <tableStyleElement type="secondRowStripe" dxfId="2"/>
    </tableStyle>
    <tableStyle name="분할_26년02월-style 352" pivot="0" count="2">
      <tableStyleElement type="firstRowStripe" dxfId="2"/>
      <tableStyleElement type="secondRowStripe" dxfId="1"/>
    </tableStyle>
    <tableStyle name="분할_26년02월-style 353" pivot="0" count="2">
      <tableStyleElement type="firstRowStripe" dxfId="1"/>
      <tableStyleElement type="secondRowStripe" dxfId="2"/>
    </tableStyle>
    <tableStyle name="분할_26년02월-style 354" pivot="0" count="2">
      <tableStyleElement type="firstRowStripe" dxfId="1"/>
      <tableStyleElement type="secondRowStripe" dxfId="2"/>
    </tableStyle>
    <tableStyle name="분할_26년02월-style 355" pivot="0" count="2">
      <tableStyleElement type="firstRowStripe" dxfId="1"/>
      <tableStyleElement type="secondRowStripe" dxfId="2"/>
    </tableStyle>
    <tableStyle name="분할_26년02월-style 356" pivot="0" count="2">
      <tableStyleElement type="firstRowStripe" dxfId="1"/>
      <tableStyleElement type="secondRowStripe" dxfId="2"/>
    </tableStyle>
    <tableStyle name="분할_26년02월-style 357" pivot="0" count="2">
      <tableStyleElement type="firstRowStripe" dxfId="1"/>
      <tableStyleElement type="secondRowStripe" dxfId="2"/>
    </tableStyle>
    <tableStyle name="분할_26년02월-style 358" pivot="0" count="2">
      <tableStyleElement type="firstRowStripe" dxfId="2"/>
      <tableStyleElement type="secondRowStripe" dxfId="1"/>
    </tableStyle>
    <tableStyle name="분할_26년02월-style 359" pivot="0" count="2">
      <tableStyleElement type="firstRowStripe" dxfId="1"/>
      <tableStyleElement type="secondRowStripe" dxfId="2"/>
    </tableStyle>
    <tableStyle name="분할_26년02월-style 360" pivot="0" count="2">
      <tableStyleElement type="firstRowStripe" dxfId="2"/>
      <tableStyleElement type="secondRowStripe" dxfId="1"/>
    </tableStyle>
    <tableStyle name="분할_26년02월-style 361" pivot="0" count="2">
      <tableStyleElement type="firstRowStripe" dxfId="1"/>
      <tableStyleElement type="secondRowStripe" dxfId="2"/>
    </tableStyle>
    <tableStyle name="분할_26년02월-style 362" pivot="0" count="2">
      <tableStyleElement type="firstRowStripe" dxfId="1"/>
      <tableStyleElement type="secondRowStripe" dxfId="2"/>
    </tableStyle>
    <tableStyle name="분할_26년02월-style 363" pivot="0" count="2">
      <tableStyleElement type="firstRowStripe" dxfId="1"/>
      <tableStyleElement type="secondRowStripe" dxfId="2"/>
    </tableStyle>
    <tableStyle name="분할_26년02월-style 364" pivot="0" count="2">
      <tableStyleElement type="firstRowStripe" dxfId="2"/>
      <tableStyleElement type="secondRowStripe" dxfId="1"/>
    </tableStyle>
    <tableStyle name="분할_26년02월-style 365" pivot="0" count="2">
      <tableStyleElement type="firstRowStripe" dxfId="2"/>
      <tableStyleElement type="secondRowStripe" dxfId="1"/>
    </tableStyle>
    <tableStyle name="분할_26년02월-style 366" pivot="0" count="2">
      <tableStyleElement type="firstRowStripe" dxfId="1"/>
      <tableStyleElement type="secondRowStripe" dxfId="2"/>
    </tableStyle>
    <tableStyle name="분할_26년02월-style 367" pivot="0" count="2">
      <tableStyleElement type="firstRowStripe" dxfId="1"/>
      <tableStyleElement type="secondRowStripe" dxfId="2"/>
    </tableStyle>
    <tableStyle name="분할_26년02월-style 368" pivot="0" count="2">
      <tableStyleElement type="firstRowStripe" dxfId="1"/>
      <tableStyleElement type="secondRowStripe" dxfId="2"/>
    </tableStyle>
    <tableStyle name="분할_26년02월-style 369" pivot="0" count="2">
      <tableStyleElement type="firstRowStripe" dxfId="1"/>
      <tableStyleElement type="secondRowStripe" dxfId="2"/>
    </tableStyle>
    <tableStyle name="분할_26년02월-style 370" pivot="0" count="2">
      <tableStyleElement type="firstRowStripe" dxfId="2"/>
      <tableStyleElement type="secondRowStripe" dxfId="1"/>
    </tableStyle>
    <tableStyle name="분할_26년02월-style 371" pivot="0" count="2">
      <tableStyleElement type="firstRowStripe" dxfId="2"/>
      <tableStyleElement type="secondRowStripe" dxfId="1"/>
    </tableStyle>
    <tableStyle name="분할_26년02월-style 372" pivot="0" count="2">
      <tableStyleElement type="firstRowStripe" dxfId="2"/>
      <tableStyleElement type="secondRowStripe" dxfId="1"/>
    </tableStyle>
    <tableStyle name="분할_26년02월-style 373" pivot="0" count="2">
      <tableStyleElement type="firstRowStripe" dxfId="1"/>
      <tableStyleElement type="secondRowStripe" dxfId="2"/>
    </tableStyle>
    <tableStyle name="분할_26년02월-style 374" pivot="0" count="2">
      <tableStyleElement type="firstRowStripe" dxfId="2"/>
      <tableStyleElement type="secondRowStripe" dxfId="1"/>
    </tableStyle>
    <tableStyle name="분할_26년02월-style 375" pivot="0" count="2">
      <tableStyleElement type="firstRowStripe" dxfId="2"/>
      <tableStyleElement type="secondRowStripe" dxfId="1"/>
    </tableStyle>
    <tableStyle name="분할_26년02월-style 376" pivot="0" count="2">
      <tableStyleElement type="firstRowStripe" dxfId="2"/>
      <tableStyleElement type="secondRowStripe" dxfId="1"/>
    </tableStyle>
    <tableStyle name="분할_26년02월-style 377" pivot="0" count="2">
      <tableStyleElement type="firstRowStripe" dxfId="2"/>
      <tableStyleElement type="secondRowStripe" dxfId="1"/>
    </tableStyle>
    <tableStyle name="분할_26년02월-style 378" pivot="0" count="2">
      <tableStyleElement type="firstRowStripe" dxfId="2"/>
      <tableStyleElement type="secondRowStripe" dxfId="1"/>
    </tableStyle>
    <tableStyle name="분할_26년02월-style 379" pivot="0" count="2">
      <tableStyleElement type="firstRowStripe" dxfId="2"/>
      <tableStyleElement type="secondRowStripe" dxfId="1"/>
    </tableStyle>
    <tableStyle name="분할_26년02월-style 380" pivot="0" count="2">
      <tableStyleElement type="firstRowStripe" dxfId="2"/>
      <tableStyleElement type="secondRowStripe" dxfId="1"/>
    </tableStyle>
    <tableStyle name="분할_26년02월-style 381" pivot="0" count="2">
      <tableStyleElement type="firstRowStripe" dxfId="1"/>
      <tableStyleElement type="secondRowStripe" dxfId="2"/>
    </tableStyle>
    <tableStyle name="분할_26년02월-style 382" pivot="0" count="2">
      <tableStyleElement type="firstRowStripe" dxfId="2"/>
      <tableStyleElement type="secondRowStripe" dxfId="1"/>
    </tableStyle>
    <tableStyle name="분할_26년02월-style 383" pivot="0" count="2">
      <tableStyleElement type="firstRowStripe" dxfId="1"/>
      <tableStyleElement type="secondRowStripe" dxfId="2"/>
    </tableStyle>
    <tableStyle name="분할_26년02월-style 384" pivot="0" count="2">
      <tableStyleElement type="firstRowStripe" dxfId="1"/>
      <tableStyleElement type="secondRowStripe" dxfId="2"/>
    </tableStyle>
    <tableStyle name="분할_26년02월-style 385" pivot="0" count="2">
      <tableStyleElement type="firstRowStripe" dxfId="2"/>
      <tableStyleElement type="secondRowStripe" dxfId="1"/>
    </tableStyle>
    <tableStyle name="분할_26년02월-style 386" pivot="0" count="2">
      <tableStyleElement type="firstRowStripe" dxfId="1"/>
      <tableStyleElement type="secondRowStripe" dxfId="2"/>
    </tableStyle>
    <tableStyle name="분할_26년02월-style 387" pivot="0" count="2">
      <tableStyleElement type="firstRowStripe" dxfId="2"/>
      <tableStyleElement type="secondRowStripe" dxfId="1"/>
    </tableStyle>
    <tableStyle name="분할_26년02월-style 388" pivot="0" count="2">
      <tableStyleElement type="firstRowStripe" dxfId="2"/>
      <tableStyleElement type="secondRowStripe" dxfId="1"/>
    </tableStyle>
    <tableStyle name="분할_26년02월-style 389" pivot="0" count="2">
      <tableStyleElement type="firstRowStripe" dxfId="1"/>
      <tableStyleElement type="secondRowStripe" dxfId="2"/>
    </tableStyle>
    <tableStyle name="분할_26년02월-style 390" pivot="0" count="2">
      <tableStyleElement type="firstRowStripe" dxfId="1"/>
      <tableStyleElement type="secondRowStripe" dxfId="2"/>
    </tableStyle>
    <tableStyle name="분할_26년02월-style 391" pivot="0" count="2">
      <tableStyleElement type="firstRowStripe" dxfId="1"/>
      <tableStyleElement type="secondRowStripe" dxfId="2"/>
    </tableStyle>
    <tableStyle name="분할_26년02월-style 392" pivot="0" count="2">
      <tableStyleElement type="firstRowStripe" dxfId="2"/>
      <tableStyleElement type="secondRowStripe" dxfId="1"/>
    </tableStyle>
    <tableStyle name="분할_26년02월-style 393" pivot="0" count="2">
      <tableStyleElement type="firstRowStripe" dxfId="2"/>
      <tableStyleElement type="secondRowStripe" dxfId="1"/>
    </tableStyle>
    <tableStyle name="분할_26년02월-style 394" pivot="0" count="2">
      <tableStyleElement type="firstRowStripe" dxfId="2"/>
      <tableStyleElement type="secondRowStripe" dxfId="1"/>
    </tableStyle>
    <tableStyle name="분할_26년02월-style 395" pivot="0" count="2">
      <tableStyleElement type="firstRowStripe" dxfId="1"/>
      <tableStyleElement type="secondRowStripe" dxfId="2"/>
    </tableStyle>
    <tableStyle name="분할_26년02월-style 396" pivot="0" count="2">
      <tableStyleElement type="firstRowStripe" dxfId="2"/>
      <tableStyleElement type="secondRowStripe" dxfId="1"/>
    </tableStyle>
    <tableStyle name="분할_26년02월-style 397" pivot="0" count="2">
      <tableStyleElement type="firstRowStripe" dxfId="2"/>
      <tableStyleElement type="secondRowStripe" dxfId="1"/>
    </tableStyle>
    <tableStyle name="분할_26년02월-style 398" pivot="0" count="2">
      <tableStyleElement type="firstRowStripe" dxfId="2"/>
      <tableStyleElement type="secondRowStripe" dxfId="1"/>
    </tableStyle>
    <tableStyle name="분할_26년02월-style 399" pivot="0" count="2">
      <tableStyleElement type="firstRowStripe" dxfId="1"/>
      <tableStyleElement type="secondRowStripe" dxfId="2"/>
    </tableStyle>
    <tableStyle name="분할_26년02월-style 400" pivot="0" count="2">
      <tableStyleElement type="firstRowStripe" dxfId="1"/>
      <tableStyleElement type="secondRowStripe" dxfId="2"/>
    </tableStyle>
    <tableStyle name="분할_26년02월-style 401" pivot="0" count="2">
      <tableStyleElement type="firstRowStripe" dxfId="2"/>
      <tableStyleElement type="secondRowStripe" dxfId="1"/>
    </tableStyle>
    <tableStyle name="분할_26년02월-style 402" pivot="0" count="2">
      <tableStyleElement type="firstRowStripe" dxfId="1"/>
      <tableStyleElement type="secondRowStripe" dxfId="2"/>
    </tableStyle>
    <tableStyle name="분할_26년02월-style 403" pivot="0" count="2">
      <tableStyleElement type="firstRowStripe" dxfId="2"/>
      <tableStyleElement type="secondRowStripe" dxfId="1"/>
    </tableStyle>
    <tableStyle name="분할_26년02월-style 404" pivot="0" count="2">
      <tableStyleElement type="firstRowStripe" dxfId="1"/>
      <tableStyleElement type="secondRowStripe" dxfId="2"/>
    </tableStyle>
    <tableStyle name="분할_26년02월-style 405" pivot="0" count="2">
      <tableStyleElement type="firstRowStripe" dxfId="2"/>
      <tableStyleElement type="secondRowStripe" dxfId="1"/>
    </tableStyle>
    <tableStyle name="분할_26년02월-style 406" pivot="0" count="2">
      <tableStyleElement type="firstRowStripe" dxfId="2"/>
      <tableStyleElement type="secondRowStripe" dxfId="1"/>
    </tableStyle>
    <tableStyle name="분할_26년02월-style 407" pivot="0" count="2">
      <tableStyleElement type="firstRowStripe" dxfId="1"/>
      <tableStyleElement type="secondRowStripe" dxfId="2"/>
    </tableStyle>
    <tableStyle name="분할_26년02월-style 408" pivot="0" count="2">
      <tableStyleElement type="firstRowStripe" dxfId="2"/>
      <tableStyleElement type="secondRowStripe" dxfId="1"/>
    </tableStyle>
    <tableStyle name="분할_26년02월-style 409" pivot="0" count="2">
      <tableStyleElement type="firstRowStripe" dxfId="2"/>
      <tableStyleElement type="secondRowStripe" dxfId="1"/>
    </tableStyle>
    <tableStyle name="분할_26년02월-style 410" pivot="0" count="2">
      <tableStyleElement type="firstRowStripe" dxfId="2"/>
      <tableStyleElement type="secondRowStripe" dxfId="1"/>
    </tableStyle>
    <tableStyle name="분할_26년02월-style 411" pivot="0" count="2">
      <tableStyleElement type="firstRowStripe" dxfId="2"/>
      <tableStyleElement type="secondRowStripe" dxfId="1"/>
    </tableStyle>
    <tableStyle name="분할_26년02월-style 412" pivot="0" count="2">
      <tableStyleElement type="firstRowStripe" dxfId="1"/>
      <tableStyleElement type="secondRowStripe" dxfId="2"/>
    </tableStyle>
    <tableStyle name="분할_26년02월-style 413" pivot="0" count="2">
      <tableStyleElement type="firstRowStripe" dxfId="1"/>
      <tableStyleElement type="secondRowStripe" dxfId="2"/>
    </tableStyle>
    <tableStyle name="분할_26년02월-style 414" pivot="0" count="2">
      <tableStyleElement type="firstRowStripe" dxfId="1"/>
      <tableStyleElement type="secondRowStripe" dxfId="2"/>
    </tableStyle>
    <tableStyle name="분할_26년02월-style 415" pivot="0" count="2">
      <tableStyleElement type="firstRowStripe" dxfId="1"/>
      <tableStyleElement type="secondRowStripe" dxfId="2"/>
    </tableStyle>
    <tableStyle name="분할_26년02월-style 416" pivot="0" count="2">
      <tableStyleElement type="firstRowStripe" dxfId="1"/>
      <tableStyleElement type="secondRowStripe" dxfId="2"/>
    </tableStyle>
    <tableStyle name="분할_26년02월-style 417" pivot="0" count="2">
      <tableStyleElement type="firstRowStripe" dxfId="1"/>
      <tableStyleElement type="secondRowStripe" dxfId="2"/>
    </tableStyle>
    <tableStyle name="분할_26년02월-style 418" pivot="0" count="2">
      <tableStyleElement type="firstRowStripe" dxfId="1"/>
      <tableStyleElement type="secondRowStripe" dxfId="2"/>
    </tableStyle>
    <tableStyle name="분할_26년02월-style 419" pivot="0" count="2">
      <tableStyleElement type="firstRowStripe" dxfId="1"/>
      <tableStyleElement type="secondRowStripe" dxfId="2"/>
    </tableStyle>
    <tableStyle name="분할_26년02월-style 420" pivot="0" count="2">
      <tableStyleElement type="firstRowStripe" dxfId="1"/>
      <tableStyleElement type="secondRowStripe" dxfId="2"/>
    </tableStyle>
    <tableStyle name="분할_26년02월-style 421" pivot="0" count="2">
      <tableStyleElement type="firstRowStripe" dxfId="1"/>
      <tableStyleElement type="secondRowStripe" dxfId="2"/>
    </tableStyle>
    <tableStyle name="분할_26년02월-style 422" pivot="0" count="2">
      <tableStyleElement type="firstRowStripe" dxfId="1"/>
      <tableStyleElement type="secondRowStripe" dxfId="2"/>
    </tableStyle>
    <tableStyle name="분할_26년02월-style 423" pivot="0" count="2">
      <tableStyleElement type="firstRowStripe" dxfId="1"/>
      <tableStyleElement type="secondRowStripe" dxfId="2"/>
    </tableStyle>
    <tableStyle name="분할_26년02월-style 424" pivot="0" count="2">
      <tableStyleElement type="firstRowStripe" dxfId="2"/>
      <tableStyleElement type="secondRowStripe" dxfId="1"/>
    </tableStyle>
    <tableStyle name="분할_26년02월-style 425" pivot="0" count="2">
      <tableStyleElement type="firstRowStripe" dxfId="1"/>
      <tableStyleElement type="secondRowStripe" dxfId="2"/>
    </tableStyle>
    <tableStyle name="분할_26년02월-style 426" pivot="0" count="2">
      <tableStyleElement type="firstRowStripe" dxfId="2"/>
      <tableStyleElement type="secondRowStripe" dxfId="1"/>
    </tableStyle>
    <tableStyle name="분할_26년02월-style 427" pivot="0" count="2">
      <tableStyleElement type="firstRowStripe" dxfId="1"/>
      <tableStyleElement type="secondRowStripe" dxfId="2"/>
    </tableStyle>
    <tableStyle name="분할_26년02월-style 428" pivot="0" count="2">
      <tableStyleElement type="firstRowStripe" dxfId="2"/>
      <tableStyleElement type="secondRowStripe" dxfId="1"/>
    </tableStyle>
    <tableStyle name="분할_26년02월-style 429" pivot="0" count="2">
      <tableStyleElement type="firstRowStripe" dxfId="2"/>
      <tableStyleElement type="secondRowStripe" dxfId="1"/>
    </tableStyle>
    <tableStyle name="분할_26년02월-style 430" pivot="0" count="2">
      <tableStyleElement type="firstRowStripe" dxfId="1"/>
      <tableStyleElement type="secondRowStripe" dxfId="2"/>
    </tableStyle>
    <tableStyle name="분할_26년02월-style 431" pivot="0" count="2">
      <tableStyleElement type="firstRowStripe" dxfId="2"/>
      <tableStyleElement type="secondRowStripe" dxfId="1"/>
    </tableStyle>
    <tableStyle name="분할_26년02월-style 432" pivot="0" count="2">
      <tableStyleElement type="firstRowStripe" dxfId="1"/>
      <tableStyleElement type="secondRowStripe" dxfId="2"/>
    </tableStyle>
    <tableStyle name="분할_26년02월-style 433" pivot="0" count="2">
      <tableStyleElement type="firstRowStripe" dxfId="2"/>
      <tableStyleElement type="secondRowStripe" dxfId="1"/>
    </tableStyle>
    <tableStyle name="분할_26년02월-style 434" pivot="0" count="2">
      <tableStyleElement type="firstRowStripe" dxfId="2"/>
      <tableStyleElement type="secondRowStripe" dxfId="1"/>
    </tableStyle>
    <tableStyle name="분할_26년02월-style 435" pivot="0" count="2">
      <tableStyleElement type="firstRowStripe" dxfId="1"/>
      <tableStyleElement type="secondRowStripe" dxfId="2"/>
    </tableStyle>
    <tableStyle name="분할_26년02월-style 436" pivot="0" count="2">
      <tableStyleElement type="firstRowStripe" dxfId="1"/>
      <tableStyleElement type="secondRowStripe" dxfId="2"/>
    </tableStyle>
    <tableStyle name="분할_26년02월-style 437" pivot="0" count="2">
      <tableStyleElement type="firstRowStripe" dxfId="2"/>
      <tableStyleElement type="secondRowStripe" dxfId="1"/>
    </tableStyle>
    <tableStyle name="분할_26년02월-style 438" pivot="0" count="2">
      <tableStyleElement type="firstRowStripe" dxfId="1"/>
      <tableStyleElement type="secondRowStripe" dxfId="2"/>
    </tableStyle>
    <tableStyle name="분할_26년02월-style 439" pivot="0" count="2">
      <tableStyleElement type="firstRowStripe" dxfId="1"/>
      <tableStyleElement type="secondRowStripe" dxfId="2"/>
    </tableStyle>
    <tableStyle name="분할_26년02월-style 440" pivot="0" count="2">
      <tableStyleElement type="firstRowStripe" dxfId="1"/>
      <tableStyleElement type="secondRowStripe" dxfId="2"/>
    </tableStyle>
    <tableStyle name="분할_26년02월-style 441" pivot="0" count="2">
      <tableStyleElement type="firstRowStripe" dxfId="2"/>
      <tableStyleElement type="secondRowStripe" dxfId="1"/>
    </tableStyle>
    <tableStyle name="분할_26년02월-style 442" pivot="0" count="2">
      <tableStyleElement type="firstRowStripe" dxfId="1"/>
      <tableStyleElement type="secondRowStripe" dxfId="2"/>
    </tableStyle>
    <tableStyle name="분할_26년02월-style 443" pivot="0" count="2">
      <tableStyleElement type="firstRowStripe" dxfId="1"/>
      <tableStyleElement type="secondRowStripe" dxfId="2"/>
    </tableStyle>
    <tableStyle name="분할_26년02월-style 444" pivot="0" count="2">
      <tableStyleElement type="firstRowStripe" dxfId="1"/>
      <tableStyleElement type="secondRowStripe" dxfId="2"/>
    </tableStyle>
    <tableStyle name="분할_26년02월-style 445" pivot="0" count="2">
      <tableStyleElement type="firstRowStripe" dxfId="1"/>
      <tableStyleElement type="secondRowStripe" dxfId="2"/>
    </tableStyle>
    <tableStyle name="분할_26년02월-style 446" pivot="0" count="2">
      <tableStyleElement type="firstRowStripe" dxfId="1"/>
      <tableStyleElement type="secondRowStripe" dxfId="2"/>
    </tableStyle>
    <tableStyle name="분할_26년02월-style 447" pivot="0" count="2">
      <tableStyleElement type="firstRowStripe" dxfId="1"/>
      <tableStyleElement type="secondRowStripe" dxfId="2"/>
    </tableStyle>
    <tableStyle name="분할_26년02월-style 448" pivot="0" count="2">
      <tableStyleElement type="firstRowStripe" dxfId="2"/>
      <tableStyleElement type="secondRowStripe" dxfId="1"/>
    </tableStyle>
    <tableStyle name="분할_26년02월-style 449" pivot="0" count="2">
      <tableStyleElement type="firstRowStripe" dxfId="2"/>
      <tableStyleElement type="secondRowStripe" dxfId="1"/>
    </tableStyle>
    <tableStyle name="분할_26년02월-style 450" pivot="0" count="2">
      <tableStyleElement type="firstRowStripe" dxfId="2"/>
      <tableStyleElement type="secondRowStripe" dxfId="1"/>
    </tableStyle>
    <tableStyle name="분할_26년02월-style 451" pivot="0" count="2">
      <tableStyleElement type="firstRowStripe" dxfId="1"/>
      <tableStyleElement type="secondRowStripe" dxfId="2"/>
    </tableStyle>
    <tableStyle name="분할_26년02월-style 452" pivot="0" count="2">
      <tableStyleElement type="firstRowStripe" dxfId="2"/>
      <tableStyleElement type="secondRowStripe" dxfId="1"/>
    </tableStyle>
    <tableStyle name="분할_26년02월-style 453" pivot="0" count="2">
      <tableStyleElement type="firstRowStripe" dxfId="2"/>
      <tableStyleElement type="secondRowStripe" dxfId="1"/>
    </tableStyle>
    <tableStyle name="분할_26년02월-style 454" pivot="0" count="2">
      <tableStyleElement type="firstRowStripe" dxfId="1"/>
      <tableStyleElement type="secondRowStripe" dxfId="2"/>
    </tableStyle>
    <tableStyle name="분할_26년02월-style 455" pivot="0" count="2">
      <tableStyleElement type="firstRowStripe" dxfId="1"/>
      <tableStyleElement type="secondRowStripe" dxfId="2"/>
    </tableStyle>
    <tableStyle name="분할_26년02월-style 456" pivot="0" count="2">
      <tableStyleElement type="firstRowStripe" dxfId="1"/>
      <tableStyleElement type="secondRowStripe" dxfId="2"/>
    </tableStyle>
    <tableStyle name="분할_26년02월-style 457" pivot="0" count="2">
      <tableStyleElement type="firstRowStripe" dxfId="2"/>
      <tableStyleElement type="secondRowStripe" dxfId="1"/>
    </tableStyle>
    <tableStyle name="분할_26년02월-style 458" pivot="0" count="2">
      <tableStyleElement type="firstRowStripe" dxfId="2"/>
      <tableStyleElement type="secondRowStripe" dxfId="1"/>
    </tableStyle>
    <tableStyle name="분할_26년02월-style 459" pivot="0" count="2">
      <tableStyleElement type="firstRowStripe" dxfId="1"/>
      <tableStyleElement type="secondRowStripe" dxfId="2"/>
    </tableStyle>
    <tableStyle name="분할_26년02월-style 460" pivot="0" count="2">
      <tableStyleElement type="firstRowStripe" dxfId="2"/>
      <tableStyleElement type="secondRowStripe" dxfId="1"/>
    </tableStyle>
    <tableStyle name="분할_26년02월-style 461" pivot="0" count="2">
      <tableStyleElement type="firstRowStripe" dxfId="1"/>
      <tableStyleElement type="secondRowStripe" dxfId="2"/>
    </tableStyle>
    <tableStyle name="분할_26년02월-style 462" pivot="0" count="2">
      <tableStyleElement type="firstRowStripe" dxfId="2"/>
      <tableStyleElement type="secondRowStripe" dxfId="1"/>
    </tableStyle>
    <tableStyle name="분할_26년02월-style 463" pivot="0" count="2">
      <tableStyleElement type="firstRowStripe" dxfId="1"/>
      <tableStyleElement type="secondRowStripe" dxfId="2"/>
    </tableStyle>
    <tableStyle name="분할_26년02월-style 464" pivot="0" count="2">
      <tableStyleElement type="firstRowStripe" dxfId="1"/>
      <tableStyleElement type="secondRowStripe" dxfId="2"/>
    </tableStyle>
    <tableStyle name="분할_26년02월-style 465" pivot="0" count="2">
      <tableStyleElement type="firstRowStripe" dxfId="1"/>
      <tableStyleElement type="secondRowStripe" dxfId="2"/>
    </tableStyle>
    <tableStyle name="분할_26년02월-style 466" pivot="0" count="2">
      <tableStyleElement type="firstRowStripe" dxfId="1"/>
      <tableStyleElement type="secondRowStripe" dxfId="2"/>
    </tableStyle>
    <tableStyle name="분할_26년02월-style 467" pivot="0" count="2">
      <tableStyleElement type="firstRowStripe" dxfId="2"/>
      <tableStyleElement type="secondRowStripe" dxfId="1"/>
    </tableStyle>
    <tableStyle name="분할_26년02월-style 468" pivot="0" count="2">
      <tableStyleElement type="firstRowStripe" dxfId="1"/>
      <tableStyleElement type="secondRowStripe" dxfId="2"/>
    </tableStyle>
    <tableStyle name="분할_26년02월-style 469" pivot="0" count="2">
      <tableStyleElement type="firstRowStripe" dxfId="2"/>
      <tableStyleElement type="secondRowStripe" dxfId="1"/>
    </tableStyle>
    <tableStyle name="분할_26년02월-style 470" pivot="0" count="2">
      <tableStyleElement type="firstRowStripe" dxfId="2"/>
      <tableStyleElement type="secondRowStripe" dxfId="1"/>
    </tableStyle>
    <tableStyle name="분할_26년02월-style 471" pivot="0" count="2">
      <tableStyleElement type="firstRowStripe" dxfId="1"/>
      <tableStyleElement type="secondRowStripe" dxfId="2"/>
    </tableStyle>
    <tableStyle name="분할_26년02월-style 472" pivot="0" count="2">
      <tableStyleElement type="firstRowStripe" dxfId="2"/>
      <tableStyleElement type="secondRowStripe" dxfId="1"/>
    </tableStyle>
    <tableStyle name="분할_26년02월-style 473" pivot="0" count="2">
      <tableStyleElement type="firstRowStripe" dxfId="1"/>
      <tableStyleElement type="secondRowStripe" dxfId="2"/>
    </tableStyle>
    <tableStyle name="분할_26년02월-style 474" pivot="0" count="2">
      <tableStyleElement type="firstRowStripe" dxfId="1"/>
      <tableStyleElement type="secondRowStripe" dxfId="2"/>
    </tableStyle>
    <tableStyle name="분할_26년02월-style 475" pivot="0" count="2">
      <tableStyleElement type="firstRowStripe" dxfId="1"/>
      <tableStyleElement type="secondRowStripe" dxfId="2"/>
    </tableStyle>
    <tableStyle name="분할_26년02월-style 476" pivot="0" count="2">
      <tableStyleElement type="firstRowStripe" dxfId="1"/>
      <tableStyleElement type="secondRowStripe" dxfId="2"/>
    </tableStyle>
    <tableStyle name="분할_26년02월-style 477" pivot="0" count="2">
      <tableStyleElement type="firstRowStripe" dxfId="2"/>
      <tableStyleElement type="secondRowStripe" dxfId="1"/>
    </tableStyle>
    <tableStyle name="분할_26년02월-style 478" pivot="0" count="2">
      <tableStyleElement type="firstRowStripe" dxfId="1"/>
      <tableStyleElement type="secondRowStripe" dxfId="2"/>
    </tableStyle>
    <tableStyle name="분할_26년02월-style 479" pivot="0" count="2">
      <tableStyleElement type="firstRowStripe" dxfId="2"/>
      <tableStyleElement type="secondRowStripe" dxfId="1"/>
    </tableStyle>
    <tableStyle name="분할_26년02월-style 480" pivot="0" count="2">
      <tableStyleElement type="firstRowStripe" dxfId="1"/>
      <tableStyleElement type="secondRowStripe" dxfId="2"/>
    </tableStyle>
    <tableStyle name="분할_26년02월-style 481" pivot="0" count="2">
      <tableStyleElement type="firstRowStripe" dxfId="2"/>
      <tableStyleElement type="secondRowStripe" dxfId="1"/>
    </tableStyle>
    <tableStyle name="분할_26년02월-style 482" pivot="0" count="2">
      <tableStyleElement type="firstRowStripe" dxfId="1"/>
      <tableStyleElement type="secondRowStripe" dxfId="2"/>
    </tableStyle>
    <tableStyle name="분할_26년02월-style 483" pivot="0" count="2">
      <tableStyleElement type="firstRowStripe" dxfId="2"/>
      <tableStyleElement type="secondRowStripe" dxfId="1"/>
    </tableStyle>
    <tableStyle name="분할_26년02월-style 484" pivot="0" count="2">
      <tableStyleElement type="firstRowStripe" dxfId="1"/>
      <tableStyleElement type="secondRowStripe" dxfId="2"/>
    </tableStyle>
    <tableStyle name="분할_26년02월-style 485" pivot="0" count="2">
      <tableStyleElement type="firstRowStripe" dxfId="2"/>
      <tableStyleElement type="secondRowStripe" dxfId="1"/>
    </tableStyle>
    <tableStyle name="분할_26년02월-style 486" pivot="0" count="2">
      <tableStyleElement type="firstRowStripe" dxfId="1"/>
      <tableStyleElement type="secondRowStripe" dxfId="2"/>
    </tableStyle>
    <tableStyle name="분할_26년02월-style 487" pivot="0" count="2">
      <tableStyleElement type="firstRowStripe" dxfId="2"/>
      <tableStyleElement type="secondRowStripe" dxfId="1"/>
    </tableStyle>
    <tableStyle name="분할_26년02월-style 488" pivot="0" count="2">
      <tableStyleElement type="firstRowStripe" dxfId="1"/>
      <tableStyleElement type="secondRowStripe" dxfId="2"/>
    </tableStyle>
    <tableStyle name="분할_26년02월-style 489" pivot="0" count="2">
      <tableStyleElement type="firstRowStripe" dxfId="2"/>
      <tableStyleElement type="secondRowStripe" dxfId="1"/>
    </tableStyle>
    <tableStyle name="분할_26년02월-style 490" pivot="0" count="2">
      <tableStyleElement type="firstRowStripe" dxfId="1"/>
      <tableStyleElement type="secondRowStripe" dxfId="2"/>
    </tableStyle>
    <tableStyle name="분할_26년02월-style 491" pivot="0" count="2">
      <tableStyleElement type="firstRowStripe" dxfId="2"/>
      <tableStyleElement type="secondRowStripe" dxfId="1"/>
    </tableStyle>
    <tableStyle name="분할_26년02월-style 492" pivot="0" count="2">
      <tableStyleElement type="firstRowStripe" dxfId="1"/>
      <tableStyleElement type="secondRowStripe" dxfId="2"/>
    </tableStyle>
    <tableStyle name="분할_26년02월-style 493" pivot="0" count="2">
      <tableStyleElement type="firstRowStripe" dxfId="2"/>
      <tableStyleElement type="secondRowStripe" dxfId="1"/>
    </tableStyle>
    <tableStyle name="분할_26년02월-style 494" pivot="0" count="2">
      <tableStyleElement type="firstRowStripe" dxfId="2"/>
      <tableStyleElement type="secondRowStripe" dxfId="1"/>
    </tableStyle>
    <tableStyle name="분할_26년02월-style 495" pivot="0" count="2">
      <tableStyleElement type="firstRowStripe" dxfId="2"/>
      <tableStyleElement type="secondRowStripe" dxfId="1"/>
    </tableStyle>
    <tableStyle name="분할_26년02월-style 496" pivot="0" count="2">
      <tableStyleElement type="firstRowStripe" dxfId="1"/>
      <tableStyleElement type="secondRowStripe" dxfId="2"/>
    </tableStyle>
    <tableStyle name="분할_26년02월-style 497" pivot="0" count="2">
      <tableStyleElement type="firstRowStripe" dxfId="1"/>
      <tableStyleElement type="secondRowStripe" dxfId="2"/>
    </tableStyle>
    <tableStyle name="분할_26년02월-style 498" pivot="0" count="2">
      <tableStyleElement type="firstRowStripe" dxfId="1"/>
      <tableStyleElement type="secondRowStripe" dxfId="2"/>
    </tableStyle>
    <tableStyle name="분할_26년02월-style 499" pivot="0" count="2">
      <tableStyleElement type="firstRowStripe" dxfId="2"/>
      <tableStyleElement type="secondRowStripe" dxfId="1"/>
    </tableStyle>
    <tableStyle name="분할_26년02월-style 500" pivot="0" count="2">
      <tableStyleElement type="firstRowStripe" dxfId="2"/>
      <tableStyleElement type="secondRowStripe" dxfId="1"/>
    </tableStyle>
    <tableStyle name="분할_26년02월-style 501" pivot="0" count="2">
      <tableStyleElement type="firstRowStripe" dxfId="1"/>
      <tableStyleElement type="secondRowStripe" dxfId="2"/>
    </tableStyle>
    <tableStyle name="분할_26년02월-style 502" pivot="0" count="2">
      <tableStyleElement type="firstRowStripe" dxfId="1"/>
      <tableStyleElement type="secondRowStripe" dxfId="2"/>
    </tableStyle>
    <tableStyle name="분할_26년02월-style 503" pivot="0" count="2">
      <tableStyleElement type="firstRowStripe" dxfId="2"/>
      <tableStyleElement type="secondRowStripe" dxfId="1"/>
    </tableStyle>
    <tableStyle name="분할_26년02월-style 504" pivot="0" count="2">
      <tableStyleElement type="firstRowStripe" dxfId="2"/>
      <tableStyleElement type="secondRowStripe" dxfId="1"/>
    </tableStyle>
    <tableStyle name="분할_26년02월-style 505" pivot="0" count="2">
      <tableStyleElement type="firstRowStripe" dxfId="1"/>
      <tableStyleElement type="secondRowStripe" dxfId="2"/>
    </tableStyle>
    <tableStyle name="분할_26년02월-style 506" pivot="0" count="2">
      <tableStyleElement type="firstRowStripe" dxfId="2"/>
      <tableStyleElement type="secondRowStripe" dxfId="1"/>
    </tableStyle>
    <tableStyle name="분할_26년02월-style 507" pivot="0" count="2">
      <tableStyleElement type="firstRowStripe" dxfId="1"/>
      <tableStyleElement type="secondRowStripe" dxfId="2"/>
    </tableStyle>
    <tableStyle name="분할_26년02월-style 508" pivot="0" count="2">
      <tableStyleElement type="firstRowStripe" dxfId="1"/>
      <tableStyleElement type="secondRowStripe" dxfId="2"/>
    </tableStyle>
    <tableStyle name="분할_26년02월-style 509" pivot="0" count="2">
      <tableStyleElement type="firstRowStripe" dxfId="1"/>
      <tableStyleElement type="secondRowStripe" dxfId="2"/>
    </tableStyle>
    <tableStyle name="분할_26년02월-style 510" pivot="0" count="2">
      <tableStyleElement type="firstRowStripe" dxfId="1"/>
      <tableStyleElement type="secondRowStripe" dxfId="2"/>
    </tableStyle>
    <tableStyle name="분할_26년02월-style 511" pivot="0" count="2">
      <tableStyleElement type="firstRowStripe" dxfId="1"/>
      <tableStyleElement type="secondRowStripe" dxfId="2"/>
    </tableStyle>
    <tableStyle name="분할_26년02월-style 512" pivot="0" count="2">
      <tableStyleElement type="firstRowStripe" dxfId="1"/>
      <tableStyleElement type="secondRowStripe" dxfId="2"/>
    </tableStyle>
    <tableStyle name="분할_26년02월-style 513" pivot="0" count="2">
      <tableStyleElement type="firstRowStripe" dxfId="1"/>
      <tableStyleElement type="secondRowStripe" dxfId="2"/>
    </tableStyle>
    <tableStyle name="분할_26년02월-style 514" pivot="0" count="2">
      <tableStyleElement type="firstRowStripe" dxfId="1"/>
      <tableStyleElement type="secondRowStripe" dxfId="2"/>
    </tableStyle>
    <tableStyle name="분할_26년02월-style 515" pivot="0" count="2">
      <tableStyleElement type="firstRowStripe" dxfId="2"/>
      <tableStyleElement type="secondRowStripe" dxfId="1"/>
    </tableStyle>
    <tableStyle name="분할_26년02월-style 516" pivot="0" count="2">
      <tableStyleElement type="firstRowStripe" dxfId="1"/>
      <tableStyleElement type="secondRowStripe" dxfId="2"/>
    </tableStyle>
    <tableStyle name="분할_26년02월-style 517" pivot="0" count="2">
      <tableStyleElement type="firstRowStripe" dxfId="1"/>
      <tableStyleElement type="secondRowStripe" dxfId="2"/>
    </tableStyle>
    <tableStyle name="분할_26년02월-style 518" pivot="0" count="2">
      <tableStyleElement type="firstRowStripe" dxfId="1"/>
      <tableStyleElement type="secondRowStripe" dxfId="2"/>
    </tableStyle>
    <tableStyle name="분할_26년02월-style 519" pivot="0" count="2">
      <tableStyleElement type="firstRowStripe" dxfId="2"/>
      <tableStyleElement type="secondRowStripe" dxfId="1"/>
    </tableStyle>
    <tableStyle name="분할_26년02월-style 520" pivot="0" count="2">
      <tableStyleElement type="firstRowStripe" dxfId="2"/>
      <tableStyleElement type="secondRowStripe" dxfId="1"/>
    </tableStyle>
    <tableStyle name="분할_26년02월-style 521" pivot="0" count="2">
      <tableStyleElement type="firstRowStripe" dxfId="2"/>
      <tableStyleElement type="secondRowStripe" dxfId="1"/>
    </tableStyle>
    <tableStyle name="분할_26년02월-style 522" pivot="0" count="2">
      <tableStyleElement type="firstRowStripe" dxfId="1"/>
      <tableStyleElement type="secondRowStripe" dxfId="2"/>
    </tableStyle>
    <tableStyle name="분할_26년02월-style 523" pivot="0" count="2">
      <tableStyleElement type="firstRowStripe" dxfId="1"/>
      <tableStyleElement type="secondRowStripe" dxfId="2"/>
    </tableStyle>
    <tableStyle name="분할_26년02월-style 524" pivot="0" count="2">
      <tableStyleElement type="firstRowStripe" dxfId="1"/>
      <tableStyleElement type="secondRowStripe" dxfId="2"/>
    </tableStyle>
    <tableStyle name="분할_26년02월-style 525" pivot="0" count="2">
      <tableStyleElement type="firstRowStripe" dxfId="1"/>
      <tableStyleElement type="secondRowStripe" dxfId="2"/>
    </tableStyle>
    <tableStyle name="분할_26년02월-style 526" pivot="0" count="2">
      <tableStyleElement type="firstRowStripe" dxfId="2"/>
      <tableStyleElement type="secondRowStripe" dxfId="1"/>
    </tableStyle>
    <tableStyle name="분할_26년02월-style 527" pivot="0" count="2">
      <tableStyleElement type="firstRowStripe" dxfId="2"/>
      <tableStyleElement type="secondRowStripe" dxfId="1"/>
    </tableStyle>
    <tableStyle name="분할_26년02월-style 528" pivot="0" count="2">
      <tableStyleElement type="firstRowStripe" dxfId="1"/>
      <tableStyleElement type="secondRowStripe" dxfId="2"/>
    </tableStyle>
    <tableStyle name="분할_26년02월-style 529" pivot="0" count="2">
      <tableStyleElement type="firstRowStripe" dxfId="2"/>
      <tableStyleElement type="secondRowStripe" dxfId="1"/>
    </tableStyle>
    <tableStyle name="분할_26년02월-style 530" pivot="0" count="2">
      <tableStyleElement type="firstRowStripe" dxfId="1"/>
      <tableStyleElement type="secondRowStripe" dxfId="2"/>
    </tableStyle>
    <tableStyle name="분할_26년02월-style 531" pivot="0" count="2">
      <tableStyleElement type="firstRowStripe" dxfId="2"/>
      <tableStyleElement type="secondRowStripe" dxfId="1"/>
    </tableStyle>
    <tableStyle name="분할_26년02월-style 532" pivot="0" count="2">
      <tableStyleElement type="firstRowStripe" dxfId="1"/>
      <tableStyleElement type="secondRowStripe" dxfId="2"/>
    </tableStyle>
    <tableStyle name="분할_26년02월-style 533" pivot="0" count="2">
      <tableStyleElement type="firstRowStripe" dxfId="1"/>
      <tableStyleElement type="secondRowStripe" dxfId="2"/>
    </tableStyle>
    <tableStyle name="분할_26년02월-style 534" pivot="0" count="2">
      <tableStyleElement type="firstRowStripe" dxfId="1"/>
      <tableStyleElement type="secondRowStripe" dxfId="2"/>
    </tableStyle>
    <tableStyle name="분할_26년02월-style 535" pivot="0" count="2">
      <tableStyleElement type="firstRowStripe" dxfId="1"/>
      <tableStyleElement type="secondRowStripe" dxfId="2"/>
    </tableStyle>
    <tableStyle name="분할_26년02월-style 536" pivot="0" count="2">
      <tableStyleElement type="firstRowStripe" dxfId="2"/>
      <tableStyleElement type="secondRowStripe" dxfId="1"/>
    </tableStyle>
    <tableStyle name="분할_26년02월-style 537" pivot="0" count="2">
      <tableStyleElement type="firstRowStripe" dxfId="1"/>
      <tableStyleElement type="secondRowStripe" dxfId="2"/>
    </tableStyle>
    <tableStyle name="분할_26년02월-style 538" pivot="0" count="2">
      <tableStyleElement type="firstRowStripe" dxfId="2"/>
      <tableStyleElement type="secondRowStripe" dxfId="1"/>
    </tableStyle>
    <tableStyle name="분할_26년02월-style 539" pivot="0" count="2">
      <tableStyleElement type="firstRowStripe" dxfId="2"/>
      <tableStyleElement type="secondRowStripe" dxfId="1"/>
    </tableStyle>
    <tableStyle name="분할_26년02월-style 540" pivot="0" count="2">
      <tableStyleElement type="firstRowStripe" dxfId="2"/>
      <tableStyleElement type="secondRowStripe" dxfId="1"/>
    </tableStyle>
    <tableStyle name="분할_26년02월-style 541" pivot="0" count="2">
      <tableStyleElement type="firstRowStripe" dxfId="2"/>
      <tableStyleElement type="secondRowStripe" dxfId="1"/>
    </tableStyle>
    <tableStyle name="분할_26년02월-style 542" pivot="0" count="2">
      <tableStyleElement type="firstRowStripe" dxfId="1"/>
      <tableStyleElement type="secondRowStripe" dxfId="2"/>
    </tableStyle>
    <tableStyle name="분할_26년02월-style 543" pivot="0" count="2">
      <tableStyleElement type="firstRowStripe" dxfId="1"/>
      <tableStyleElement type="secondRowStripe" dxfId="2"/>
    </tableStyle>
    <tableStyle name="분할_26년02월-style 544" pivot="0" count="2">
      <tableStyleElement type="firstRowStripe" dxfId="1"/>
      <tableStyleElement type="secondRowStripe" dxfId="2"/>
    </tableStyle>
    <tableStyle name="분할_26년02월-style 545" pivot="0" count="2">
      <tableStyleElement type="firstRowStripe" dxfId="2"/>
      <tableStyleElement type="secondRowStripe" dxfId="1"/>
    </tableStyle>
    <tableStyle name="분할_26년02월-style 546" pivot="0" count="2">
      <tableStyleElement type="firstRowStripe" dxfId="1"/>
      <tableStyleElement type="secondRowStripe" dxfId="2"/>
    </tableStyle>
    <tableStyle name="분할_26년02월-style 547" pivot="0" count="2">
      <tableStyleElement type="firstRowStripe" dxfId="2"/>
      <tableStyleElement type="secondRowStripe" dxfId="1"/>
    </tableStyle>
    <tableStyle name="분할_26년02월-style 548" pivot="0" count="2">
      <tableStyleElement type="firstRowStripe" dxfId="1"/>
      <tableStyleElement type="secondRowStripe" dxfId="2"/>
    </tableStyle>
    <tableStyle name="분할_26년02월-style 549" pivot="0" count="2">
      <tableStyleElement type="firstRowStripe" dxfId="2"/>
      <tableStyleElement type="secondRowStripe" dxfId="1"/>
    </tableStyle>
    <tableStyle name="분할_26년02월-style 550" pivot="0" count="2">
      <tableStyleElement type="firstRowStripe" dxfId="2"/>
      <tableStyleElement type="secondRowStripe" dxfId="1"/>
    </tableStyle>
    <tableStyle name="분할_26년02월-style 551" pivot="0" count="2">
      <tableStyleElement type="firstRowStripe" dxfId="1"/>
      <tableStyleElement type="secondRowStripe" dxfId="2"/>
    </tableStyle>
    <tableStyle name="분할_26년02월-style 552" pivot="0" count="2">
      <tableStyleElement type="firstRowStripe" dxfId="1"/>
      <tableStyleElement type="secondRowStripe" dxfId="2"/>
    </tableStyle>
    <tableStyle name="분할_26년02월-style 553" pivot="0" count="2">
      <tableStyleElement type="firstRowStripe" dxfId="2"/>
      <tableStyleElement type="secondRowStripe" dxfId="1"/>
    </tableStyle>
    <tableStyle name="분할_26년02월-style 554" pivot="0" count="2">
      <tableStyleElement type="firstRowStripe" dxfId="2"/>
      <tableStyleElement type="secondRowStripe" dxfId="1"/>
    </tableStyle>
    <tableStyle name="분할_26년02월-style 555" pivot="0" count="2">
      <tableStyleElement type="firstRowStripe" dxfId="2"/>
      <tableStyleElement type="secondRowStripe" dxfId="1"/>
    </tableStyle>
    <tableStyle name="분할_26년02월-style 556" pivot="0" count="2">
      <tableStyleElement type="firstRowStripe" dxfId="2"/>
      <tableStyleElement type="secondRowStripe" dxfId="1"/>
    </tableStyle>
    <tableStyle name="분할_26년02월-style 557" pivot="0" count="2">
      <tableStyleElement type="firstRowStripe" dxfId="1"/>
      <tableStyleElement type="secondRowStripe" dxfId="2"/>
    </tableStyle>
    <tableStyle name="분할_26년02월-style 558" pivot="0" count="2">
      <tableStyleElement type="firstRowStripe" dxfId="1"/>
      <tableStyleElement type="secondRowStripe" dxfId="2"/>
    </tableStyle>
    <tableStyle name="분할_26년02월-style 559" pivot="0" count="2">
      <tableStyleElement type="firstRowStripe" dxfId="2"/>
      <tableStyleElement type="secondRowStripe" dxfId="1"/>
    </tableStyle>
    <tableStyle name="분할_26년02월-style 560" pivot="0" count="2">
      <tableStyleElement type="firstRowStripe" dxfId="2"/>
      <tableStyleElement type="secondRowStripe" dxfId="1"/>
    </tableStyle>
    <tableStyle name="분할_26년02월-style 561" pivot="0" count="2">
      <tableStyleElement type="firstRowStripe" dxfId="2"/>
      <tableStyleElement type="secondRowStripe" dxfId="1"/>
    </tableStyle>
    <tableStyle name="분할_26년02월-style 562" pivot="0" count="2">
      <tableStyleElement type="firstRowStripe" dxfId="1"/>
      <tableStyleElement type="secondRowStripe" dxfId="2"/>
    </tableStyle>
    <tableStyle name="분할_26년02월-style 563" pivot="0" count="2">
      <tableStyleElement type="firstRowStripe" dxfId="2"/>
      <tableStyleElement type="secondRowStripe" dxfId="1"/>
    </tableStyle>
    <tableStyle name="분할_26년02월-style 564" pivot="0" count="2">
      <tableStyleElement type="firstRowStripe" dxfId="2"/>
      <tableStyleElement type="secondRowStripe" dxfId="1"/>
    </tableStyle>
    <tableStyle name="분할_26년02월-style 565" pivot="0" count="2">
      <tableStyleElement type="firstRowStripe" dxfId="2"/>
      <tableStyleElement type="secondRowStripe" dxfId="1"/>
    </tableStyle>
    <tableStyle name="분할_26년02월-style 566" pivot="0" count="2">
      <tableStyleElement type="firstRowStripe" dxfId="1"/>
      <tableStyleElement type="secondRowStripe" dxfId="2"/>
    </tableStyle>
    <tableStyle name="분할_26년02월-style 567" pivot="0" count="2">
      <tableStyleElement type="firstRowStripe" dxfId="1"/>
      <tableStyleElement type="secondRowStripe" dxfId="2"/>
    </tableStyle>
    <tableStyle name="분할_26년02월-style 568" pivot="0" count="2">
      <tableStyleElement type="firstRowStripe" dxfId="1"/>
      <tableStyleElement type="secondRowStripe" dxfId="2"/>
    </tableStyle>
    <tableStyle name="분할_26년02월-style 569" pivot="0" count="2">
      <tableStyleElement type="firstRowStripe" dxfId="1"/>
      <tableStyleElement type="secondRowStripe" dxfId="2"/>
    </tableStyle>
    <tableStyle name="분할_26년02월-style 570" pivot="0" count="2">
      <tableStyleElement type="firstRowStripe" dxfId="1"/>
      <tableStyleElement type="secondRowStripe" dxfId="2"/>
    </tableStyle>
    <tableStyle name="분할_26년02월-style 571" pivot="0" count="2">
      <tableStyleElement type="firstRowStripe" dxfId="1"/>
      <tableStyleElement type="secondRowStripe" dxfId="2"/>
    </tableStyle>
    <tableStyle name="분할_26년02월-style 572" pivot="0" count="2">
      <tableStyleElement type="firstRowStripe" dxfId="1"/>
      <tableStyleElement type="secondRowStripe" dxfId="2"/>
    </tableStyle>
    <tableStyle name="분할_26년02월-style 573" pivot="0" count="2">
      <tableStyleElement type="firstRowStripe" dxfId="1"/>
      <tableStyleElement type="secondRowStripe" dxfId="2"/>
    </tableStyle>
    <tableStyle name="분할_26년02월-style 574" pivot="0" count="2">
      <tableStyleElement type="firstRowStripe" dxfId="1"/>
      <tableStyleElement type="secondRowStripe" dxfId="2"/>
    </tableStyle>
    <tableStyle name="분할_26년02월-style 575" pivot="0" count="2">
      <tableStyleElement type="firstRowStripe" dxfId="2"/>
      <tableStyleElement type="secondRowStripe" dxfId="1"/>
    </tableStyle>
    <tableStyle name="분할_26년02월-style 576" pivot="0" count="2">
      <tableStyleElement type="firstRowStripe" dxfId="1"/>
      <tableStyleElement type="secondRowStripe" dxfId="2"/>
    </tableStyle>
    <tableStyle name="분할_26년02월-style 577" pivot="0" count="2">
      <tableStyleElement type="firstRowStripe" dxfId="1"/>
      <tableStyleElement type="secondRowStripe" dxfId="2"/>
    </tableStyle>
    <tableStyle name="분할_26년02월-style 578" pivot="0" count="2">
      <tableStyleElement type="firstRowStripe" dxfId="2"/>
      <tableStyleElement type="secondRowStripe" dxfId="1"/>
    </tableStyle>
    <tableStyle name="분할_26년02월-style 579" pivot="0" count="2">
      <tableStyleElement type="firstRowStripe" dxfId="2"/>
      <tableStyleElement type="secondRowStripe" dxfId="1"/>
    </tableStyle>
    <tableStyle name="분할_26년02월-style 580" pivot="0" count="2">
      <tableStyleElement type="firstRowStripe" dxfId="1"/>
      <tableStyleElement type="secondRowStripe" dxfId="2"/>
    </tableStyle>
    <tableStyle name="분할_26년02월-style 581" pivot="0" count="2">
      <tableStyleElement type="firstRowStripe" dxfId="1"/>
      <tableStyleElement type="secondRowStripe" dxfId="2"/>
    </tableStyle>
    <tableStyle name="분할_26년02월-style 582" pivot="0" count="2">
      <tableStyleElement type="firstRowStripe" dxfId="1"/>
      <tableStyleElement type="secondRowStripe" dxfId="2"/>
    </tableStyle>
    <tableStyle name="분할_26년02월-style 583" pivot="0" count="2">
      <tableStyleElement type="firstRowStripe" dxfId="2"/>
      <tableStyleElement type="secondRowStripe" dxfId="1"/>
    </tableStyle>
    <tableStyle name="분할_26년02월-style 584" pivot="0" count="2">
      <tableStyleElement type="firstRowStripe" dxfId="1"/>
      <tableStyleElement type="secondRowStripe" dxfId="2"/>
    </tableStyle>
    <tableStyle name="분할_26년02월-style 585" pivot="0" count="2">
      <tableStyleElement type="firstRowStripe" dxfId="2"/>
      <tableStyleElement type="secondRowStripe" dxfId="1"/>
    </tableStyle>
    <tableStyle name="분할_26년02월-style 586" pivot="0" count="2">
      <tableStyleElement type="firstRowStripe" dxfId="1"/>
      <tableStyleElement type="secondRowStripe" dxfId="2"/>
    </tableStyle>
    <tableStyle name="분할_26년02월-style 587" pivot="0" count="2">
      <tableStyleElement type="firstRowStripe" dxfId="2"/>
      <tableStyleElement type="secondRowStripe" dxfId="1"/>
    </tableStyle>
    <tableStyle name="분할_26년02월-style 588" pivot="0" count="2">
      <tableStyleElement type="firstRowStripe" dxfId="1"/>
      <tableStyleElement type="secondRowStripe" dxfId="2"/>
    </tableStyle>
    <tableStyle name="분할_26년02월-style 589" pivot="0" count="2">
      <tableStyleElement type="firstRowStripe" dxfId="1"/>
      <tableStyleElement type="secondRowStripe" dxfId="2"/>
    </tableStyle>
    <tableStyle name="분할_26년02월-style 590" pivot="0" count="2">
      <tableStyleElement type="firstRowStripe" dxfId="2"/>
      <tableStyleElement type="secondRowStripe" dxfId="1"/>
    </tableStyle>
    <tableStyle name="분할_26년02월-style 591" pivot="0" count="2">
      <tableStyleElement type="firstRowStripe" dxfId="1"/>
      <tableStyleElement type="secondRowStripe" dxfId="2"/>
    </tableStyle>
    <tableStyle name="분할_26년02월-style 592" pivot="0" count="2">
      <tableStyleElement type="firstRowStripe" dxfId="2"/>
      <tableStyleElement type="secondRowStripe" dxfId="1"/>
    </tableStyle>
    <tableStyle name="분할_26년02월-style 593" pivot="0" count="2">
      <tableStyleElement type="firstRowStripe" dxfId="2"/>
      <tableStyleElement type="secondRowStripe" dxfId="1"/>
    </tableStyle>
    <tableStyle name="분할_26년02월-style 594" pivot="0" count="2">
      <tableStyleElement type="firstRowStripe" dxfId="2"/>
      <tableStyleElement type="secondRowStripe" dxfId="1"/>
    </tableStyle>
    <tableStyle name="분할_26년02월-style 595" pivot="0" count="2">
      <tableStyleElement type="firstRowStripe" dxfId="2"/>
      <tableStyleElement type="secondRowStripe" dxfId="1"/>
    </tableStyle>
    <tableStyle name="분할_26년02월-style 596" pivot="0" count="2">
      <tableStyleElement type="firstRowStripe" dxfId="1"/>
      <tableStyleElement type="secondRowStripe" dxfId="2"/>
    </tableStyle>
    <tableStyle name="분할_26년02월-style 597" pivot="0" count="2">
      <tableStyleElement type="firstRowStripe" dxfId="1"/>
      <tableStyleElement type="secondRowStripe" dxfId="2"/>
    </tableStyle>
    <tableStyle name="분할_26년02월-style 598" pivot="0" count="2">
      <tableStyleElement type="firstRowStripe" dxfId="1"/>
      <tableStyleElement type="secondRowStripe" dxfId="2"/>
    </tableStyle>
    <tableStyle name="분할_26년02월-style 599" pivot="0" count="2">
      <tableStyleElement type="firstRowStripe" dxfId="1"/>
      <tableStyleElement type="secondRowStripe" dxfId="2"/>
    </tableStyle>
    <tableStyle name="분할_26년02월-style 600" pivot="0" count="2">
      <tableStyleElement type="firstRowStripe" dxfId="1"/>
      <tableStyleElement type="secondRowStripe" dxfId="2"/>
    </tableStyle>
    <tableStyle name="분할_26년02월-style 601" pivot="0" count="2">
      <tableStyleElement type="firstRowStripe" dxfId="2"/>
      <tableStyleElement type="secondRowStripe" dxfId="1"/>
    </tableStyle>
    <tableStyle name="분할_26년02월-style 602" pivot="0" count="2">
      <tableStyleElement type="firstRowStripe" dxfId="1"/>
      <tableStyleElement type="secondRowStripe" dxfId="2"/>
    </tableStyle>
    <tableStyle name="분할_26년02월-style 603" pivot="0" count="2">
      <tableStyleElement type="firstRowStripe" dxfId="1"/>
      <tableStyleElement type="secondRowStripe" dxfId="2"/>
    </tableStyle>
    <tableStyle name="분할_26년02월-style 604" pivot="0" count="2">
      <tableStyleElement type="firstRowStripe" dxfId="1"/>
      <tableStyleElement type="secondRowStripe" dxfId="2"/>
    </tableStyle>
    <tableStyle name="분할_26년02월-style 605" pivot="0" count="2">
      <tableStyleElement type="firstRowStripe" dxfId="1"/>
      <tableStyleElement type="secondRowStripe" dxfId="2"/>
    </tableStyle>
    <tableStyle name="분할_26년02월-style 606" pivot="0" count="2">
      <tableStyleElement type="firstRowStripe" dxfId="1"/>
      <tableStyleElement type="secondRowStripe" dxfId="2"/>
    </tableStyle>
    <tableStyle name="분할_26년02월-style 607" pivot="0" count="2">
      <tableStyleElement type="firstRowStripe" dxfId="2"/>
      <tableStyleElement type="secondRowStripe" dxfId="1"/>
    </tableStyle>
    <tableStyle name="분할_26년02월-style 608" pivot="0" count="2">
      <tableStyleElement type="firstRowStripe" dxfId="1"/>
      <tableStyleElement type="secondRowStripe" dxfId="2"/>
    </tableStyle>
    <tableStyle name="분할_26년02월-style 609" pivot="0" count="2">
      <tableStyleElement type="firstRowStripe" dxfId="1"/>
      <tableStyleElement type="secondRowStripe" dxfId="2"/>
    </tableStyle>
    <tableStyle name="분할_26년02월-style 610" pivot="0" count="2">
      <tableStyleElement type="firstRowStripe" dxfId="2"/>
      <tableStyleElement type="secondRowStripe" dxfId="1"/>
    </tableStyle>
    <tableStyle name="분할_26년02월-style 611" pivot="0" count="2">
      <tableStyleElement type="firstRowStripe" dxfId="1"/>
      <tableStyleElement type="secondRowStripe" dxfId="2"/>
    </tableStyle>
    <tableStyle name="분할_26년02월-style 612" pivot="0" count="2">
      <tableStyleElement type="firstRowStripe" dxfId="1"/>
      <tableStyleElement type="secondRowStripe" dxfId="2"/>
    </tableStyle>
    <tableStyle name="분할_26년02월-style 613" pivot="0" count="2">
      <tableStyleElement type="firstRowStripe" dxfId="1"/>
      <tableStyleElement type="secondRowStripe" dxfId="2"/>
    </tableStyle>
    <tableStyle name="분할_26년02월-style 614" pivot="0" count="2">
      <tableStyleElement type="firstRowStripe" dxfId="1"/>
      <tableStyleElement type="secondRowStripe" dxfId="2"/>
    </tableStyle>
    <tableStyle name="분할_26년02월-style 615" pivot="0" count="2">
      <tableStyleElement type="firstRowStripe" dxfId="1"/>
      <tableStyleElement type="secondRowStripe" dxfId="2"/>
    </tableStyle>
    <tableStyle name="분할_26년02월-style 616" pivot="0" count="2">
      <tableStyleElement type="firstRowStripe" dxfId="1"/>
      <tableStyleElement type="secondRowStripe" dxfId="2"/>
    </tableStyle>
    <tableStyle name="분할_26년02월-style 617" pivot="0" count="2">
      <tableStyleElement type="firstRowStripe" dxfId="1"/>
      <tableStyleElement type="secondRowStripe" dxfId="2"/>
    </tableStyle>
    <tableStyle name="분할_26년02월-style 618" pivot="0" count="2">
      <tableStyleElement type="firstRowStripe" dxfId="2"/>
      <tableStyleElement type="secondRowStripe" dxfId="1"/>
    </tableStyle>
    <tableStyle name="분할_26년02월-style 619" pivot="0" count="2">
      <tableStyleElement type="firstRowStripe" dxfId="1"/>
      <tableStyleElement type="secondRowStripe" dxfId="2"/>
    </tableStyle>
    <tableStyle name="분할_26년02월-style 620" pivot="0" count="2">
      <tableStyleElement type="firstRowStripe" dxfId="1"/>
      <tableStyleElement type="secondRowStripe" dxfId="2"/>
    </tableStyle>
    <tableStyle name="분할_26년02월-style 621" pivot="0" count="2">
      <tableStyleElement type="firstRowStripe" dxfId="1"/>
      <tableStyleElement type="secondRowStripe" dxfId="2"/>
    </tableStyle>
    <tableStyle name="분할_26년02월-style 622" pivot="0" count="2">
      <tableStyleElement type="firstRowStripe" dxfId="1"/>
      <tableStyleElement type="secondRowStripe" dxfId="2"/>
    </tableStyle>
    <tableStyle name="분할_26년02월-style 623" pivot="0" count="2">
      <tableStyleElement type="firstRowStripe" dxfId="1"/>
      <tableStyleElement type="secondRowStripe" dxfId="2"/>
    </tableStyle>
    <tableStyle name="분할_26년02월-style 624" pivot="0" count="2">
      <tableStyleElement type="firstRowStripe" dxfId="2"/>
      <tableStyleElement type="secondRowStripe" dxfId="1"/>
    </tableStyle>
    <tableStyle name="분할_26년02월-style 625" pivot="0" count="2">
      <tableStyleElement type="firstRowStripe" dxfId="2"/>
      <tableStyleElement type="secondRowStripe" dxfId="1"/>
    </tableStyle>
    <tableStyle name="분할_26년02월-style 626" pivot="0" count="2">
      <tableStyleElement type="firstRowStripe" dxfId="1"/>
      <tableStyleElement type="secondRowStripe" dxfId="2"/>
    </tableStyle>
    <tableStyle name="분할_26년02월-style 627" pivot="0" count="2">
      <tableStyleElement type="firstRowStripe" dxfId="2"/>
      <tableStyleElement type="secondRowStripe" dxfId="1"/>
    </tableStyle>
    <tableStyle name="분할_26년02월-style 628" pivot="0" count="2">
      <tableStyleElement type="firstRowStripe" dxfId="1"/>
      <tableStyleElement type="secondRowStripe" dxfId="2"/>
    </tableStyle>
    <tableStyle name="분할_26년02월-style 629" pivot="0" count="2">
      <tableStyleElement type="firstRowStripe" dxfId="1"/>
      <tableStyleElement type="secondRowStripe" dxfId="2"/>
    </tableStyle>
    <tableStyle name="분할_26년02월-style 630" pivot="0" count="2">
      <tableStyleElement type="firstRowStripe" dxfId="2"/>
      <tableStyleElement type="secondRowStripe" dxfId="1"/>
    </tableStyle>
    <tableStyle name="분할_26년02월-style 631" pivot="0" count="2">
      <tableStyleElement type="firstRowStripe" dxfId="2"/>
      <tableStyleElement type="secondRowStripe" dxfId="1"/>
    </tableStyle>
    <tableStyle name="분할_26년02월-style 632" pivot="0" count="2">
      <tableStyleElement type="firstRowStripe" dxfId="2"/>
      <tableStyleElement type="secondRowStripe" dxfId="1"/>
    </tableStyle>
    <tableStyle name="분할_26년02월-style 633" pivot="0" count="2">
      <tableStyleElement type="firstRowStripe" dxfId="1"/>
      <tableStyleElement type="secondRowStripe" dxfId="2"/>
    </tableStyle>
    <tableStyle name="분할_26년02월-style 634" pivot="0" count="2">
      <tableStyleElement type="firstRowStripe" dxfId="2"/>
      <tableStyleElement type="secondRowStripe" dxfId="1"/>
    </tableStyle>
    <tableStyle name="분할_26년02월-style 635" pivot="0" count="2">
      <tableStyleElement type="firstRowStripe" dxfId="2"/>
      <tableStyleElement type="secondRowStripe" dxfId="1"/>
    </tableStyle>
    <tableStyle name="분할_26년02월-style 636" pivot="0" count="2">
      <tableStyleElement type="firstRowStripe" dxfId="1"/>
      <tableStyleElement type="secondRowStripe" dxfId="2"/>
    </tableStyle>
    <tableStyle name="분할_26년02월-style 637" pivot="0" count="2">
      <tableStyleElement type="firstRowStripe" dxfId="2"/>
      <tableStyleElement type="secondRowStripe" dxfId="1"/>
    </tableStyle>
    <tableStyle name="분할_26년02월-style 638" pivot="0" count="2">
      <tableStyleElement type="firstRowStripe" dxfId="1"/>
      <tableStyleElement type="secondRowStripe" dxfId="2"/>
    </tableStyle>
    <tableStyle name="분할_26년02월-style 639" pivot="0" count="2">
      <tableStyleElement type="firstRowStripe" dxfId="1"/>
      <tableStyleElement type="secondRowStripe" dxfId="2"/>
    </tableStyle>
    <tableStyle name="분할_26년02월-style 640" pivot="0" count="2">
      <tableStyleElement type="firstRowStripe" dxfId="2"/>
      <tableStyleElement type="secondRowStripe" dxfId="1"/>
    </tableStyle>
    <tableStyle name="분할_26년02월-style 641" pivot="0" count="2">
      <tableStyleElement type="firstRowStripe" dxfId="2"/>
      <tableStyleElement type="secondRowStripe" dxfId="1"/>
    </tableStyle>
    <tableStyle name="분할_26년02월-style 642" pivot="0" count="2">
      <tableStyleElement type="firstRowStripe" dxfId="1"/>
      <tableStyleElement type="secondRowStripe" dxfId="2"/>
    </tableStyle>
    <tableStyle name="분할_26년02월-style 643" pivot="0" count="2">
      <tableStyleElement type="firstRowStripe" dxfId="2"/>
      <tableStyleElement type="secondRowStripe" dxfId="1"/>
    </tableStyle>
    <tableStyle name="분할_26년02월-style 644" pivot="0" count="2">
      <tableStyleElement type="firstRowStripe" dxfId="2"/>
      <tableStyleElement type="secondRowStripe" dxfId="1"/>
    </tableStyle>
    <tableStyle name="분할_26년02월-style 645" pivot="0" count="2">
      <tableStyleElement type="firstRowStripe" dxfId="1"/>
      <tableStyleElement type="secondRowStripe" dxfId="2"/>
    </tableStyle>
    <tableStyle name="분할_26년02월-style 646" pivot="0" count="2">
      <tableStyleElement type="firstRowStripe" dxfId="1"/>
      <tableStyleElement type="secondRowStripe" dxfId="2"/>
    </tableStyle>
    <tableStyle name="분할_26년02월-style 647" pivot="0" count="2">
      <tableStyleElement type="firstRowStripe" dxfId="2"/>
      <tableStyleElement type="secondRowStripe" dxfId="1"/>
    </tableStyle>
    <tableStyle name="분할_26년02월-style 648" pivot="0" count="2">
      <tableStyleElement type="firstRowStripe" dxfId="2"/>
      <tableStyleElement type="secondRowStripe" dxfId="1"/>
    </tableStyle>
    <tableStyle name="분할_26년02월-style 649" pivot="0" count="2">
      <tableStyleElement type="firstRowStripe" dxfId="1"/>
      <tableStyleElement type="secondRowStripe" dxfId="2"/>
    </tableStyle>
    <tableStyle name="분할_26년02월-style 650" pivot="0" count="2">
      <tableStyleElement type="firstRowStripe" dxfId="1"/>
      <tableStyleElement type="secondRowStripe" dxfId="2"/>
    </tableStyle>
    <tableStyle name="분할_26년02월-style 651" pivot="0" count="2">
      <tableStyleElement type="firstRowStripe" dxfId="2"/>
      <tableStyleElement type="secondRowStripe" dxfId="1"/>
    </tableStyle>
    <tableStyle name="분할_26년02월-style 652" pivot="0" count="2">
      <tableStyleElement type="firstRowStripe" dxfId="1"/>
      <tableStyleElement type="secondRowStripe" dxfId="2"/>
    </tableStyle>
    <tableStyle name="분할_26년02월-style 653" pivot="0" count="2">
      <tableStyleElement type="firstRowStripe" dxfId="2"/>
      <tableStyleElement type="secondRowStripe" dxfId="1"/>
    </tableStyle>
    <tableStyle name="분할_26년02월-style 654" pivot="0" count="2">
      <tableStyleElement type="firstRowStripe" dxfId="2"/>
      <tableStyleElement type="secondRowStripe" dxfId="1"/>
    </tableStyle>
    <tableStyle name="분할_26년02월-style 655" pivot="0" count="2">
      <tableStyleElement type="firstRowStripe" dxfId="2"/>
      <tableStyleElement type="secondRowStripe" dxfId="1"/>
    </tableStyle>
    <tableStyle name="분할_26년02월-style 656" pivot="0" count="2">
      <tableStyleElement type="firstRowStripe" dxfId="1"/>
      <tableStyleElement type="secondRowStripe" dxfId="2"/>
    </tableStyle>
    <tableStyle name="분할_26년02월-style 657" pivot="0" count="2">
      <tableStyleElement type="firstRowStripe" dxfId="2"/>
      <tableStyleElement type="secondRowStripe" dxfId="1"/>
    </tableStyle>
    <tableStyle name="분할_26년02월-style 658" pivot="0" count="2">
      <tableStyleElement type="firstRowStripe" dxfId="1"/>
      <tableStyleElement type="secondRowStripe" dxfId="2"/>
    </tableStyle>
    <tableStyle name="분할_26년02월-style 659" pivot="0" count="2">
      <tableStyleElement type="firstRowStripe" dxfId="2"/>
      <tableStyleElement type="secondRowStripe" dxfId="1"/>
    </tableStyle>
    <tableStyle name="분할_26년02월-style 660" pivot="0" count="2">
      <tableStyleElement type="firstRowStripe" dxfId="2"/>
      <tableStyleElement type="secondRowStripe" dxfId="1"/>
    </tableStyle>
    <tableStyle name="분할_26년02월-style 661" pivot="0" count="2">
      <tableStyleElement type="firstRowStripe" dxfId="1"/>
      <tableStyleElement type="secondRowStripe" dxfId="2"/>
    </tableStyle>
    <tableStyle name="분할_26년02월-style 662" pivot="0" count="2">
      <tableStyleElement type="firstRowStripe" dxfId="2"/>
      <tableStyleElement type="secondRowStripe" dxfId="1"/>
    </tableStyle>
    <tableStyle name="분할_26년02월-style 663" pivot="0" count="2">
      <tableStyleElement type="firstRowStripe" dxfId="2"/>
      <tableStyleElement type="secondRowStripe" dxfId="1"/>
    </tableStyle>
    <tableStyle name="분할_26년02월-style 664" pivot="0" count="2">
      <tableStyleElement type="firstRowStripe" dxfId="1"/>
      <tableStyleElement type="secondRowStripe" dxfId="2"/>
    </tableStyle>
    <tableStyle name="분할_26년02월-style 665" pivot="0" count="2">
      <tableStyleElement type="firstRowStripe" dxfId="1"/>
      <tableStyleElement type="secondRowStripe" dxfId="2"/>
    </tableStyle>
    <tableStyle name="분할_26년02월-style 666" pivot="0" count="2">
      <tableStyleElement type="firstRowStripe" dxfId="2"/>
      <tableStyleElement type="secondRowStripe" dxfId="1"/>
    </tableStyle>
    <tableStyle name="분할_26년02월-style 667" pivot="0" count="2">
      <tableStyleElement type="firstRowStripe" dxfId="2"/>
      <tableStyleElement type="secondRowStripe" dxfId="1"/>
    </tableStyle>
    <tableStyle name="분할_26년02월-style 668" pivot="0" count="2">
      <tableStyleElement type="firstRowStripe" dxfId="1"/>
      <tableStyleElement type="secondRowStripe" dxfId="2"/>
    </tableStyle>
    <tableStyle name="분할_26년02월-style 669" pivot="0" count="2">
      <tableStyleElement type="firstRowStripe" dxfId="1"/>
      <tableStyleElement type="secondRowStripe" dxfId="2"/>
    </tableStyle>
    <tableStyle name="분할_26년02월-style 670" pivot="0" count="2">
      <tableStyleElement type="firstRowStripe" dxfId="1"/>
      <tableStyleElement type="secondRowStripe" dxfId="2"/>
    </tableStyle>
    <tableStyle name="분할_26년02월-style 671" pivot="0" count="2">
      <tableStyleElement type="firstRowStripe" dxfId="2"/>
      <tableStyleElement type="secondRowStripe" dxfId="1"/>
    </tableStyle>
    <tableStyle name="분할_26년02월-style 672" pivot="0" count="2">
      <tableStyleElement type="firstRowStripe" dxfId="2"/>
      <tableStyleElement type="secondRowStripe" dxfId="1"/>
    </tableStyle>
    <tableStyle name="분할_26년02월-style 673" pivot="0" count="2">
      <tableStyleElement type="firstRowStripe" dxfId="2"/>
      <tableStyleElement type="secondRowStripe" dxfId="1"/>
    </tableStyle>
    <tableStyle name="분할_26년02월-style 674" pivot="0" count="2">
      <tableStyleElement type="firstRowStripe" dxfId="1"/>
      <tableStyleElement type="secondRowStripe" dxfId="2"/>
    </tableStyle>
    <tableStyle name="분할_26년02월-style 675" pivot="0" count="2">
      <tableStyleElement type="firstRowStripe" dxfId="1"/>
      <tableStyleElement type="secondRowStripe" dxfId="2"/>
    </tableStyle>
    <tableStyle name="분할_26년02월-style 676" pivot="0" count="2">
      <tableStyleElement type="firstRowStripe" dxfId="2"/>
      <tableStyleElement type="secondRowStripe" dxfId="1"/>
    </tableStyle>
    <tableStyle name="분할_26년02월-style 677" pivot="0" count="2">
      <tableStyleElement type="firstRowStripe" dxfId="1"/>
      <tableStyleElement type="secondRowStripe" dxfId="2"/>
    </tableStyle>
    <tableStyle name="분할_26년02월-style 678" pivot="0" count="2">
      <tableStyleElement type="firstRowStripe" dxfId="2"/>
      <tableStyleElement type="secondRowStripe" dxfId="1"/>
    </tableStyle>
    <tableStyle name="분할_26년02월-style 679" pivot="0" count="2">
      <tableStyleElement type="firstRowStripe" dxfId="1"/>
      <tableStyleElement type="secondRowStripe" dxfId="2"/>
    </tableStyle>
    <tableStyle name="분할_26년02월-style 680" pivot="0" count="2">
      <tableStyleElement type="firstRowStripe" dxfId="1"/>
      <tableStyleElement type="secondRowStripe" dxfId="2"/>
    </tableStyle>
    <tableStyle name="분할_26년02월-style 681" pivot="0" count="2">
      <tableStyleElement type="firstRowStripe" dxfId="2"/>
      <tableStyleElement type="secondRowStripe" dxfId="1"/>
    </tableStyle>
    <tableStyle name="분할_26년02월-style 682" pivot="0" count="2">
      <tableStyleElement type="firstRowStripe" dxfId="1"/>
      <tableStyleElement type="secondRowStripe" dxfId="2"/>
    </tableStyle>
    <tableStyle name="분할_26년02월-style 683" pivot="0" count="2">
      <tableStyleElement type="firstRowStripe" dxfId="1"/>
      <tableStyleElement type="secondRowStripe" dxfId="2"/>
    </tableStyle>
    <tableStyle name="분할_26년02월-style 684" pivot="0" count="2">
      <tableStyleElement type="firstRowStripe" dxfId="1"/>
      <tableStyleElement type="secondRowStripe" dxfId="2"/>
    </tableStyle>
    <tableStyle name="분할_26년02월-style 685" pivot="0" count="2">
      <tableStyleElement type="firstRowStripe" dxfId="2"/>
      <tableStyleElement type="secondRowStripe" dxfId="1"/>
    </tableStyle>
    <tableStyle name="분할_26년02월-style 686" pivot="0" count="2">
      <tableStyleElement type="firstRowStripe" dxfId="2"/>
      <tableStyleElement type="secondRowStripe" dxfId="1"/>
    </tableStyle>
    <tableStyle name="분할_26년02월-style 687" pivot="0" count="2">
      <tableStyleElement type="firstRowStripe" dxfId="1"/>
      <tableStyleElement type="secondRowStripe" dxfId="2"/>
    </tableStyle>
    <tableStyle name="분할_26년02월-style 688" pivot="0" count="2">
      <tableStyleElement type="firstRowStripe" dxfId="2"/>
      <tableStyleElement type="secondRowStripe" dxfId="1"/>
    </tableStyle>
    <tableStyle name="분할_26년02월-style 689" pivot="0" count="2">
      <tableStyleElement type="firstRowStripe" dxfId="1"/>
      <tableStyleElement type="secondRowStripe" dxfId="2"/>
    </tableStyle>
    <tableStyle name="분할_26년02월-style 690" pivot="0" count="2">
      <tableStyleElement type="firstRowStripe" dxfId="2"/>
      <tableStyleElement type="secondRowStripe" dxfId="1"/>
    </tableStyle>
    <tableStyle name="분할_26년02월-style 691" pivot="0" count="2">
      <tableStyleElement type="firstRowStripe" dxfId="1"/>
      <tableStyleElement type="secondRowStripe" dxfId="2"/>
    </tableStyle>
    <tableStyle name="분할_26년02월-style 692" pivot="0" count="2">
      <tableStyleElement type="firstRowStripe" dxfId="2"/>
      <tableStyleElement type="secondRowStripe" dxfId="1"/>
    </tableStyle>
    <tableStyle name="분할_26년02월-style 693" pivot="0" count="2">
      <tableStyleElement type="firstRowStripe" dxfId="2"/>
      <tableStyleElement type="secondRowStripe" dxfId="1"/>
    </tableStyle>
    <tableStyle name="분할_26년02월-style 694" pivot="0" count="2">
      <tableStyleElement type="firstRowStripe" dxfId="1"/>
      <tableStyleElement type="secondRowStripe" dxfId="2"/>
    </tableStyle>
    <tableStyle name="분할_26년02월-style 695" pivot="0" count="2">
      <tableStyleElement type="firstRowStripe" dxfId="1"/>
      <tableStyleElement type="secondRowStripe" dxfId="2"/>
    </tableStyle>
    <tableStyle name="분할_26년02월-style 696" pivot="0" count="2">
      <tableStyleElement type="firstRowStripe" dxfId="1"/>
      <tableStyleElement type="secondRowStripe" dxfId="2"/>
    </tableStyle>
    <tableStyle name="분할_26년02월-style 697" pivot="0" count="2">
      <tableStyleElement type="firstRowStripe" dxfId="2"/>
      <tableStyleElement type="secondRowStripe" dxfId="1"/>
    </tableStyle>
    <tableStyle name="분할_26년02월-style 698" pivot="0" count="2">
      <tableStyleElement type="firstRowStripe" dxfId="1"/>
      <tableStyleElement type="secondRowStripe" dxfId="2"/>
    </tableStyle>
    <tableStyle name="분할_26년02월-style 699" pivot="0" count="2">
      <tableStyleElement type="firstRowStripe" dxfId="2"/>
      <tableStyleElement type="secondRowStripe" dxfId="1"/>
    </tableStyle>
    <tableStyle name="분할_26년02월-style 700" pivot="0" count="2">
      <tableStyleElement type="firstRowStripe" dxfId="1"/>
      <tableStyleElement type="secondRowStripe" dxfId="2"/>
    </tableStyle>
    <tableStyle name="분할_26년02월-style 701" pivot="0" count="2">
      <tableStyleElement type="firstRowStripe" dxfId="1"/>
      <tableStyleElement type="secondRowStripe" dxfId="2"/>
    </tableStyle>
    <tableStyle name="분할_26년02월-style 702" pivot="0" count="2">
      <tableStyleElement type="firstRowStripe" dxfId="1"/>
      <tableStyleElement type="secondRowStripe" dxfId="2"/>
    </tableStyle>
    <tableStyle name="분할_26년02월-style 703" pivot="0" count="2">
      <tableStyleElement type="firstRowStripe" dxfId="1"/>
      <tableStyleElement type="secondRowStripe" dxfId="2"/>
    </tableStyle>
    <tableStyle name="분할_26년02월-style 704" pivot="0" count="2">
      <tableStyleElement type="firstRowStripe" dxfId="1"/>
      <tableStyleElement type="secondRowStripe" dxfId="2"/>
    </tableStyle>
    <tableStyle name="분할_26년02월-style 705" pivot="0" count="2">
      <tableStyleElement type="firstRowStripe" dxfId="1"/>
      <tableStyleElement type="secondRowStripe" dxfId="2"/>
    </tableStyle>
    <tableStyle name="분할_26년02월-style 706" pivot="0" count="2">
      <tableStyleElement type="firstRowStripe" dxfId="1"/>
      <tableStyleElement type="secondRowStripe" dxfId="2"/>
    </tableStyle>
    <tableStyle name="분할_26년02월-style 707" pivot="0" count="2">
      <tableStyleElement type="firstRowStripe" dxfId="1"/>
      <tableStyleElement type="secondRowStripe" dxfId="2"/>
    </tableStyle>
    <tableStyle name="분할_26년02월-style 708" pivot="0" count="2">
      <tableStyleElement type="firstRowStripe" dxfId="1"/>
      <tableStyleElement type="secondRowStripe" dxfId="2"/>
    </tableStyle>
    <tableStyle name="분할_26년02월-style 709" pivot="0" count="2">
      <tableStyleElement type="firstRowStripe" dxfId="1"/>
      <tableStyleElement type="secondRowStripe" dxfId="2"/>
    </tableStyle>
    <tableStyle name="분할_26년02월-style 710" pivot="0" count="2">
      <tableStyleElement type="firstRowStripe" dxfId="1"/>
      <tableStyleElement type="secondRowStripe" dxfId="2"/>
    </tableStyle>
    <tableStyle name="분할_26년02월-style 711" pivot="0" count="2">
      <tableStyleElement type="firstRowStripe" dxfId="1"/>
      <tableStyleElement type="secondRowStripe" dxfId="2"/>
    </tableStyle>
    <tableStyle name="분할_26년02월-style 712" pivot="0" count="2">
      <tableStyleElement type="firstRowStripe" dxfId="2"/>
      <tableStyleElement type="secondRowStripe" dxfId="1"/>
    </tableStyle>
    <tableStyle name="분할_26년02월-style 713" pivot="0" count="2">
      <tableStyleElement type="firstRowStripe" dxfId="1"/>
      <tableStyleElement type="secondRowStripe" dxfId="2"/>
    </tableStyle>
    <tableStyle name="분할_26년02월-style 714" pivot="0" count="2">
      <tableStyleElement type="firstRowStripe" dxfId="1"/>
      <tableStyleElement type="secondRowStripe" dxfId="2"/>
    </tableStyle>
    <tableStyle name="분할_26년02월-style 715" pivot="0" count="2">
      <tableStyleElement type="firstRowStripe" dxfId="2"/>
      <tableStyleElement type="secondRowStripe" dxfId="1"/>
    </tableStyle>
    <tableStyle name="분할_26년02월-style 716" pivot="0" count="2">
      <tableStyleElement type="firstRowStripe" dxfId="2"/>
      <tableStyleElement type="secondRowStripe" dxfId="1"/>
    </tableStyle>
    <tableStyle name="분할_26년02월-style 717" pivot="0" count="2">
      <tableStyleElement type="firstRowStripe" dxfId="1"/>
      <tableStyleElement type="secondRowStripe" dxfId="2"/>
    </tableStyle>
    <tableStyle name="분할_26년02월-style 718" pivot="0" count="2">
      <tableStyleElement type="firstRowStripe" dxfId="1"/>
      <tableStyleElement type="secondRowStripe" dxfId="2"/>
    </tableStyle>
    <tableStyle name="분할_26년02월-style 719" pivot="0" count="2">
      <tableStyleElement type="firstRowStripe" dxfId="1"/>
      <tableStyleElement type="secondRowStripe" dxfId="2"/>
    </tableStyle>
    <tableStyle name="분할_26년02월-style 720" pivot="0" count="2">
      <tableStyleElement type="firstRowStripe" dxfId="2"/>
      <tableStyleElement type="secondRowStripe" dxfId="1"/>
    </tableStyle>
    <tableStyle name="분할_26년02월-style 721" pivot="0" count="2">
      <tableStyleElement type="firstRowStripe" dxfId="2"/>
      <tableStyleElement type="secondRowStripe" dxfId="1"/>
    </tableStyle>
    <tableStyle name="분할_26년02월-style 722" pivot="0" count="2">
      <tableStyleElement type="firstRowStripe" dxfId="2"/>
      <tableStyleElement type="secondRowStripe" dxfId="1"/>
    </tableStyle>
    <tableStyle name="분할_26년02월-style 723" pivot="0" count="2">
      <tableStyleElement type="firstRowStripe" dxfId="1"/>
      <tableStyleElement type="secondRowStripe" dxfId="2"/>
    </tableStyle>
    <tableStyle name="분할_26년02월-style 724" pivot="0" count="2">
      <tableStyleElement type="firstRowStripe" dxfId="2"/>
      <tableStyleElement type="secondRowStripe" dxfId="1"/>
    </tableStyle>
    <tableStyle name="분할_26년02월-style 725" pivot="0" count="2">
      <tableStyleElement type="firstRowStripe" dxfId="2"/>
      <tableStyleElement type="secondRowStripe" dxfId="1"/>
    </tableStyle>
    <tableStyle name="분할_26년02월-style 726" pivot="0" count="2">
      <tableStyleElement type="firstRowStripe" dxfId="1"/>
      <tableStyleElement type="secondRowStripe" dxfId="2"/>
    </tableStyle>
    <tableStyle name="분할_26년02월-style 727" pivot="0" count="2">
      <tableStyleElement type="firstRowStripe" dxfId="1"/>
      <tableStyleElement type="secondRowStripe" dxfId="2"/>
    </tableStyle>
    <tableStyle name="분할_26년02월-style 728" pivot="0" count="2">
      <tableStyleElement type="firstRowStripe" dxfId="1"/>
      <tableStyleElement type="secondRowStripe" dxfId="2"/>
    </tableStyle>
    <tableStyle name="분할_26년02월-style 729" pivot="0" count="2">
      <tableStyleElement type="firstRowStripe" dxfId="1"/>
      <tableStyleElement type="secondRowStripe" dxfId="2"/>
    </tableStyle>
    <tableStyle name="분할_26년02월-style 730" pivot="0" count="2">
      <tableStyleElement type="firstRowStripe" dxfId="2"/>
      <tableStyleElement type="secondRowStripe" dxfId="1"/>
    </tableStyle>
    <tableStyle name="분할_26년02월-style 731" pivot="0" count="2">
      <tableStyleElement type="firstRowStripe" dxfId="1"/>
      <tableStyleElement type="secondRowStripe" dxfId="2"/>
    </tableStyle>
    <tableStyle name="분할_26년02월-style 732" pivot="0" count="2">
      <tableStyleElement type="firstRowStripe" dxfId="2"/>
      <tableStyleElement type="secondRowStripe" dxfId="1"/>
    </tableStyle>
    <tableStyle name="분할_26년02월-style 733" pivot="0" count="2">
      <tableStyleElement type="firstRowStripe" dxfId="1"/>
      <tableStyleElement type="secondRowStripe" dxfId="2"/>
    </tableStyle>
    <tableStyle name="분할_26년02월-style 734" pivot="0" count="2">
      <tableStyleElement type="firstRowStripe" dxfId="1"/>
      <tableStyleElement type="secondRowStripe" dxfId="2"/>
    </tableStyle>
    <tableStyle name="분할_26년02월-style 735" pivot="0" count="2">
      <tableStyleElement type="firstRowStripe" dxfId="1"/>
      <tableStyleElement type="secondRowStripe" dxfId="2"/>
    </tableStyle>
    <tableStyle name="분할_26년02월-style 736" pivot="0" count="2">
      <tableStyleElement type="firstRowStripe" dxfId="1"/>
      <tableStyleElement type="secondRowStripe" dxfId="2"/>
    </tableStyle>
    <tableStyle name="분할_26년02월-style 737" pivot="0" count="2">
      <tableStyleElement type="firstRowStripe" dxfId="1"/>
      <tableStyleElement type="secondRowStripe" dxfId="2"/>
    </tableStyle>
    <tableStyle name="분할_26년02월-style 738" pivot="0" count="2">
      <tableStyleElement type="firstRowStripe" dxfId="1"/>
      <tableStyleElement type="secondRowStripe" dxfId="2"/>
    </tableStyle>
    <tableStyle name="분할_26년02월-style 739" pivot="0" count="2">
      <tableStyleElement type="firstRowStripe" dxfId="1"/>
      <tableStyleElement type="secondRowStripe" dxfId="2"/>
    </tableStyle>
    <tableStyle name="분할_26년02월-style 740" pivot="0" count="2">
      <tableStyleElement type="firstRowStripe" dxfId="1"/>
      <tableStyleElement type="secondRowStripe" dxfId="2"/>
    </tableStyle>
    <tableStyle name="분할_26년02월-style 741" pivot="0" count="2">
      <tableStyleElement type="firstRowStripe" dxfId="1"/>
      <tableStyleElement type="secondRowStripe" dxfId="2"/>
    </tableStyle>
    <tableStyle name="분할_26년02월-style 742" pivot="0" count="2">
      <tableStyleElement type="firstRowStripe" dxfId="1"/>
      <tableStyleElement type="secondRowStripe" dxfId="2"/>
    </tableStyle>
    <tableStyle name="분할_26년02월-style 743" pivot="0" count="2">
      <tableStyleElement type="firstRowStripe" dxfId="1"/>
      <tableStyleElement type="secondRowStripe" dxfId="2"/>
    </tableStyle>
    <tableStyle name="분할_26년02월-style 744" pivot="0" count="2">
      <tableStyleElement type="firstRowStripe" dxfId="1"/>
      <tableStyleElement type="secondRowStripe" dxfId="2"/>
    </tableStyle>
    <tableStyle name="분할_26년02월-style 745" pivot="0" count="2">
      <tableStyleElement type="firstRowStripe" dxfId="1"/>
      <tableStyleElement type="secondRowStripe" dxfId="2"/>
    </tableStyle>
    <tableStyle name="분할_26년02월-style 746" pivot="0" count="2">
      <tableStyleElement type="firstRowStripe" dxfId="1"/>
      <tableStyleElement type="secondRowStripe" dxfId="2"/>
    </tableStyle>
    <tableStyle name="분할_26년02월-style 747" pivot="0" count="2">
      <tableStyleElement type="firstRowStripe" dxfId="1"/>
      <tableStyleElement type="secondRowStripe" dxfId="2"/>
    </tableStyle>
    <tableStyle name="분할_26년02월-style 748" pivot="0" count="2">
      <tableStyleElement type="firstRowStripe" dxfId="1"/>
      <tableStyleElement type="secondRowStripe" dxfId="2"/>
    </tableStyle>
    <tableStyle name="분할_26년02월-style 749" pivot="0" count="2">
      <tableStyleElement type="firstRowStripe" dxfId="2"/>
      <tableStyleElement type="secondRowStripe" dxfId="1"/>
    </tableStyle>
    <tableStyle name="분할_26년02월-style 750" pivot="0" count="2">
      <tableStyleElement type="firstRowStripe" dxfId="1"/>
      <tableStyleElement type="secondRowStripe" dxfId="2"/>
    </tableStyle>
    <tableStyle name="분할_26년02월-style 751" pivot="0" count="2">
      <tableStyleElement type="firstRowStripe" dxfId="1"/>
      <tableStyleElement type="secondRowStripe" dxfId="2"/>
    </tableStyle>
    <tableStyle name="분할_26년02월-style 752" pivot="0" count="2">
      <tableStyleElement type="firstRowStripe" dxfId="1"/>
      <tableStyleElement type="secondRowStripe" dxfId="2"/>
    </tableStyle>
    <tableStyle name="분할_26년02월-style 753" pivot="0" count="2">
      <tableStyleElement type="firstRowStripe" dxfId="2"/>
      <tableStyleElement type="secondRowStripe" dxfId="1"/>
    </tableStyle>
    <tableStyle name="분할_26년02월-style 754" pivot="0" count="2">
      <tableStyleElement type="firstRowStripe" dxfId="2"/>
      <tableStyleElement type="secondRowStripe" dxfId="1"/>
    </tableStyle>
    <tableStyle name="분할_26년02월-style 755" pivot="0" count="2">
      <tableStyleElement type="firstRowStripe" dxfId="1"/>
      <tableStyleElement type="secondRowStripe" dxfId="2"/>
    </tableStyle>
    <tableStyle name="분할_26년02월-style 756" pivot="0" count="2">
      <tableStyleElement type="firstRowStripe" dxfId="1"/>
      <tableStyleElement type="secondRowStripe" dxfId="2"/>
    </tableStyle>
    <tableStyle name="분할_26년02월-style 757" pivot="0" count="2">
      <tableStyleElement type="firstRowStripe" dxfId="1"/>
      <tableStyleElement type="secondRowStripe" dxfId="2"/>
    </tableStyle>
    <tableStyle name="분할_26년02월-style 758" pivot="0" count="2">
      <tableStyleElement type="firstRowStripe" dxfId="2"/>
      <tableStyleElement type="secondRowStripe" dxfId="1"/>
    </tableStyle>
    <tableStyle name="분할_26년02월-style 759" pivot="0" count="2">
      <tableStyleElement type="firstRowStripe" dxfId="2"/>
      <tableStyleElement type="secondRowStripe" dxfId="1"/>
    </tableStyle>
    <tableStyle name="분할_26년02월-style 760" pivot="0" count="2">
      <tableStyleElement type="firstRowStripe" dxfId="2"/>
      <tableStyleElement type="secondRowStripe" dxfId="1"/>
    </tableStyle>
    <tableStyle name="분할_26년02월-style 761" pivot="0" count="2">
      <tableStyleElement type="firstRowStripe" dxfId="1"/>
      <tableStyleElement type="secondRowStripe" dxfId="2"/>
    </tableStyle>
    <tableStyle name="분할_26년02월-style 762" pivot="0" count="2">
      <tableStyleElement type="firstRowStripe" dxfId="2"/>
      <tableStyleElement type="secondRowStripe" dxfId="1"/>
    </tableStyle>
    <tableStyle name="분할_26년02월-style 763" pivot="0" count="2">
      <tableStyleElement type="firstRowStripe" dxfId="1"/>
      <tableStyleElement type="secondRowStripe" dxfId="2"/>
    </tableStyle>
    <tableStyle name="분할_26년02월-style 764" pivot="0" count="2">
      <tableStyleElement type="firstRowStripe" dxfId="2"/>
      <tableStyleElement type="secondRowStripe" dxfId="1"/>
    </tableStyle>
    <tableStyle name="분할_26년02월-style 765" pivot="0" count="2">
      <tableStyleElement type="firstRowStripe" dxfId="1"/>
      <tableStyleElement type="secondRowStripe" dxfId="2"/>
    </tableStyle>
    <tableStyle name="분할_26년02월-style 766" pivot="0" count="2">
      <tableStyleElement type="firstRowStripe" dxfId="2"/>
      <tableStyleElement type="secondRowStripe" dxfId="1"/>
    </tableStyle>
    <tableStyle name="분할_26년02월-style 767" pivot="0" count="2">
      <tableStyleElement type="firstRowStripe" dxfId="2"/>
      <tableStyleElement type="secondRowStripe" dxfId="1"/>
    </tableStyle>
    <tableStyle name="분할_26년02월-style 768" pivot="0" count="2">
      <tableStyleElement type="firstRowStripe" dxfId="2"/>
      <tableStyleElement type="secondRowStripe" dxfId="1"/>
    </tableStyle>
    <tableStyle name="분할_26년02월-style 769" pivot="0" count="2">
      <tableStyleElement type="firstRowStripe" dxfId="1"/>
      <tableStyleElement type="secondRowStripe" dxfId="2"/>
    </tableStyle>
    <tableStyle name="분할_26년02월-style 770" pivot="0" count="2">
      <tableStyleElement type="firstRowStripe" dxfId="1"/>
      <tableStyleElement type="secondRowStripe" dxfId="2"/>
    </tableStyle>
    <tableStyle name="분할_26년02월-style 771" pivot="0" count="2">
      <tableStyleElement type="firstRowStripe" dxfId="1"/>
      <tableStyleElement type="secondRowStripe" dxfId="2"/>
    </tableStyle>
    <tableStyle name="분할_26년02월-style 772" pivot="0" count="2">
      <tableStyleElement type="firstRowStripe" dxfId="2"/>
      <tableStyleElement type="secondRowStripe" dxfId="1"/>
    </tableStyle>
    <tableStyle name="분할_26년02월-style 773" pivot="0" count="2">
      <tableStyleElement type="firstRowStripe" dxfId="1"/>
      <tableStyleElement type="secondRowStripe" dxfId="2"/>
    </tableStyle>
    <tableStyle name="분할_26년02월-style 774" pivot="0" count="2">
      <tableStyleElement type="firstRowStripe" dxfId="1"/>
      <tableStyleElement type="secondRowStripe" dxfId="2"/>
    </tableStyle>
    <tableStyle name="분할_26년02월-style 775" pivot="0" count="2">
      <tableStyleElement type="firstRowStripe" dxfId="1"/>
      <tableStyleElement type="secondRowStripe" dxfId="2"/>
    </tableStyle>
    <tableStyle name="분할_26년02월-style 776" pivot="0" count="2">
      <tableStyleElement type="firstRowStripe" dxfId="1"/>
      <tableStyleElement type="secondRowStripe" dxfId="2"/>
    </tableStyle>
    <tableStyle name="분할_26년02월-style 777" pivot="0" count="2">
      <tableStyleElement type="firstRowStripe" dxfId="2"/>
      <tableStyleElement type="secondRowStripe" dxfId="1"/>
    </tableStyle>
    <tableStyle name="분할_26년02월-style 778" pivot="0" count="2">
      <tableStyleElement type="firstRowStripe" dxfId="1"/>
      <tableStyleElement type="secondRowStripe" dxfId="2"/>
    </tableStyle>
    <tableStyle name="분할_26년02월-style 779" pivot="0" count="2">
      <tableStyleElement type="firstRowStripe" dxfId="1"/>
      <tableStyleElement type="secondRowStripe" dxfId="2"/>
    </tableStyle>
    <tableStyle name="분할_26년02월-style 780" pivot="0" count="2">
      <tableStyleElement type="firstRowStripe" dxfId="1"/>
      <tableStyleElement type="secondRowStripe" dxfId="2"/>
    </tableStyle>
    <tableStyle name="분할_26년02월-style 781" pivot="0" count="2">
      <tableStyleElement type="firstRowStripe" dxfId="1"/>
      <tableStyleElement type="secondRowStripe" dxfId="2"/>
    </tableStyle>
    <tableStyle name="분할_26년02월-style 782" pivot="0" count="2">
      <tableStyleElement type="firstRowStripe" dxfId="1"/>
      <tableStyleElement type="secondRowStripe" dxfId="2"/>
    </tableStyle>
    <tableStyle name="분할_26년02월-style 783" pivot="0" count="2">
      <tableStyleElement type="firstRowStripe" dxfId="1"/>
      <tableStyleElement type="secondRowStripe" dxfId="2"/>
    </tableStyle>
    <tableStyle name="분할_26년02월-style 784" pivot="0" count="2">
      <tableStyleElement type="firstRowStripe" dxfId="1"/>
      <tableStyleElement type="secondRowStripe" dxfId="2"/>
    </tableStyle>
    <tableStyle name="분할_26년02월-style 785" pivot="0" count="2">
      <tableStyleElement type="firstRowStripe" dxfId="1"/>
      <tableStyleElement type="secondRowStripe" dxfId="2"/>
    </tableStyle>
    <tableStyle name="분할_26년02월-style 786" pivot="0" count="2">
      <tableStyleElement type="firstRowStripe" dxfId="1"/>
      <tableStyleElement type="secondRowStripe" dxfId="2"/>
    </tableStyle>
    <tableStyle name="분할_26년02월-style 787" pivot="0" count="2">
      <tableStyleElement type="firstRowStripe" dxfId="1"/>
      <tableStyleElement type="secondRowStripe" dxfId="2"/>
    </tableStyle>
    <tableStyle name="분할_26년02월-style 788" pivot="0" count="2">
      <tableStyleElement type="firstRowStripe" dxfId="1"/>
      <tableStyleElement type="secondRowStripe" dxfId="2"/>
    </tableStyle>
    <tableStyle name="분할_26년02월-style 789" pivot="0" count="2">
      <tableStyleElement type="firstRowStripe" dxfId="1"/>
      <tableStyleElement type="secondRowStripe" dxfId="2"/>
    </tableStyle>
    <tableStyle name="분할_26년02월-style 790" pivot="0" count="2">
      <tableStyleElement type="firstRowStripe" dxfId="1"/>
      <tableStyleElement type="secondRowStripe" dxfId="2"/>
    </tableStyle>
    <tableStyle name="분할_26년02월-style 791" pivot="0" count="2">
      <tableStyleElement type="firstRowStripe" dxfId="1"/>
      <tableStyleElement type="secondRowStripe" dxfId="2"/>
    </tableStyle>
    <tableStyle name="분할_26년02월-style 792" pivot="0" count="2">
      <tableStyleElement type="firstRowStripe" dxfId="1"/>
      <tableStyleElement type="secondRowStripe" dxfId="2"/>
    </tableStyle>
    <tableStyle name="분할_26년02월-style 793" pivot="0" count="2">
      <tableStyleElement type="firstRowStripe" dxfId="1"/>
      <tableStyleElement type="secondRowStripe" dxfId="2"/>
    </tableStyle>
    <tableStyle name="분할_26년02월-style 794" pivot="0" count="2">
      <tableStyleElement type="firstRowStripe" dxfId="2"/>
      <tableStyleElement type="secondRowStripe" dxfId="1"/>
    </tableStyle>
    <tableStyle name="분할_26년02월-style 795" pivot="0" count="2">
      <tableStyleElement type="firstRowStripe" dxfId="1"/>
      <tableStyleElement type="secondRowStripe" dxfId="2"/>
    </tableStyle>
    <tableStyle name="분할_26년02월-style 796" pivot="0" count="2">
      <tableStyleElement type="firstRowStripe" dxfId="1"/>
      <tableStyleElement type="secondRowStripe" dxfId="2"/>
    </tableStyle>
    <tableStyle name="분할_26년02월-style 797" pivot="0" count="2">
      <tableStyleElement type="firstRowStripe" dxfId="2"/>
      <tableStyleElement type="secondRowStripe" dxfId="1"/>
    </tableStyle>
    <tableStyle name="분할_26년02월-style 798" pivot="0" count="2">
      <tableStyleElement type="firstRowStripe" dxfId="2"/>
      <tableStyleElement type="secondRowStripe" dxfId="1"/>
    </tableStyle>
    <tableStyle name="분할_26년02월-style 799" pivot="0" count="2">
      <tableStyleElement type="firstRowStripe" dxfId="1"/>
      <tableStyleElement type="secondRowStripe" dxfId="2"/>
    </tableStyle>
    <tableStyle name="분할_26년02월-style 800" pivot="0" count="2">
      <tableStyleElement type="firstRowStripe" dxfId="1"/>
      <tableStyleElement type="secondRowStripe" dxfId="2"/>
    </tableStyle>
    <tableStyle name="분할_26년02월-style 801" pivot="0" count="2">
      <tableStyleElement type="firstRowStripe" dxfId="1"/>
      <tableStyleElement type="secondRowStripe" dxfId="2"/>
    </tableStyle>
    <tableStyle name="분할_26년02월-style 802" pivot="0" count="2">
      <tableStyleElement type="firstRowStripe" dxfId="2"/>
      <tableStyleElement type="secondRowStripe" dxfId="1"/>
    </tableStyle>
    <tableStyle name="분할_26년02월-style 803" pivot="0" count="2">
      <tableStyleElement type="firstRowStripe" dxfId="2"/>
      <tableStyleElement type="secondRowStripe" dxfId="1"/>
    </tableStyle>
    <tableStyle name="분할_26년02월-style 804" pivot="0" count="2">
      <tableStyleElement type="firstRowStripe" dxfId="2"/>
      <tableStyleElement type="secondRowStripe" dxfId="1"/>
    </tableStyle>
    <tableStyle name="분할_26년02월-style 805" pivot="0" count="2">
      <tableStyleElement type="firstRowStripe" dxfId="1"/>
      <tableStyleElement type="secondRowStripe" dxfId="2"/>
    </tableStyle>
    <tableStyle name="분할_26년02월-style 806" pivot="0" count="2">
      <tableStyleElement type="firstRowStripe" dxfId="2"/>
      <tableStyleElement type="secondRowStripe" dxfId="1"/>
    </tableStyle>
    <tableStyle name="분할_26년02월-style 807" pivot="0" count="2">
      <tableStyleElement type="firstRowStripe" dxfId="2"/>
      <tableStyleElement type="secondRowStripe" dxfId="1"/>
    </tableStyle>
    <tableStyle name="분할_26년02월-style 808" pivot="0" count="2">
      <tableStyleElement type="firstRowStripe" dxfId="2"/>
      <tableStyleElement type="secondRowStripe" dxfId="1"/>
    </tableStyle>
    <tableStyle name="분할_26년02월-style 809" pivot="0" count="2">
      <tableStyleElement type="firstRowStripe" dxfId="1"/>
      <tableStyleElement type="secondRowStripe" dxfId="2"/>
    </tableStyle>
    <tableStyle name="분할_26년02월-style 810" pivot="0" count="2">
      <tableStyleElement type="firstRowStripe" dxfId="1"/>
      <tableStyleElement type="secondRowStripe" dxfId="2"/>
    </tableStyle>
    <tableStyle name="분할_26년02월-style 811" pivot="0" count="2">
      <tableStyleElement type="firstRowStripe" dxfId="1"/>
      <tableStyleElement type="secondRowStripe" dxfId="2"/>
    </tableStyle>
    <tableStyle name="분할_26년02월-style 812" pivot="0" count="2">
      <tableStyleElement type="firstRowStripe" dxfId="1"/>
      <tableStyleElement type="secondRowStripe" dxfId="2"/>
    </tableStyle>
    <tableStyle name="분할_26년02월-style 813" pivot="0" count="2">
      <tableStyleElement type="firstRowStripe" dxfId="1"/>
      <tableStyleElement type="secondRowStripe" dxfId="2"/>
    </tableStyle>
    <tableStyle name="분할_26년02월-style 814" pivot="0" count="2">
      <tableStyleElement type="firstRowStripe" dxfId="1"/>
      <tableStyleElement type="secondRowStripe" dxfId="2"/>
    </tableStyle>
    <tableStyle name="분할_26년02월-style 815" pivot="0" count="2">
      <tableStyleElement type="firstRowStripe" dxfId="2"/>
      <tableStyleElement type="secondRowStripe" dxfId="1"/>
    </tableStyle>
    <tableStyle name="분할_26년02월-style 816" pivot="0" count="2">
      <tableStyleElement type="firstRowStripe" dxfId="1"/>
      <tableStyleElement type="secondRowStripe" dxfId="2"/>
    </tableStyle>
    <tableStyle name="분할_26년02월-style 817" pivot="0" count="2">
      <tableStyleElement type="firstRowStripe" dxfId="1"/>
      <tableStyleElement type="secondRowStripe" dxfId="2"/>
    </tableStyle>
    <tableStyle name="분할_26년02월-style 818" pivot="0" count="2">
      <tableStyleElement type="firstRowStripe" dxfId="1"/>
      <tableStyleElement type="secondRowStripe" dxfId="2"/>
    </tableStyle>
    <tableStyle name="분할_26년02월-style 819" pivot="0" count="2">
      <tableStyleElement type="firstRowStripe" dxfId="1"/>
      <tableStyleElement type="secondRowStripe" dxfId="2"/>
    </tableStyle>
    <tableStyle name="분할_26년02월-style 820" pivot="0" count="2">
      <tableStyleElement type="firstRowStripe" dxfId="1"/>
      <tableStyleElement type="secondRowStripe" dxfId="2"/>
    </tableStyle>
    <tableStyle name="분할_26년02월-style 821" pivot="0" count="2">
      <tableStyleElement type="firstRowStripe" dxfId="1"/>
      <tableStyleElement type="secondRowStripe" dxfId="2"/>
    </tableStyle>
    <tableStyle name="분할_26년02월-style 822" pivot="0" count="2">
      <tableStyleElement type="firstRowStripe" dxfId="1"/>
      <tableStyleElement type="secondRowStripe" dxfId="2"/>
    </tableStyle>
    <tableStyle name="분할_26년02월-style 823" pivot="0" count="2">
      <tableStyleElement type="firstRowStripe" dxfId="1"/>
      <tableStyleElement type="secondRowStripe" dxfId="2"/>
    </tableStyle>
    <tableStyle name="분할_26년02월-style 824" pivot="0" count="2">
      <tableStyleElement type="firstRowStripe" dxfId="2"/>
      <tableStyleElement type="secondRowStripe" dxfId="1"/>
    </tableStyle>
    <tableStyle name="분할_26년02월-style 825" pivot="0" count="2">
      <tableStyleElement type="firstRowStripe" dxfId="1"/>
      <tableStyleElement type="secondRowStripe" dxfId="2"/>
    </tableStyle>
    <tableStyle name="분할_26년02월-style 826" pivot="0" count="2">
      <tableStyleElement type="firstRowStripe" dxfId="2"/>
      <tableStyleElement type="secondRowStripe" dxfId="1"/>
    </tableStyle>
    <tableStyle name="분할_26년02월-style 827" pivot="0" count="2">
      <tableStyleElement type="firstRowStripe" dxfId="1"/>
      <tableStyleElement type="secondRowStripe" dxfId="2"/>
    </tableStyle>
    <tableStyle name="분할_26년02월-style 828" pivot="0" count="2">
      <tableStyleElement type="firstRowStripe" dxfId="1"/>
      <tableStyleElement type="secondRowStripe" dxfId="2"/>
    </tableStyle>
    <tableStyle name="분할_26년02월-style 829" pivot="0" count="2">
      <tableStyleElement type="firstRowStripe" dxfId="1"/>
      <tableStyleElement type="secondRowStripe" dxfId="2"/>
    </tableStyle>
    <tableStyle name="분할_26년02월-style 830" pivot="0" count="2">
      <tableStyleElement type="firstRowStripe" dxfId="1"/>
      <tableStyleElement type="secondRowStripe" dxfId="2"/>
    </tableStyle>
    <tableStyle name="분할_26년02월-style 831" pivot="0" count="2">
      <tableStyleElement type="firstRowStripe" dxfId="2"/>
      <tableStyleElement type="secondRowStripe" dxfId="1"/>
    </tableStyle>
    <tableStyle name="분할_26년02월-style 832" pivot="0" count="2">
      <tableStyleElement type="firstRowStripe" dxfId="1"/>
      <tableStyleElement type="secondRowStripe" dxfId="2"/>
    </tableStyle>
    <tableStyle name="분할_26년02월-style 833" pivot="0" count="2">
      <tableStyleElement type="firstRowStripe" dxfId="1"/>
      <tableStyleElement type="secondRowStripe" dxfId="2"/>
    </tableStyle>
    <tableStyle name="분할_26년02월-style 834" pivot="0" count="2">
      <tableStyleElement type="firstRowStripe" dxfId="1"/>
      <tableStyleElement type="secondRowStripe" dxfId="2"/>
    </tableStyle>
    <tableStyle name="분할_26년02월-style 835" pivot="0" count="2">
      <tableStyleElement type="firstRowStripe" dxfId="1"/>
      <tableStyleElement type="secondRowStripe" dxfId="2"/>
    </tableStyle>
    <tableStyle name="분할_26년02월-style 836" pivot="0" count="2">
      <tableStyleElement type="firstRowStripe" dxfId="1"/>
      <tableStyleElement type="secondRowStripe" dxfId="2"/>
    </tableStyle>
    <tableStyle name="분할_26년02월-style 837" pivot="0" count="2">
      <tableStyleElement type="firstRowStripe" dxfId="2"/>
      <tableStyleElement type="secondRowStripe" dxfId="1"/>
    </tableStyle>
    <tableStyle name="분할_26년02월-style 838" pivot="0" count="2">
      <tableStyleElement type="firstRowStripe" dxfId="1"/>
      <tableStyleElement type="secondRowStripe" dxfId="2"/>
    </tableStyle>
    <tableStyle name="분할_26년02월-style 839" pivot="0" count="2">
      <tableStyleElement type="firstRowStripe" dxfId="1"/>
      <tableStyleElement type="secondRowStripe" dxfId="2"/>
    </tableStyle>
    <tableStyle name="분할_26년02월-style 840" pivot="0" count="2">
      <tableStyleElement type="firstRowStripe" dxfId="1"/>
      <tableStyleElement type="secondRowStripe" dxfId="2"/>
    </tableStyle>
    <tableStyle name="분할_26년02월-style 841" pivot="0" count="2">
      <tableStyleElement type="firstRowStripe" dxfId="2"/>
      <tableStyleElement type="secondRowStripe" dxfId="1"/>
    </tableStyle>
    <tableStyle name="분할_26년02월-style 842" pivot="0" count="2">
      <tableStyleElement type="firstRowStripe" dxfId="2"/>
      <tableStyleElement type="secondRowStripe" dxfId="1"/>
    </tableStyle>
    <tableStyle name="분할_26년02월-style 843" pivot="0" count="2">
      <tableStyleElement type="firstRowStripe" dxfId="2"/>
      <tableStyleElement type="secondRowStripe" dxfId="1"/>
    </tableStyle>
    <tableStyle name="분할_26년02월-style 844" pivot="0" count="2">
      <tableStyleElement type="firstRowStripe" dxfId="1"/>
      <tableStyleElement type="secondRowStripe" dxfId="2"/>
    </tableStyle>
    <tableStyle name="분할_26년02월-style 845" pivot="0" count="2">
      <tableStyleElement type="firstRowStripe" dxfId="1"/>
      <tableStyleElement type="secondRowStripe" dxfId="2"/>
    </tableStyle>
    <tableStyle name="분할_26년02월-style 846" pivot="0" count="2">
      <tableStyleElement type="firstRowStripe" dxfId="1"/>
      <tableStyleElement type="secondRowStripe" dxfId="2"/>
    </tableStyle>
    <tableStyle name="분할_26년02월-style 847" pivot="0" count="2">
      <tableStyleElement type="firstRowStripe" dxfId="2"/>
      <tableStyleElement type="secondRowStripe" dxfId="1"/>
    </tableStyle>
    <tableStyle name="분할_26년02월-style 848" pivot="0" count="2">
      <tableStyleElement type="firstRowStripe" dxfId="2"/>
      <tableStyleElement type="secondRowStripe" dxfId="1"/>
    </tableStyle>
    <tableStyle name="분할_26년02월-style 849" pivot="0" count="2">
      <tableStyleElement type="firstRowStripe" dxfId="2"/>
      <tableStyleElement type="secondRowStripe" dxfId="1"/>
    </tableStyle>
    <tableStyle name="분할_26년01월-style" pivot="0" count="2">
      <tableStyleElement type="firstRowStripe" dxfId="2"/>
      <tableStyleElement type="secondRowStripe" dxfId="1"/>
    </tableStyle>
    <tableStyle name="분할_26년01월-style 2" pivot="0" count="2">
      <tableStyleElement type="firstRowStripe" dxfId="1"/>
      <tableStyleElement type="secondRowStripe" dxfId="2"/>
    </tableStyle>
    <tableStyle name="분할_26년01월-style 3" pivot="0" count="2">
      <tableStyleElement type="firstRowStripe" dxfId="1"/>
      <tableStyleElement type="secondRowStripe" dxfId="2"/>
    </tableStyle>
    <tableStyle name="분할_26년01월-style 4" pivot="0" count="2">
      <tableStyleElement type="firstRowStripe" dxfId="2"/>
      <tableStyleElement type="secondRowStripe" dxfId="1"/>
    </tableStyle>
    <tableStyle name="분할_26년01월-style 5" pivot="0" count="2">
      <tableStyleElement type="firstRowStripe" dxfId="2"/>
      <tableStyleElement type="secondRowStripe" dxfId="1"/>
    </tableStyle>
    <tableStyle name="분할_26년01월-style 6" pivot="0" count="2">
      <tableStyleElement type="firstRowStripe" dxfId="2"/>
      <tableStyleElement type="secondRowStripe" dxfId="1"/>
    </tableStyle>
    <tableStyle name="분할_26년01월-style 7" pivot="0" count="2">
      <tableStyleElement type="firstRowStripe" dxfId="1"/>
      <tableStyleElement type="secondRowStripe" dxfId="2"/>
    </tableStyle>
    <tableStyle name="분할_26년01월-style 8" pivot="0" count="2">
      <tableStyleElement type="firstRowStripe" dxfId="1"/>
      <tableStyleElement type="secondRowStripe" dxfId="2"/>
    </tableStyle>
    <tableStyle name="분할_26년01월-style 9" pivot="0" count="2">
      <tableStyleElement type="firstRowStripe" dxfId="1"/>
      <tableStyleElement type="secondRowStripe" dxfId="2"/>
    </tableStyle>
    <tableStyle name="분할_26년01월-style 10" pivot="0" count="2">
      <tableStyleElement type="firstRowStripe" dxfId="1"/>
      <tableStyleElement type="secondRowStripe" dxfId="2"/>
    </tableStyle>
    <tableStyle name="분할_26년01월-style 11" pivot="0" count="2">
      <tableStyleElement type="firstRowStripe" dxfId="3"/>
      <tableStyleElement type="secondRowStripe" dxfId="1"/>
    </tableStyle>
    <tableStyle name="분할_26년01월-style 12" pivot="0" count="2">
      <tableStyleElement type="firstRowStripe" dxfId="2"/>
      <tableStyleElement type="secondRowStripe" dxfId="1"/>
    </tableStyle>
    <tableStyle name="분할_26년01월-style 13" pivot="0" count="2">
      <tableStyleElement type="firstRowStripe" dxfId="2"/>
      <tableStyleElement type="secondRowStripe" dxfId="1"/>
    </tableStyle>
    <tableStyle name="분할_26년01월-style 14" pivot="0" count="2">
      <tableStyleElement type="firstRowStripe" dxfId="1"/>
      <tableStyleElement type="secondRowStripe" dxfId="2"/>
    </tableStyle>
    <tableStyle name="분할_26년01월-style 15" pivot="0" count="2">
      <tableStyleElement type="firstRowStripe" dxfId="2"/>
      <tableStyleElement type="secondRowStripe" dxfId="1"/>
    </tableStyle>
    <tableStyle name="분할_26년01월-style 16" pivot="0" count="2">
      <tableStyleElement type="firstRowStripe" dxfId="2"/>
      <tableStyleElement type="secondRowStripe" dxfId="1"/>
    </tableStyle>
    <tableStyle name="분할_26년01월-style 17" pivot="0" count="2">
      <tableStyleElement type="firstRowStripe" dxfId="1"/>
      <tableStyleElement type="secondRowStripe" dxfId="2"/>
    </tableStyle>
    <tableStyle name="분할_26년01월-style 18" pivot="0" count="2">
      <tableStyleElement type="firstRowStripe" dxfId="1"/>
      <tableStyleElement type="secondRowStripe" dxfId="2"/>
    </tableStyle>
    <tableStyle name="분할_26년01월-style 19" pivot="0" count="2">
      <tableStyleElement type="firstRowStripe" dxfId="1"/>
      <tableStyleElement type="secondRowStripe" dxfId="2"/>
    </tableStyle>
    <tableStyle name="분할_26년01월-style 20" pivot="0" count="2">
      <tableStyleElement type="firstRowStripe" dxfId="1"/>
      <tableStyleElement type="secondRowStripe" dxfId="2"/>
    </tableStyle>
    <tableStyle name="분할_26년01월-style 21" pivot="0" count="2">
      <tableStyleElement type="firstRowStripe" dxfId="1"/>
      <tableStyleElement type="secondRowStripe" dxfId="2"/>
    </tableStyle>
    <tableStyle name="분할_26년01월-style 22" pivot="0" count="2">
      <tableStyleElement type="firstRowStripe" dxfId="1"/>
      <tableStyleElement type="secondRowStripe" dxfId="2"/>
    </tableStyle>
    <tableStyle name="분할_26년01월-style 23" pivot="0" count="2">
      <tableStyleElement type="firstRowStripe" dxfId="1"/>
      <tableStyleElement type="secondRowStripe" dxfId="2"/>
    </tableStyle>
    <tableStyle name="분할_26년01월-style 24" pivot="0" count="2">
      <tableStyleElement type="firstRowStripe" dxfId="1"/>
      <tableStyleElement type="secondRowStripe" dxfId="2"/>
    </tableStyle>
    <tableStyle name="분할_26년01월-style 25" pivot="0" count="2">
      <tableStyleElement type="firstRowStripe" dxfId="1"/>
      <tableStyleElement type="secondRowStripe" dxfId="2"/>
    </tableStyle>
    <tableStyle name="분할_26년01월-style 26" pivot="0" count="2">
      <tableStyleElement type="firstRowStripe" dxfId="1"/>
      <tableStyleElement type="secondRowStripe" dxfId="2"/>
    </tableStyle>
    <tableStyle name="분할_26년01월-style 27" pivot="0" count="2">
      <tableStyleElement type="firstRowStripe" dxfId="1"/>
      <tableStyleElement type="secondRowStripe" dxfId="2"/>
    </tableStyle>
    <tableStyle name="분할_26년01월-style 28" pivot="0" count="2">
      <tableStyleElement type="firstRowStripe" dxfId="1"/>
      <tableStyleElement type="secondRowStripe" dxfId="2"/>
    </tableStyle>
    <tableStyle name="분할_26년01월-style 29" pivot="0" count="2">
      <tableStyleElement type="firstRowStripe" dxfId="1"/>
      <tableStyleElement type="secondRowStripe" dxfId="2"/>
    </tableStyle>
    <tableStyle name="분할_26년01월-style 30" pivot="0" count="2">
      <tableStyleElement type="firstRowStripe" dxfId="1"/>
      <tableStyleElement type="secondRowStripe" dxfId="2"/>
    </tableStyle>
    <tableStyle name="분할_26년01월-style 31" pivot="0" count="2">
      <tableStyleElement type="firstRowStripe" dxfId="1"/>
      <tableStyleElement type="secondRowStripe" dxfId="2"/>
    </tableStyle>
    <tableStyle name="분할_26년01월-style 32" pivot="0" count="2">
      <tableStyleElement type="firstRowStripe" dxfId="1"/>
      <tableStyleElement type="secondRowStripe" dxfId="2"/>
    </tableStyle>
    <tableStyle name="분할_26년01월-style 33" pivot="0" count="2">
      <tableStyleElement type="firstRowStripe" dxfId="2"/>
      <tableStyleElement type="secondRowStripe" dxfId="1"/>
    </tableStyle>
    <tableStyle name="분할_26년01월-style 34" pivot="0" count="2">
      <tableStyleElement type="firstRowStripe" dxfId="1"/>
      <tableStyleElement type="secondRowStripe" dxfId="2"/>
    </tableStyle>
    <tableStyle name="분할_26년01월-style 35" pivot="0" count="2">
      <tableStyleElement type="firstRowStripe" dxfId="1"/>
      <tableStyleElement type="secondRowStripe" dxfId="2"/>
    </tableStyle>
    <tableStyle name="분할_26년01월-style 36" pivot="0" count="2">
      <tableStyleElement type="firstRowStripe" dxfId="2"/>
      <tableStyleElement type="secondRowStripe" dxfId="1"/>
    </tableStyle>
    <tableStyle name="분할_26년01월-style 37" pivot="0" count="2">
      <tableStyleElement type="firstRowStripe" dxfId="1"/>
      <tableStyleElement type="secondRowStripe" dxfId="2"/>
    </tableStyle>
    <tableStyle name="분할_26년01월-style 38" pivot="0" count="2">
      <tableStyleElement type="firstRowStripe" dxfId="1"/>
      <tableStyleElement type="secondRowStripe" dxfId="2"/>
    </tableStyle>
    <tableStyle name="분할_26년01월-style 39" pivot="0" count="2">
      <tableStyleElement type="firstRowStripe" dxfId="2"/>
      <tableStyleElement type="secondRowStripe" dxfId="1"/>
    </tableStyle>
    <tableStyle name="분할_26년01월-style 40" pivot="0" count="2">
      <tableStyleElement type="firstRowStripe" dxfId="1"/>
      <tableStyleElement type="secondRowStripe" dxfId="2"/>
    </tableStyle>
    <tableStyle name="분할_26년01월-style 41" pivot="0" count="2">
      <tableStyleElement type="firstRowStripe" dxfId="1"/>
      <tableStyleElement type="secondRowStripe" dxfId="2"/>
    </tableStyle>
    <tableStyle name="분할_26년01월-style 42" pivot="0" count="2">
      <tableStyleElement type="firstRowStripe" dxfId="1"/>
      <tableStyleElement type="secondRowStripe" dxfId="2"/>
    </tableStyle>
    <tableStyle name="분할_26년01월-style 43" pivot="0" count="2">
      <tableStyleElement type="firstRowStripe" dxfId="1"/>
      <tableStyleElement type="secondRowStripe" dxfId="2"/>
    </tableStyle>
    <tableStyle name="분할_26년01월-style 44" pivot="0" count="2">
      <tableStyleElement type="firstRowStripe" dxfId="1"/>
      <tableStyleElement type="secondRowStripe" dxfId="2"/>
    </tableStyle>
    <tableStyle name="분할_26년01월-style 45" pivot="0" count="2">
      <tableStyleElement type="firstRowStripe" dxfId="2"/>
      <tableStyleElement type="secondRowStripe" dxfId="1"/>
    </tableStyle>
    <tableStyle name="분할_26년01월-style 46" pivot="0" count="2">
      <tableStyleElement type="firstRowStripe" dxfId="1"/>
      <tableStyleElement type="secondRowStripe" dxfId="2"/>
    </tableStyle>
    <tableStyle name="분할_26년01월-style 47" pivot="0" count="2">
      <tableStyleElement type="firstRowStripe" dxfId="1"/>
      <tableStyleElement type="secondRowStripe" dxfId="2"/>
    </tableStyle>
    <tableStyle name="분할_26년01월-style 48" pivot="0" count="2">
      <tableStyleElement type="firstRowStripe" dxfId="1"/>
      <tableStyleElement type="secondRowStripe" dxfId="2"/>
    </tableStyle>
    <tableStyle name="분할_26년01월-style 49" pivot="0" count="2">
      <tableStyleElement type="firstRowStripe" dxfId="1"/>
      <tableStyleElement type="secondRowStripe" dxfId="2"/>
    </tableStyle>
    <tableStyle name="분할_26년01월-style 50" pivot="0" count="2">
      <tableStyleElement type="firstRowStripe" dxfId="1"/>
      <tableStyleElement type="secondRowStripe" dxfId="2"/>
    </tableStyle>
    <tableStyle name="분할_26년01월-style 51" pivot="0" count="2">
      <tableStyleElement type="firstRowStripe" dxfId="1"/>
      <tableStyleElement type="secondRowStripe" dxfId="2"/>
    </tableStyle>
    <tableStyle name="분할_26년01월-style 52" pivot="0" count="2">
      <tableStyleElement type="firstRowStripe" dxfId="1"/>
      <tableStyleElement type="secondRowStripe" dxfId="2"/>
    </tableStyle>
    <tableStyle name="분할_26년01월-style 53" pivot="0" count="2">
      <tableStyleElement type="firstRowStripe" dxfId="1"/>
      <tableStyleElement type="secondRowStripe" dxfId="2"/>
    </tableStyle>
    <tableStyle name="분할_26년01월-style 54" pivot="0" count="2">
      <tableStyleElement type="firstRowStripe" dxfId="1"/>
      <tableStyleElement type="secondRowStripe" dxfId="2"/>
    </tableStyle>
    <tableStyle name="분할_26년01월-style 55" pivot="0" count="2">
      <tableStyleElement type="firstRowStripe" dxfId="2"/>
      <tableStyleElement type="secondRowStripe" dxfId="1"/>
    </tableStyle>
    <tableStyle name="분할_26년01월-style 56" pivot="0" count="2">
      <tableStyleElement type="firstRowStripe" dxfId="2"/>
      <tableStyleElement type="secondRowStripe" dxfId="1"/>
    </tableStyle>
    <tableStyle name="분할_26년01월-style 57" pivot="0" count="2">
      <tableStyleElement type="firstRowStripe" dxfId="1"/>
      <tableStyleElement type="secondRowStripe" dxfId="2"/>
    </tableStyle>
    <tableStyle name="분할_26년01월-style 58" pivot="0" count="2">
      <tableStyleElement type="firstRowStripe" dxfId="1"/>
      <tableStyleElement type="secondRowStripe" dxfId="2"/>
    </tableStyle>
    <tableStyle name="분할_26년01월-style 59" pivot="0" count="2">
      <tableStyleElement type="firstRowStripe" dxfId="1"/>
      <tableStyleElement type="secondRowStripe" dxfId="2"/>
    </tableStyle>
    <tableStyle name="분할_26년01월-style 60" pivot="0" count="2">
      <tableStyleElement type="firstRowStripe" dxfId="1"/>
      <tableStyleElement type="secondRowStripe" dxfId="2"/>
    </tableStyle>
    <tableStyle name="분할_26년01월-style 61" pivot="0" count="2">
      <tableStyleElement type="firstRowStripe" dxfId="1"/>
      <tableStyleElement type="secondRowStripe" dxfId="2"/>
    </tableStyle>
    <tableStyle name="분할_26년01월-style 62" pivot="0" count="2">
      <tableStyleElement type="firstRowStripe" dxfId="1"/>
      <tableStyleElement type="secondRowStripe" dxfId="2"/>
    </tableStyle>
    <tableStyle name="분할_26년01월-style 63" pivot="0" count="2">
      <tableStyleElement type="firstRowStripe" dxfId="1"/>
      <tableStyleElement type="secondRowStripe" dxfId="2"/>
    </tableStyle>
    <tableStyle name="분할_26년01월-style 64" pivot="0" count="2">
      <tableStyleElement type="firstRowStripe" dxfId="2"/>
      <tableStyleElement type="secondRowStripe" dxfId="1"/>
    </tableStyle>
    <tableStyle name="분할_26년01월-style 65" pivot="0" count="2">
      <tableStyleElement type="firstRowStripe" dxfId="2"/>
      <tableStyleElement type="secondRowStripe" dxfId="1"/>
    </tableStyle>
    <tableStyle name="분할_26년01월-style 66" pivot="0" count="2">
      <tableStyleElement type="firstRowStripe" dxfId="1"/>
      <tableStyleElement type="secondRowStripe" dxfId="3"/>
    </tableStyle>
    <tableStyle name="분할_26년01월-style 67" pivot="0" count="2">
      <tableStyleElement type="firstRowStripe" dxfId="2"/>
      <tableStyleElement type="secondRowStripe" dxfId="1"/>
    </tableStyle>
    <tableStyle name="분할_26년01월-style 68" pivot="0" count="2">
      <tableStyleElement type="firstRowStripe" dxfId="1"/>
      <tableStyleElement type="secondRowStripe" dxfId="2"/>
    </tableStyle>
    <tableStyle name="분할_26년01월-style 69" pivot="0" count="2">
      <tableStyleElement type="firstRowStripe" dxfId="1"/>
      <tableStyleElement type="secondRowStripe" dxfId="2"/>
    </tableStyle>
    <tableStyle name="분할_26년01월-style 70" pivot="0" count="2">
      <tableStyleElement type="firstRowStripe" dxfId="1"/>
      <tableStyleElement type="secondRowStripe" dxfId="2"/>
    </tableStyle>
    <tableStyle name="분할_26년01월-style 71" pivot="0" count="2">
      <tableStyleElement type="firstRowStripe" dxfId="2"/>
      <tableStyleElement type="secondRowStripe" dxfId="1"/>
    </tableStyle>
    <tableStyle name="분할_26년01월-style 72" pivot="0" count="2">
      <tableStyleElement type="firstRowStripe" dxfId="2"/>
      <tableStyleElement type="secondRowStripe" dxfId="1"/>
    </tableStyle>
    <tableStyle name="분할_26년01월-style 73" pivot="0" count="2">
      <tableStyleElement type="firstRowStripe" dxfId="2"/>
      <tableStyleElement type="secondRowStripe" dxfId="1"/>
    </tableStyle>
    <tableStyle name="분할_26년01월-style 74" pivot="0" count="2">
      <tableStyleElement type="firstRowStripe" dxfId="1"/>
      <tableStyleElement type="secondRowStripe" dxfId="2"/>
    </tableStyle>
    <tableStyle name="분할_26년01월-style 75" pivot="0" count="2">
      <tableStyleElement type="firstRowStripe" dxfId="1"/>
      <tableStyleElement type="secondRowStripe" dxfId="2"/>
    </tableStyle>
    <tableStyle name="분할_26년01월-style 76" pivot="0" count="2">
      <tableStyleElement type="firstRowStripe" dxfId="2"/>
      <tableStyleElement type="secondRowStripe" dxfId="1"/>
    </tableStyle>
    <tableStyle name="분할_26년01월-style 77" pivot="0" count="2">
      <tableStyleElement type="firstRowStripe" dxfId="2"/>
      <tableStyleElement type="secondRowStripe" dxfId="1"/>
    </tableStyle>
    <tableStyle name="분할_26년01월-style 78" pivot="0" count="2">
      <tableStyleElement type="firstRowStripe" dxfId="2"/>
      <tableStyleElement type="secondRowStripe" dxfId="1"/>
    </tableStyle>
    <tableStyle name="분할_26년01월-style 79" pivot="0" count="2">
      <tableStyleElement type="firstRowStripe" dxfId="1"/>
      <tableStyleElement type="secondRowStripe" dxfId="2"/>
    </tableStyle>
    <tableStyle name="분할_26년01월-style 80" pivot="0" count="2">
      <tableStyleElement type="firstRowStripe" dxfId="1"/>
      <tableStyleElement type="secondRowStripe" dxfId="2"/>
    </tableStyle>
    <tableStyle name="분할_26년01월-style 81" pivot="0" count="2">
      <tableStyleElement type="firstRowStripe" dxfId="1"/>
      <tableStyleElement type="secondRowStripe" dxfId="2"/>
    </tableStyle>
    <tableStyle name="분할_26년01월-style 82" pivot="0" count="2">
      <tableStyleElement type="firstRowStripe" dxfId="1"/>
      <tableStyleElement type="secondRowStripe" dxfId="3"/>
    </tableStyle>
    <tableStyle name="분할_26년01월-style 83" pivot="0" count="2">
      <tableStyleElement type="firstRowStripe" dxfId="2"/>
      <tableStyleElement type="secondRowStripe" dxfId="1"/>
    </tableStyle>
    <tableStyle name="분할_26년01월-style 84" pivot="0" count="2">
      <tableStyleElement type="firstRowStripe" dxfId="1"/>
      <tableStyleElement type="secondRowStripe" dxfId="2"/>
    </tableStyle>
    <tableStyle name="분할_26년01월-style 85" pivot="0" count="2">
      <tableStyleElement type="firstRowStripe" dxfId="2"/>
      <tableStyleElement type="secondRowStripe" dxfId="1"/>
    </tableStyle>
    <tableStyle name="분할_26년01월-style 86" pivot="0" count="2">
      <tableStyleElement type="firstRowStripe" dxfId="1"/>
      <tableStyleElement type="secondRowStripe" dxfId="2"/>
    </tableStyle>
    <tableStyle name="분할_26년01월-style 87" pivot="0" count="2">
      <tableStyleElement type="firstRowStripe" dxfId="1"/>
      <tableStyleElement type="secondRowStripe" dxfId="2"/>
    </tableStyle>
    <tableStyle name="분할_26년01월-style 88" pivot="0" count="2">
      <tableStyleElement type="firstRowStripe" dxfId="1"/>
      <tableStyleElement type="secondRowStripe" dxfId="3"/>
    </tableStyle>
    <tableStyle name="분할_26년01월-style 89" pivot="0" count="2">
      <tableStyleElement type="firstRowStripe" dxfId="2"/>
      <tableStyleElement type="secondRowStripe" dxfId="1"/>
    </tableStyle>
    <tableStyle name="분할_26년01월-style 90" pivot="0" count="2">
      <tableStyleElement type="firstRowStripe" dxfId="1"/>
      <tableStyleElement type="secondRowStripe" dxfId="2"/>
    </tableStyle>
    <tableStyle name="분할_26년01월-style 91" pivot="0" count="2">
      <tableStyleElement type="firstRowStripe" dxfId="2"/>
      <tableStyleElement type="secondRowStripe" dxfId="1"/>
    </tableStyle>
    <tableStyle name="분할_26년01월-style 92" pivot="0" count="2">
      <tableStyleElement type="firstRowStripe" dxfId="1"/>
      <tableStyleElement type="secondRowStripe" dxfId="2"/>
    </tableStyle>
    <tableStyle name="분할_26년01월-style 93" pivot="0" count="2">
      <tableStyleElement type="firstRowStripe" dxfId="1"/>
      <tableStyleElement type="secondRowStripe" dxfId="2"/>
    </tableStyle>
    <tableStyle name="분할_26년01월-style 94" pivot="0" count="2">
      <tableStyleElement type="firstRowStripe" dxfId="1"/>
      <tableStyleElement type="secondRowStripe" dxfId="2"/>
    </tableStyle>
    <tableStyle name="분할_26년01월-style 95" pivot="0" count="2">
      <tableStyleElement type="firstRowStripe" dxfId="1"/>
      <tableStyleElement type="secondRowStripe" dxfId="2"/>
    </tableStyle>
    <tableStyle name="분할_26년01월-style 96" pivot="0" count="2">
      <tableStyleElement type="firstRowStripe" dxfId="1"/>
      <tableStyleElement type="secondRowStripe" dxfId="2"/>
    </tableStyle>
    <tableStyle name="분할_26년01월-style 97" pivot="0" count="2">
      <tableStyleElement type="firstRowStripe" dxfId="2"/>
      <tableStyleElement type="secondRowStripe" dxfId="1"/>
    </tableStyle>
    <tableStyle name="분할_26년01월-style 98" pivot="0" count="2">
      <tableStyleElement type="firstRowStripe" dxfId="1"/>
      <tableStyleElement type="secondRowStripe" dxfId="2"/>
    </tableStyle>
    <tableStyle name="분할_26년01월-style 99" pivot="0" count="2">
      <tableStyleElement type="firstRowStripe" dxfId="1"/>
      <tableStyleElement type="secondRowStripe" dxfId="2"/>
    </tableStyle>
    <tableStyle name="분할_26년01월-style 100" pivot="0" count="2">
      <tableStyleElement type="firstRowStripe" dxfId="1"/>
      <tableStyleElement type="secondRowStripe" dxfId="2"/>
    </tableStyle>
    <tableStyle name="분할_26년01월-style 101" pivot="0" count="2">
      <tableStyleElement type="firstRowStripe" dxfId="2"/>
      <tableStyleElement type="secondRowStripe" dxfId="1"/>
    </tableStyle>
    <tableStyle name="분할_26년01월-style 102" pivot="0" count="2">
      <tableStyleElement type="firstRowStripe" dxfId="1"/>
      <tableStyleElement type="secondRowStripe" dxfId="2"/>
    </tableStyle>
    <tableStyle name="분할_26년01월-style 103" pivot="0" count="2">
      <tableStyleElement type="firstRowStripe" dxfId="1"/>
      <tableStyleElement type="secondRowStripe" dxfId="2"/>
    </tableStyle>
    <tableStyle name="분할_26년01월-style 104" pivot="0" count="2">
      <tableStyleElement type="firstRowStripe" dxfId="1"/>
      <tableStyleElement type="secondRowStripe" dxfId="2"/>
    </tableStyle>
    <tableStyle name="분할_26년01월-style 105" pivot="0" count="2">
      <tableStyleElement type="firstRowStripe" dxfId="1"/>
      <tableStyleElement type="secondRowStripe" dxfId="2"/>
    </tableStyle>
    <tableStyle name="분할_26년01월-style 106" pivot="0" count="2">
      <tableStyleElement type="firstRowStripe" dxfId="1"/>
      <tableStyleElement type="secondRowStripe" dxfId="2"/>
    </tableStyle>
    <tableStyle name="분할_26년01월-style 107" pivot="0" count="2">
      <tableStyleElement type="firstRowStripe" dxfId="1"/>
      <tableStyleElement type="secondRowStripe" dxfId="2"/>
    </tableStyle>
    <tableStyle name="분할_26년01월-style 108" pivot="0" count="2">
      <tableStyleElement type="firstRowStripe" dxfId="2"/>
      <tableStyleElement type="secondRowStripe" dxfId="1"/>
    </tableStyle>
    <tableStyle name="분할_26년01월-style 109" pivot="0" count="2">
      <tableStyleElement type="firstRowStripe" dxfId="1"/>
      <tableStyleElement type="secondRowStripe" dxfId="2"/>
    </tableStyle>
    <tableStyle name="분할_26년01월-style 110" pivot="0" count="2">
      <tableStyleElement type="firstRowStripe" dxfId="1"/>
      <tableStyleElement type="secondRowStripe" dxfId="2"/>
    </tableStyle>
    <tableStyle name="분할_26년01월-style 111" pivot="0" count="2">
      <tableStyleElement type="firstRowStripe" dxfId="1"/>
      <tableStyleElement type="secondRowStripe" dxfId="2"/>
    </tableStyle>
    <tableStyle name="분할_26년01월-style 112" pivot="0" count="2">
      <tableStyleElement type="firstRowStripe" dxfId="1"/>
      <tableStyleElement type="secondRowStripe" dxfId="2"/>
    </tableStyle>
    <tableStyle name="분할_26년01월-style 113" pivot="0" count="2">
      <tableStyleElement type="firstRowStripe" dxfId="2"/>
      <tableStyleElement type="secondRowStripe" dxfId="1"/>
    </tableStyle>
    <tableStyle name="분할_26년01월-style 114" pivot="0" count="2">
      <tableStyleElement type="firstRowStripe" dxfId="2"/>
      <tableStyleElement type="secondRowStripe" dxfId="1"/>
    </tableStyle>
    <tableStyle name="분할_26년01월-style 115" pivot="0" count="2">
      <tableStyleElement type="firstRowStripe" dxfId="1"/>
      <tableStyleElement type="secondRowStripe" dxfId="2"/>
    </tableStyle>
    <tableStyle name="분할_26년01월-style 116" pivot="0" count="2">
      <tableStyleElement type="firstRowStripe" dxfId="1"/>
      <tableStyleElement type="secondRowStripe" dxfId="2"/>
    </tableStyle>
    <tableStyle name="분할_26년01월-style 117" pivot="0" count="2">
      <tableStyleElement type="firstRowStripe" dxfId="2"/>
      <tableStyleElement type="secondRowStripe" dxfId="1"/>
    </tableStyle>
    <tableStyle name="분할_26년01월-style 118" pivot="0" count="2">
      <tableStyleElement type="firstRowStripe" dxfId="2"/>
      <tableStyleElement type="secondRowStripe" dxfId="1"/>
    </tableStyle>
    <tableStyle name="분할_26년01월-style 119" pivot="0" count="2">
      <tableStyleElement type="firstRowStripe" dxfId="1"/>
      <tableStyleElement type="secondRowStripe" dxfId="2"/>
    </tableStyle>
    <tableStyle name="분할_26년01월-style 120" pivot="0" count="2">
      <tableStyleElement type="firstRowStripe" dxfId="1"/>
      <tableStyleElement type="secondRowStripe" dxfId="2"/>
    </tableStyle>
    <tableStyle name="분할_26년01월-style 121" pivot="0" count="2">
      <tableStyleElement type="firstRowStripe" dxfId="1"/>
      <tableStyleElement type="secondRowStripe" dxfId="2"/>
    </tableStyle>
    <tableStyle name="분할_26년01월-style 122" pivot="0" count="2">
      <tableStyleElement type="firstRowStripe" dxfId="2"/>
      <tableStyleElement type="secondRowStripe" dxfId="1"/>
    </tableStyle>
    <tableStyle name="분할_26년01월-style 123" pivot="0" count="2">
      <tableStyleElement type="firstRowStripe" dxfId="2"/>
      <tableStyleElement type="secondRowStripe" dxfId="1"/>
    </tableStyle>
    <tableStyle name="분할_26년01월-style 124" pivot="0" count="2">
      <tableStyleElement type="firstRowStripe" dxfId="2"/>
      <tableStyleElement type="secondRowStripe" dxfId="1"/>
    </tableStyle>
    <tableStyle name="분할_26년01월-style 125" pivot="0" count="2">
      <tableStyleElement type="firstRowStripe" dxfId="1"/>
      <tableStyleElement type="secondRowStripe" dxfId="2"/>
    </tableStyle>
    <tableStyle name="분할_26년01월-style 126" pivot="0" count="2">
      <tableStyleElement type="firstRowStripe" dxfId="2"/>
      <tableStyleElement type="secondRowStripe" dxfId="1"/>
    </tableStyle>
    <tableStyle name="분할_26년01월-style 127" pivot="0" count="2">
      <tableStyleElement type="firstRowStripe" dxfId="2"/>
      <tableStyleElement type="secondRowStripe" dxfId="1"/>
    </tableStyle>
    <tableStyle name="분할_26년01월-style 128" pivot="0" count="2">
      <tableStyleElement type="firstRowStripe" dxfId="2"/>
      <tableStyleElement type="secondRowStripe" dxfId="1"/>
    </tableStyle>
    <tableStyle name="분할_26년01월-style 129" pivot="0" count="2">
      <tableStyleElement type="firstRowStripe" dxfId="1"/>
      <tableStyleElement type="secondRowStripe" dxfId="2"/>
    </tableStyle>
    <tableStyle name="분할_26년01월-style 130" pivot="0" count="2">
      <tableStyleElement type="firstRowStripe" dxfId="2"/>
      <tableStyleElement type="secondRowStripe" dxfId="1"/>
    </tableStyle>
    <tableStyle name="분할_26년01월-style 131" pivot="0" count="2">
      <tableStyleElement type="firstRowStripe" dxfId="2"/>
      <tableStyleElement type="secondRowStripe" dxfId="1"/>
    </tableStyle>
    <tableStyle name="분할_26년01월-style 132" pivot="0" count="2">
      <tableStyleElement type="firstRowStripe" dxfId="2"/>
      <tableStyleElement type="secondRowStripe" dxfId="1"/>
    </tableStyle>
    <tableStyle name="분할_26년01월-style 133" pivot="0" count="2">
      <tableStyleElement type="firstRowStripe" dxfId="2"/>
      <tableStyleElement type="secondRowStripe" dxfId="1"/>
    </tableStyle>
    <tableStyle name="분할_26년01월-style 134" pivot="0" count="2">
      <tableStyleElement type="firstRowStripe" dxfId="2"/>
      <tableStyleElement type="secondRowStripe" dxfId="1"/>
    </tableStyle>
    <tableStyle name="분할_26년01월-style 135" pivot="0" count="2">
      <tableStyleElement type="firstRowStripe" dxfId="2"/>
      <tableStyleElement type="secondRowStripe" dxfId="1"/>
    </tableStyle>
    <tableStyle name="분할_26년01월-style 136" pivot="0" count="2">
      <tableStyleElement type="firstRowStripe" dxfId="2"/>
      <tableStyleElement type="secondRowStripe" dxfId="1"/>
    </tableStyle>
    <tableStyle name="분할_26년01월-style 137" pivot="0" count="2">
      <tableStyleElement type="firstRowStripe" dxfId="2"/>
      <tableStyleElement type="secondRowStripe" dxfId="1"/>
    </tableStyle>
    <tableStyle name="분할_26년01월-style 138" pivot="0" count="2">
      <tableStyleElement type="firstRowStripe" dxfId="1"/>
      <tableStyleElement type="secondRowStripe" dxfId="2"/>
    </tableStyle>
    <tableStyle name="분할_26년01월-style 139" pivot="0" count="2">
      <tableStyleElement type="firstRowStripe" dxfId="2"/>
      <tableStyleElement type="secondRowStripe" dxfId="1"/>
    </tableStyle>
    <tableStyle name="분할_26년01월-style 140" pivot="0" count="2">
      <tableStyleElement type="firstRowStripe" dxfId="2"/>
      <tableStyleElement type="secondRowStripe" dxfId="1"/>
    </tableStyle>
    <tableStyle name="분할_26년01월-style 141" pivot="0" count="2">
      <tableStyleElement type="firstRowStripe" dxfId="1"/>
      <tableStyleElement type="secondRowStripe" dxfId="2"/>
    </tableStyle>
    <tableStyle name="분할_26년01월-style 142" pivot="0" count="2">
      <tableStyleElement type="firstRowStripe" dxfId="2"/>
      <tableStyleElement type="secondRowStripe" dxfId="1"/>
    </tableStyle>
    <tableStyle name="분할_26년01월-style 143" pivot="0" count="2">
      <tableStyleElement type="firstRowStripe" dxfId="2"/>
      <tableStyleElement type="secondRowStripe" dxfId="1"/>
    </tableStyle>
    <tableStyle name="분할_26년01월-style 144" pivot="0" count="2">
      <tableStyleElement type="firstRowStripe" dxfId="1"/>
      <tableStyleElement type="secondRowStripe" dxfId="2"/>
    </tableStyle>
    <tableStyle name="분할_26년01월-style 145" pivot="0" count="2">
      <tableStyleElement type="firstRowStripe" dxfId="1"/>
      <tableStyleElement type="secondRowStripe" dxfId="2"/>
    </tableStyle>
    <tableStyle name="분할_26년01월-style 146" pivot="0" count="2">
      <tableStyleElement type="firstRowStripe" dxfId="2"/>
      <tableStyleElement type="secondRowStripe" dxfId="1"/>
    </tableStyle>
    <tableStyle name="분할_26년01월-style 147" pivot="0" count="2">
      <tableStyleElement type="firstRowStripe" dxfId="1"/>
      <tableStyleElement type="secondRowStripe" dxfId="2"/>
    </tableStyle>
    <tableStyle name="분할_26년01월-style 148" pivot="0" count="2">
      <tableStyleElement type="firstRowStripe" dxfId="2"/>
      <tableStyleElement type="secondRowStripe" dxfId="1"/>
    </tableStyle>
    <tableStyle name="분할_26년01월-style 149" pivot="0" count="2">
      <tableStyleElement type="firstRowStripe" dxfId="1"/>
      <tableStyleElement type="secondRowStripe" dxfId="2"/>
    </tableStyle>
    <tableStyle name="분할_26년01월-style 150" pivot="0" count="2">
      <tableStyleElement type="firstRowStripe" dxfId="1"/>
      <tableStyleElement type="secondRowStripe" dxfId="2"/>
    </tableStyle>
    <tableStyle name="분할_26년01월-style 151" pivot="0" count="2">
      <tableStyleElement type="firstRowStripe" dxfId="1"/>
      <tableStyleElement type="secondRowStripe" dxfId="2"/>
    </tableStyle>
    <tableStyle name="분할_26년01월-style 152" pivot="0" count="2">
      <tableStyleElement type="firstRowStripe" dxfId="1"/>
      <tableStyleElement type="secondRowStripe" dxfId="2"/>
    </tableStyle>
    <tableStyle name="분할_26년01월-style 153" pivot="0" count="2">
      <tableStyleElement type="firstRowStripe" dxfId="1"/>
      <tableStyleElement type="secondRowStripe" dxfId="2"/>
    </tableStyle>
    <tableStyle name="분할_26년01월-style 154" pivot="0" count="2">
      <tableStyleElement type="firstRowStripe" dxfId="1"/>
      <tableStyleElement type="secondRowStripe" dxfId="2"/>
    </tableStyle>
    <tableStyle name="분할_26년01월-style 155" pivot="0" count="2">
      <tableStyleElement type="firstRowStripe" dxfId="1"/>
      <tableStyleElement type="secondRowStripe" dxfId="2"/>
    </tableStyle>
    <tableStyle name="분할_26년01월-style 156" pivot="0" count="2">
      <tableStyleElement type="firstRowStripe" dxfId="1"/>
      <tableStyleElement type="secondRowStripe" dxfId="2"/>
    </tableStyle>
    <tableStyle name="분할_26년01월-style 157" pivot="0" count="2">
      <tableStyleElement type="firstRowStripe" dxfId="1"/>
      <tableStyleElement type="secondRowStripe" dxfId="2"/>
    </tableStyle>
    <tableStyle name="분할_26년01월-style 158" pivot="0" count="2">
      <tableStyleElement type="firstRowStripe" dxfId="1"/>
      <tableStyleElement type="secondRowStripe" dxfId="2"/>
    </tableStyle>
    <tableStyle name="분할_26년01월-style 159" pivot="0" count="2">
      <tableStyleElement type="firstRowStripe" dxfId="1"/>
      <tableStyleElement type="secondRowStripe" dxfId="2"/>
    </tableStyle>
    <tableStyle name="분할_26년01월-style 160" pivot="0" count="2">
      <tableStyleElement type="firstRowStripe" dxfId="1"/>
      <tableStyleElement type="secondRowStripe" dxfId="2"/>
    </tableStyle>
    <tableStyle name="분할_26년01월-style 161" pivot="0" count="2">
      <tableStyleElement type="firstRowStripe" dxfId="1"/>
      <tableStyleElement type="secondRowStripe" dxfId="2"/>
    </tableStyle>
    <tableStyle name="분할_26년01월-style 162" pivot="0" count="2">
      <tableStyleElement type="firstRowStripe" dxfId="1"/>
      <tableStyleElement type="secondRowStripe" dxfId="2"/>
    </tableStyle>
    <tableStyle name="분할_26년01월-style 163" pivot="0" count="2">
      <tableStyleElement type="firstRowStripe" dxfId="1"/>
      <tableStyleElement type="secondRowStripe" dxfId="2"/>
    </tableStyle>
    <tableStyle name="분할_26년01월-style 164" pivot="0" count="2">
      <tableStyleElement type="firstRowStripe" dxfId="1"/>
      <tableStyleElement type="secondRowStripe" dxfId="2"/>
    </tableStyle>
    <tableStyle name="분할_26년01월-style 165" pivot="0" count="2">
      <tableStyleElement type="firstRowStripe" dxfId="1"/>
      <tableStyleElement type="secondRowStripe" dxfId="2"/>
    </tableStyle>
    <tableStyle name="분할_26년01월-style 166" pivot="0" count="2">
      <tableStyleElement type="firstRowStripe" dxfId="1"/>
      <tableStyleElement type="secondRowStripe" dxfId="2"/>
    </tableStyle>
    <tableStyle name="분할_26년01월-style 167" pivot="0" count="2">
      <tableStyleElement type="firstRowStripe" dxfId="1"/>
      <tableStyleElement type="secondRowStripe" dxfId="2"/>
    </tableStyle>
    <tableStyle name="분할_26년01월-style 168" pivot="0" count="2">
      <tableStyleElement type="firstRowStripe" dxfId="1"/>
      <tableStyleElement type="secondRowStripe" dxfId="2"/>
    </tableStyle>
    <tableStyle name="분할_26년01월-style 169" pivot="0" count="2">
      <tableStyleElement type="firstRowStripe" dxfId="2"/>
      <tableStyleElement type="secondRowStripe" dxfId="1"/>
    </tableStyle>
    <tableStyle name="분할_26년01월-style 170" pivot="0" count="2">
      <tableStyleElement type="firstRowStripe" dxfId="1"/>
      <tableStyleElement type="secondRowStripe" dxfId="2"/>
    </tableStyle>
    <tableStyle name="분할_26년01월-style 171" pivot="0" count="2">
      <tableStyleElement type="firstRowStripe" dxfId="1"/>
      <tableStyleElement type="secondRowStripe" dxfId="2"/>
    </tableStyle>
    <tableStyle name="분할_26년01월-style 172" pivot="0" count="2">
      <tableStyleElement type="firstRowStripe" dxfId="1"/>
      <tableStyleElement type="secondRowStripe" dxfId="2"/>
    </tableStyle>
    <tableStyle name="분할_26년01월-style 173" pivot="0" count="2">
      <tableStyleElement type="firstRowStripe" dxfId="1"/>
      <tableStyleElement type="secondRowStripe" dxfId="2"/>
    </tableStyle>
    <tableStyle name="분할_26년01월-style 174" pivot="0" count="2">
      <tableStyleElement type="firstRowStripe" dxfId="1"/>
      <tableStyleElement type="secondRowStripe" dxfId="2"/>
    </tableStyle>
    <tableStyle name="분할_26년01월-style 175" pivot="0" count="2">
      <tableStyleElement type="firstRowStripe" dxfId="1"/>
      <tableStyleElement type="secondRowStripe" dxfId="2"/>
    </tableStyle>
    <tableStyle name="분할_26년01월-style 176" pivot="0" count="2">
      <tableStyleElement type="firstRowStripe" dxfId="1"/>
      <tableStyleElement type="secondRowStripe" dxfId="2"/>
    </tableStyle>
    <tableStyle name="분할_26년01월-style 177" pivot="0" count="2">
      <tableStyleElement type="firstRowStripe" dxfId="1"/>
      <tableStyleElement type="secondRowStripe" dxfId="2"/>
    </tableStyle>
    <tableStyle name="분할_26년01월-style 178" pivot="0" count="2">
      <tableStyleElement type="firstRowStripe" dxfId="1"/>
      <tableStyleElement type="secondRowStripe" dxfId="2"/>
    </tableStyle>
    <tableStyle name="분할_26년01월-style 179" pivot="0" count="2">
      <tableStyleElement type="firstRowStripe" dxfId="2"/>
      <tableStyleElement type="secondRowStripe" dxfId="1"/>
    </tableStyle>
    <tableStyle name="분할_26년01월-style 180" pivot="0" count="2">
      <tableStyleElement type="firstRowStripe" dxfId="1"/>
      <tableStyleElement type="secondRowStripe" dxfId="2"/>
    </tableStyle>
    <tableStyle name="분할_26년01월-style 181" pivot="0" count="2">
      <tableStyleElement type="firstRowStripe" dxfId="2"/>
      <tableStyleElement type="secondRowStripe" dxfId="1"/>
    </tableStyle>
    <tableStyle name="분할_26년01월-style 182" pivot="0" count="2">
      <tableStyleElement type="firstRowStripe" dxfId="1"/>
      <tableStyleElement type="secondRowStripe" dxfId="2"/>
    </tableStyle>
    <tableStyle name="분할_26년01월-style 183" pivot="0" count="2">
      <tableStyleElement type="firstRowStripe" dxfId="1"/>
      <tableStyleElement type="secondRowStripe" dxfId="2"/>
    </tableStyle>
    <tableStyle name="분할_26년01월-style 184" pivot="0" count="2">
      <tableStyleElement type="firstRowStripe" dxfId="1"/>
      <tableStyleElement type="secondRowStripe" dxfId="2"/>
    </tableStyle>
    <tableStyle name="분할_26년01월-style 185" pivot="0" count="2">
      <tableStyleElement type="firstRowStripe" dxfId="1"/>
      <tableStyleElement type="secondRowStripe" dxfId="2"/>
    </tableStyle>
    <tableStyle name="분할_26년01월-style 186" pivot="0" count="2">
      <tableStyleElement type="firstRowStripe" dxfId="2"/>
      <tableStyleElement type="secondRowStripe" dxfId="1"/>
    </tableStyle>
    <tableStyle name="분할_26년01월-style 187" pivot="0" count="2">
      <tableStyleElement type="firstRowStripe" dxfId="1"/>
      <tableStyleElement type="secondRowStripe" dxfId="2"/>
    </tableStyle>
    <tableStyle name="분할_26년01월-style 188" pivot="0" count="2">
      <tableStyleElement type="firstRowStripe" dxfId="2"/>
      <tableStyleElement type="secondRowStripe" dxfId="1"/>
    </tableStyle>
    <tableStyle name="분할_26년01월-style 189" pivot="0" count="2">
      <tableStyleElement type="firstRowStripe" dxfId="2"/>
      <tableStyleElement type="secondRowStripe" dxfId="1"/>
    </tableStyle>
    <tableStyle name="분할_26년01월-style 190" pivot="0" count="2">
      <tableStyleElement type="firstRowStripe" dxfId="1"/>
      <tableStyleElement type="secondRowStripe" dxfId="2"/>
    </tableStyle>
    <tableStyle name="분할_26년01월-style 191" pivot="0" count="2">
      <tableStyleElement type="firstRowStripe" dxfId="1"/>
      <tableStyleElement type="secondRowStripe" dxfId="2"/>
    </tableStyle>
    <tableStyle name="분할_26년01월-style 192" pivot="0" count="2">
      <tableStyleElement type="firstRowStripe" dxfId="1"/>
      <tableStyleElement type="secondRowStripe" dxfId="2"/>
    </tableStyle>
    <tableStyle name="분할_26년01월-style 193" pivot="0" count="2">
      <tableStyleElement type="firstRowStripe" dxfId="2"/>
      <tableStyleElement type="secondRowStripe" dxfId="1"/>
    </tableStyle>
    <tableStyle name="분할_26년01월-style 194" pivot="0" count="2">
      <tableStyleElement type="firstRowStripe" dxfId="2"/>
      <tableStyleElement type="secondRowStripe" dxfId="1"/>
    </tableStyle>
    <tableStyle name="분할_26년01월-style 195" pivot="0" count="2">
      <tableStyleElement type="firstRowStripe" dxfId="1"/>
      <tableStyleElement type="secondRowStripe" dxfId="2"/>
    </tableStyle>
    <tableStyle name="분할_26년01월-style 196" pivot="0" count="2">
      <tableStyleElement type="firstRowStripe" dxfId="2"/>
      <tableStyleElement type="secondRowStripe" dxfId="1"/>
    </tableStyle>
    <tableStyle name="분할_26년01월-style 197" pivot="0" count="2">
      <tableStyleElement type="firstRowStripe" dxfId="2"/>
      <tableStyleElement type="secondRowStripe" dxfId="1"/>
    </tableStyle>
    <tableStyle name="분할_26년01월-style 198" pivot="0" count="2">
      <tableStyleElement type="firstRowStripe" dxfId="1"/>
      <tableStyleElement type="secondRowStripe" dxfId="2"/>
    </tableStyle>
    <tableStyle name="분할_26년01월-style 199" pivot="0" count="2">
      <tableStyleElement type="firstRowStripe" dxfId="2"/>
      <tableStyleElement type="secondRowStripe" dxfId="1"/>
    </tableStyle>
    <tableStyle name="분할_26년01월-style 200" pivot="0" count="2">
      <tableStyleElement type="firstRowStripe" dxfId="2"/>
      <tableStyleElement type="secondRowStripe" dxfId="1"/>
    </tableStyle>
    <tableStyle name="분할_26년01월-style 201" pivot="0" count="2">
      <tableStyleElement type="firstRowStripe" dxfId="2"/>
      <tableStyleElement type="secondRowStripe" dxfId="1"/>
    </tableStyle>
    <tableStyle name="분할_26년01월-style 202" pivot="0" count="2">
      <tableStyleElement type="firstRowStripe" dxfId="2"/>
      <tableStyleElement type="secondRowStripe" dxfId="1"/>
    </tableStyle>
    <tableStyle name="분할_26년01월-style 203" pivot="0" count="2">
      <tableStyleElement type="firstRowStripe" dxfId="2"/>
      <tableStyleElement type="secondRowStripe" dxfId="1"/>
    </tableStyle>
    <tableStyle name="분할_26년01월-style 204" pivot="0" count="2">
      <tableStyleElement type="firstRowStripe" dxfId="2"/>
      <tableStyleElement type="secondRowStripe" dxfId="1"/>
    </tableStyle>
    <tableStyle name="분할_26년01월-style 205" pivot="0" count="2">
      <tableStyleElement type="firstRowStripe" dxfId="2"/>
      <tableStyleElement type="secondRowStripe" dxfId="1"/>
    </tableStyle>
    <tableStyle name="분할_26년01월-style 206" pivot="0" count="2">
      <tableStyleElement type="firstRowStripe" dxfId="2"/>
      <tableStyleElement type="secondRowStripe" dxfId="1"/>
    </tableStyle>
    <tableStyle name="분할_26년01월-style 207" pivot="0" count="2">
      <tableStyleElement type="firstRowStripe" dxfId="1"/>
      <tableStyleElement type="secondRowStripe" dxfId="2"/>
    </tableStyle>
    <tableStyle name="분할_26년01월-style 208" pivot="0" count="2">
      <tableStyleElement type="firstRowStripe" dxfId="1"/>
      <tableStyleElement type="secondRowStripe" dxfId="2"/>
    </tableStyle>
    <tableStyle name="분할_26년01월-style 209" pivot="0" count="2">
      <tableStyleElement type="firstRowStripe" dxfId="1"/>
      <tableStyleElement type="secondRowStripe" dxfId="2"/>
    </tableStyle>
    <tableStyle name="분할_26년01월-style 210" pivot="0" count="2">
      <tableStyleElement type="firstRowStripe" dxfId="1"/>
      <tableStyleElement type="secondRowStripe" dxfId="2"/>
    </tableStyle>
    <tableStyle name="분할_26년01월-style 211" pivot="0" count="2">
      <tableStyleElement type="firstRowStripe" dxfId="2"/>
      <tableStyleElement type="secondRowStripe" dxfId="1"/>
    </tableStyle>
    <tableStyle name="분할_26년01월-style 212" pivot="0" count="2">
      <tableStyleElement type="firstRowStripe" dxfId="2"/>
      <tableStyleElement type="secondRowStripe" dxfId="1"/>
    </tableStyle>
    <tableStyle name="분할_26년01월-style 213" pivot="0" count="2">
      <tableStyleElement type="firstRowStripe" dxfId="1"/>
      <tableStyleElement type="secondRowStripe" dxfId="2"/>
    </tableStyle>
    <tableStyle name="분할_26년01월-style 214" pivot="0" count="2">
      <tableStyleElement type="firstRowStripe" dxfId="2"/>
      <tableStyleElement type="secondRowStripe" dxfId="1"/>
    </tableStyle>
    <tableStyle name="분할_26년01월-style 215" pivot="0" count="2">
      <tableStyleElement type="firstRowStripe" dxfId="2"/>
      <tableStyleElement type="secondRowStripe" dxfId="1"/>
    </tableStyle>
    <tableStyle name="분할_26년01월-style 216" pivot="0" count="2">
      <tableStyleElement type="firstRowStripe" dxfId="2"/>
      <tableStyleElement type="secondRowStripe" dxfId="1"/>
    </tableStyle>
    <tableStyle name="분할_26년01월-style 217" pivot="0" count="2">
      <tableStyleElement type="firstRowStripe" dxfId="1"/>
      <tableStyleElement type="secondRowStripe" dxfId="2"/>
    </tableStyle>
    <tableStyle name="분할_26년01월-style 218" pivot="0" count="2">
      <tableStyleElement type="firstRowStripe" dxfId="1"/>
      <tableStyleElement type="secondRowStripe" dxfId="2"/>
    </tableStyle>
    <tableStyle name="분할_26년01월-style 219" pivot="0" count="2">
      <tableStyleElement type="firstRowStripe" dxfId="1"/>
      <tableStyleElement type="secondRowStripe" dxfId="2"/>
    </tableStyle>
    <tableStyle name="분할_26년01월-style 220" pivot="0" count="2">
      <tableStyleElement type="firstRowStripe" dxfId="2"/>
      <tableStyleElement type="secondRowStripe" dxfId="1"/>
    </tableStyle>
    <tableStyle name="분할_26년01월-style 221" pivot="0" count="2">
      <tableStyleElement type="firstRowStripe" dxfId="1"/>
      <tableStyleElement type="secondRowStripe" dxfId="2"/>
    </tableStyle>
    <tableStyle name="분할_26년01월-style 222" pivot="0" count="2">
      <tableStyleElement type="firstRowStripe" dxfId="1"/>
      <tableStyleElement type="secondRowStripe" dxfId="2"/>
    </tableStyle>
    <tableStyle name="분할_26년01월-style 223" pivot="0" count="2">
      <tableStyleElement type="firstRowStripe" dxfId="2"/>
      <tableStyleElement type="secondRowStripe" dxfId="1"/>
    </tableStyle>
    <tableStyle name="분할_26년01월-style 224" pivot="0" count="2">
      <tableStyleElement type="firstRowStripe" dxfId="2"/>
      <tableStyleElement type="secondRowStripe" dxfId="1"/>
    </tableStyle>
    <tableStyle name="분할_26년01월-style 225" pivot="0" count="2">
      <tableStyleElement type="firstRowStripe" dxfId="1"/>
      <tableStyleElement type="secondRowStripe" dxfId="2"/>
    </tableStyle>
    <tableStyle name="분할_26년01월-style 226" pivot="0" count="2">
      <tableStyleElement type="firstRowStripe" dxfId="2"/>
      <tableStyleElement type="secondRowStripe" dxfId="1"/>
    </tableStyle>
    <tableStyle name="분할_26년01월-style 227" pivot="0" count="2">
      <tableStyleElement type="firstRowStripe" dxfId="2"/>
      <tableStyleElement type="secondRowStripe" dxfId="1"/>
    </tableStyle>
    <tableStyle name="분할_26년01월-style 228" pivot="0" count="2">
      <tableStyleElement type="firstRowStripe" dxfId="2"/>
      <tableStyleElement type="secondRowStripe" dxfId="1"/>
    </tableStyle>
    <tableStyle name="분할_26년01월-style 229" pivot="0" count="2">
      <tableStyleElement type="firstRowStripe" dxfId="1"/>
      <tableStyleElement type="secondRowStripe" dxfId="2"/>
    </tableStyle>
    <tableStyle name="분할_26년01월-style 230" pivot="0" count="2">
      <tableStyleElement type="firstRowStripe" dxfId="2"/>
      <tableStyleElement type="secondRowStripe" dxfId="1"/>
    </tableStyle>
    <tableStyle name="분할_26년01월-style 231" pivot="0" count="2">
      <tableStyleElement type="firstRowStripe" dxfId="2"/>
      <tableStyleElement type="secondRowStripe" dxfId="1"/>
    </tableStyle>
    <tableStyle name="분할_26년01월-style 232" pivot="0" count="2">
      <tableStyleElement type="firstRowStripe" dxfId="1"/>
      <tableStyleElement type="secondRowStripe" dxfId="2"/>
    </tableStyle>
    <tableStyle name="분할_26년01월-style 233" pivot="0" count="2">
      <tableStyleElement type="firstRowStripe" dxfId="1"/>
      <tableStyleElement type="secondRowStripe" dxfId="2"/>
    </tableStyle>
    <tableStyle name="분할_26년01월-style 234" pivot="0" count="2">
      <tableStyleElement type="firstRowStripe" dxfId="1"/>
      <tableStyleElement type="secondRowStripe" dxfId="2"/>
    </tableStyle>
    <tableStyle name="분할_26년01월-style 235" pivot="0" count="2">
      <tableStyleElement type="firstRowStripe" dxfId="1"/>
      <tableStyleElement type="secondRowStripe" dxfId="2"/>
    </tableStyle>
    <tableStyle name="분할_26년01월-style 236" pivot="0" count="2">
      <tableStyleElement type="firstRowStripe" dxfId="2"/>
      <tableStyleElement type="secondRowStripe" dxfId="1"/>
    </tableStyle>
    <tableStyle name="분할_26년01월-style 237" pivot="0" count="2">
      <tableStyleElement type="firstRowStripe" dxfId="2"/>
      <tableStyleElement type="secondRowStripe" dxfId="1"/>
    </tableStyle>
    <tableStyle name="분할_26년01월-style 238" pivot="0" count="2">
      <tableStyleElement type="firstRowStripe" dxfId="1"/>
      <tableStyleElement type="secondRowStripe" dxfId="2"/>
    </tableStyle>
    <tableStyle name="분할_26년01월-style 239" pivot="0" count="2">
      <tableStyleElement type="firstRowStripe" dxfId="2"/>
      <tableStyleElement type="secondRowStripe" dxfId="1"/>
    </tableStyle>
    <tableStyle name="분할_26년01월-style 240" pivot="0" count="2">
      <tableStyleElement type="firstRowStripe" dxfId="2"/>
      <tableStyleElement type="secondRowStripe" dxfId="1"/>
    </tableStyle>
    <tableStyle name="분할_26년01월-style 241" pivot="0" count="2">
      <tableStyleElement type="firstRowStripe" dxfId="2"/>
      <tableStyleElement type="secondRowStripe" dxfId="1"/>
    </tableStyle>
    <tableStyle name="분할_26년01월-style 242" pivot="0" count="2">
      <tableStyleElement type="firstRowStripe" dxfId="2"/>
      <tableStyleElement type="secondRowStripe" dxfId="1"/>
    </tableStyle>
    <tableStyle name="분할_26년01월-style 243" pivot="0" count="2">
      <tableStyleElement type="firstRowStripe" dxfId="2"/>
      <tableStyleElement type="secondRowStripe" dxfId="1"/>
    </tableStyle>
    <tableStyle name="분할_26년01월-style 244" pivot="0" count="2">
      <tableStyleElement type="firstRowStripe" dxfId="1"/>
      <tableStyleElement type="secondRowStripe" dxfId="2"/>
    </tableStyle>
    <tableStyle name="분할_26년01월-style 245" pivot="0" count="2">
      <tableStyleElement type="firstRowStripe" dxfId="1"/>
      <tableStyleElement type="secondRowStripe" dxfId="2"/>
    </tableStyle>
    <tableStyle name="분할_26년01월-style 246" pivot="0" count="2">
      <tableStyleElement type="firstRowStripe" dxfId="2"/>
      <tableStyleElement type="secondRowStripe" dxfId="1"/>
    </tableStyle>
    <tableStyle name="분할_26년01월-style 247" pivot="0" count="2">
      <tableStyleElement type="firstRowStripe" dxfId="1"/>
      <tableStyleElement type="secondRowStripe" dxfId="2"/>
    </tableStyle>
    <tableStyle name="분할_26년01월-style 248" pivot="0" count="2">
      <tableStyleElement type="firstRowStripe" dxfId="2"/>
      <tableStyleElement type="secondRowStripe" dxfId="1"/>
    </tableStyle>
    <tableStyle name="분할_26년01월-style 249" pivot="0" count="2">
      <tableStyleElement type="firstRowStripe" dxfId="2"/>
      <tableStyleElement type="secondRowStripe" dxfId="1"/>
    </tableStyle>
    <tableStyle name="분할_26년01월-style 250" pivot="0" count="2">
      <tableStyleElement type="firstRowStripe" dxfId="1"/>
      <tableStyleElement type="secondRowStripe" dxfId="2"/>
    </tableStyle>
    <tableStyle name="분할_26년01월-style 251" pivot="0" count="2">
      <tableStyleElement type="firstRowStripe" dxfId="2"/>
      <tableStyleElement type="secondRowStripe" dxfId="1"/>
    </tableStyle>
    <tableStyle name="분할_26년01월-style 252" pivot="0" count="2">
      <tableStyleElement type="firstRowStripe" dxfId="1"/>
      <tableStyleElement type="secondRowStripe" dxfId="2"/>
    </tableStyle>
    <tableStyle name="분할_26년01월-style 253" pivot="0" count="2">
      <tableStyleElement type="firstRowStripe" dxfId="2"/>
      <tableStyleElement type="secondRowStripe" dxfId="1"/>
    </tableStyle>
    <tableStyle name="분할_26년01월-style 254" pivot="0" count="2">
      <tableStyleElement type="firstRowStripe" dxfId="2"/>
      <tableStyleElement type="secondRowStripe" dxfId="1"/>
    </tableStyle>
    <tableStyle name="분할_26년01월-style 255" pivot="0" count="2">
      <tableStyleElement type="firstRowStripe" dxfId="2"/>
      <tableStyleElement type="secondRowStripe" dxfId="1"/>
    </tableStyle>
    <tableStyle name="분할_26년01월-style 256" pivot="0" count="2">
      <tableStyleElement type="firstRowStripe" dxfId="1"/>
      <tableStyleElement type="secondRowStripe" dxfId="2"/>
    </tableStyle>
    <tableStyle name="분할_26년01월-style 257" pivot="0" count="2">
      <tableStyleElement type="firstRowStripe" dxfId="1"/>
      <tableStyleElement type="secondRowStripe" dxfId="2"/>
    </tableStyle>
    <tableStyle name="분할_26년01월-style 258" pivot="0" count="2">
      <tableStyleElement type="firstRowStripe" dxfId="2"/>
      <tableStyleElement type="secondRowStripe" dxfId="1"/>
    </tableStyle>
    <tableStyle name="분할_26년01월-style 259" pivot="0" count="2">
      <tableStyleElement type="firstRowStripe" dxfId="1"/>
      <tableStyleElement type="secondRowStripe" dxfId="2"/>
    </tableStyle>
    <tableStyle name="분할_26년01월-style 260" pivot="0" count="2">
      <tableStyleElement type="firstRowStripe" dxfId="1"/>
      <tableStyleElement type="secondRowStripe" dxfId="2"/>
    </tableStyle>
    <tableStyle name="분할_26년01월-style 261" pivot="0" count="2">
      <tableStyleElement type="firstRowStripe" dxfId="2"/>
      <tableStyleElement type="secondRowStripe" dxfId="1"/>
    </tableStyle>
    <tableStyle name="분할_26년01월-style 262" pivot="0" count="2">
      <tableStyleElement type="firstRowStripe" dxfId="2"/>
      <tableStyleElement type="secondRowStripe" dxfId="1"/>
    </tableStyle>
    <tableStyle name="분할_26년01월-style 263" pivot="0" count="2">
      <tableStyleElement type="firstRowStripe" dxfId="1"/>
      <tableStyleElement type="secondRowStripe" dxfId="2"/>
    </tableStyle>
    <tableStyle name="분할_26년01월-style 264" pivot="0" count="2">
      <tableStyleElement type="firstRowStripe" dxfId="1"/>
      <tableStyleElement type="secondRowStripe" dxfId="2"/>
    </tableStyle>
    <tableStyle name="분할_26년01월-style 265" pivot="0" count="2">
      <tableStyleElement type="firstRowStripe" dxfId="1"/>
      <tableStyleElement type="secondRowStripe" dxfId="2"/>
    </tableStyle>
    <tableStyle name="분할_26년01월-style 266" pivot="0" count="2">
      <tableStyleElement type="firstRowStripe" dxfId="2"/>
      <tableStyleElement type="secondRowStripe" dxfId="1"/>
    </tableStyle>
    <tableStyle name="분할_26년01월-style 267" pivot="0" count="2">
      <tableStyleElement type="firstRowStripe" dxfId="2"/>
      <tableStyleElement type="secondRowStripe" dxfId="1"/>
    </tableStyle>
    <tableStyle name="분할_26년01월-style 268" pivot="0" count="2">
      <tableStyleElement type="firstRowStripe" dxfId="2"/>
      <tableStyleElement type="secondRowStripe" dxfId="1"/>
    </tableStyle>
    <tableStyle name="분할_26년01월-style 269" pivot="0" count="2">
      <tableStyleElement type="firstRowStripe" dxfId="1"/>
      <tableStyleElement type="secondRowStripe" dxfId="2"/>
    </tableStyle>
    <tableStyle name="분할_26년01월-style 270" pivot="0" count="2">
      <tableStyleElement type="firstRowStripe" dxfId="1"/>
      <tableStyleElement type="secondRowStripe" dxfId="2"/>
    </tableStyle>
    <tableStyle name="분할_26년01월-style 271" pivot="0" count="2">
      <tableStyleElement type="firstRowStripe" dxfId="2"/>
      <tableStyleElement type="secondRowStripe" dxfId="1"/>
    </tableStyle>
    <tableStyle name="분할_26년01월-style 272" pivot="0" count="2">
      <tableStyleElement type="firstRowStripe" dxfId="2"/>
      <tableStyleElement type="secondRowStripe" dxfId="1"/>
    </tableStyle>
    <tableStyle name="분할_26년01월-style 273" pivot="0" count="2">
      <tableStyleElement type="firstRowStripe" dxfId="1"/>
      <tableStyleElement type="secondRowStripe" dxfId="2"/>
    </tableStyle>
    <tableStyle name="분할_26년01월-style 274" pivot="0" count="2">
      <tableStyleElement type="firstRowStripe" dxfId="1"/>
      <tableStyleElement type="secondRowStripe" dxfId="2"/>
    </tableStyle>
    <tableStyle name="분할_26년01월-style 275" pivot="0" count="2">
      <tableStyleElement type="firstRowStripe" dxfId="2"/>
      <tableStyleElement type="secondRowStripe" dxfId="1"/>
    </tableStyle>
    <tableStyle name="분할_26년01월-style 276" pivot="0" count="2">
      <tableStyleElement type="firstRowStripe" dxfId="2"/>
      <tableStyleElement type="secondRowStripe" dxfId="1"/>
    </tableStyle>
    <tableStyle name="분할_26년01월-style 277" pivot="0" count="2">
      <tableStyleElement type="firstRowStripe" dxfId="2"/>
      <tableStyleElement type="secondRowStripe" dxfId="1"/>
    </tableStyle>
    <tableStyle name="분할_26년01월-style 278" pivot="0" count="2">
      <tableStyleElement type="firstRowStripe" dxfId="1"/>
      <tableStyleElement type="secondRowStripe" dxfId="2"/>
    </tableStyle>
    <tableStyle name="분할_26년01월-style 279" pivot="0" count="2">
      <tableStyleElement type="firstRowStripe" dxfId="1"/>
      <tableStyleElement type="secondRowStripe" dxfId="2"/>
    </tableStyle>
    <tableStyle name="분할_26년01월-style 280" pivot="0" count="2">
      <tableStyleElement type="firstRowStripe" dxfId="2"/>
      <tableStyleElement type="secondRowStripe" dxfId="1"/>
    </tableStyle>
    <tableStyle name="분할_26년01월-style 281" pivot="0" count="2">
      <tableStyleElement type="firstRowStripe" dxfId="2"/>
      <tableStyleElement type="secondRowStripe" dxfId="1"/>
    </tableStyle>
    <tableStyle name="분할_26년01월-style 282" pivot="0" count="2">
      <tableStyleElement type="firstRowStripe" dxfId="2"/>
      <tableStyleElement type="secondRowStripe" dxfId="1"/>
    </tableStyle>
    <tableStyle name="분할_26년01월-style 283" pivot="0" count="2">
      <tableStyleElement type="firstRowStripe" dxfId="2"/>
      <tableStyleElement type="secondRowStripe" dxfId="1"/>
    </tableStyle>
    <tableStyle name="분할_26년01월-style 284" pivot="0" count="2">
      <tableStyleElement type="firstRowStripe" dxfId="1"/>
      <tableStyleElement type="secondRowStripe" dxfId="2"/>
    </tableStyle>
    <tableStyle name="분할_26년01월-style 285" pivot="0" count="2">
      <tableStyleElement type="firstRowStripe" dxfId="1"/>
      <tableStyleElement type="secondRowStripe" dxfId="2"/>
    </tableStyle>
    <tableStyle name="분할_26년01월-style 286" pivot="0" count="2">
      <tableStyleElement type="firstRowStripe" dxfId="1"/>
      <tableStyleElement type="secondRowStripe" dxfId="2"/>
    </tableStyle>
    <tableStyle name="분할_26년01월-style 287" pivot="0" count="2">
      <tableStyleElement type="firstRowStripe" dxfId="2"/>
      <tableStyleElement type="secondRowStripe" dxfId="1"/>
    </tableStyle>
    <tableStyle name="분할_26년01월-style 288" pivot="0" count="2">
      <tableStyleElement type="firstRowStripe" dxfId="1"/>
      <tableStyleElement type="secondRowStripe" dxfId="2"/>
    </tableStyle>
    <tableStyle name="분할_26년01월-style 289" pivot="0" count="2">
      <tableStyleElement type="firstRowStripe" dxfId="1"/>
      <tableStyleElement type="secondRowStripe" dxfId="2"/>
    </tableStyle>
    <tableStyle name="분할_26년01월-style 290" pivot="0" count="2">
      <tableStyleElement type="firstRowStripe" dxfId="1"/>
      <tableStyleElement type="secondRowStripe" dxfId="2"/>
    </tableStyle>
    <tableStyle name="분할_26년01월-style 291" pivot="0" count="2">
      <tableStyleElement type="firstRowStripe" dxfId="1"/>
      <tableStyleElement type="secondRowStripe" dxfId="2"/>
    </tableStyle>
    <tableStyle name="분할_26년01월-style 292" pivot="0" count="2">
      <tableStyleElement type="firstRowStripe" dxfId="1"/>
      <tableStyleElement type="secondRowStripe" dxfId="2"/>
    </tableStyle>
    <tableStyle name="분할_26년01월-style 293" pivot="0" count="2">
      <tableStyleElement type="firstRowStripe" dxfId="1"/>
      <tableStyleElement type="secondRowStripe" dxfId="2"/>
    </tableStyle>
    <tableStyle name="분할_26년01월-style 294" pivot="0" count="2">
      <tableStyleElement type="firstRowStripe" dxfId="1"/>
      <tableStyleElement type="secondRowStripe" dxfId="2"/>
    </tableStyle>
    <tableStyle name="분할_26년01월-style 295" pivot="0" count="2">
      <tableStyleElement type="firstRowStripe" dxfId="2"/>
      <tableStyleElement type="secondRowStripe" dxfId="1"/>
    </tableStyle>
    <tableStyle name="분할_26년01월-style 296" pivot="0" count="2">
      <tableStyleElement type="firstRowStripe" dxfId="2"/>
      <tableStyleElement type="secondRowStripe" dxfId="1"/>
    </tableStyle>
    <tableStyle name="분할_26년01월-style 297" pivot="0" count="2">
      <tableStyleElement type="firstRowStripe" dxfId="2"/>
      <tableStyleElement type="secondRowStripe" dxfId="1"/>
    </tableStyle>
    <tableStyle name="분할_26년01월-style 298" pivot="0" count="2">
      <tableStyleElement type="firstRowStripe" dxfId="1"/>
      <tableStyleElement type="secondRowStripe" dxfId="2"/>
    </tableStyle>
    <tableStyle name="분할_26년01월-style 299" pivot="0" count="2">
      <tableStyleElement type="firstRowStripe" dxfId="2"/>
      <tableStyleElement type="secondRowStripe" dxfId="1"/>
    </tableStyle>
    <tableStyle name="분할_26년01월-style 300" pivot="0" count="2">
      <tableStyleElement type="firstRowStripe" dxfId="2"/>
      <tableStyleElement type="secondRowStripe" dxfId="1"/>
    </tableStyle>
    <tableStyle name="분할_26년01월-style 301" pivot="0" count="2">
      <tableStyleElement type="firstRowStripe" dxfId="1"/>
      <tableStyleElement type="secondRowStripe" dxfId="2"/>
    </tableStyle>
    <tableStyle name="분할_26년01월-style 302" pivot="0" count="2">
      <tableStyleElement type="firstRowStripe" dxfId="2"/>
      <tableStyleElement type="secondRowStripe" dxfId="1"/>
    </tableStyle>
    <tableStyle name="분할_26년01월-style 303" pivot="0" count="2">
      <tableStyleElement type="firstRowStripe" dxfId="1"/>
      <tableStyleElement type="secondRowStripe" dxfId="2"/>
    </tableStyle>
    <tableStyle name="분할_26년01월-style 304" pivot="0" count="2">
      <tableStyleElement type="firstRowStripe" dxfId="2"/>
      <tableStyleElement type="secondRowStripe" dxfId="1"/>
    </tableStyle>
    <tableStyle name="분할_26년01월-style 305" pivot="0" count="2">
      <tableStyleElement type="firstRowStripe" dxfId="2"/>
      <tableStyleElement type="secondRowStripe" dxfId="1"/>
    </tableStyle>
    <tableStyle name="분할_26년01월-style 306" pivot="0" count="2">
      <tableStyleElement type="firstRowStripe" dxfId="2"/>
      <tableStyleElement type="secondRowStripe" dxfId="1"/>
    </tableStyle>
    <tableStyle name="분할_26년01월-style 307" pivot="0" count="2">
      <tableStyleElement type="firstRowStripe" dxfId="2"/>
      <tableStyleElement type="secondRowStripe" dxfId="1"/>
    </tableStyle>
    <tableStyle name="분할_26년01월-style 308" pivot="0" count="2">
      <tableStyleElement type="firstRowStripe" dxfId="1"/>
      <tableStyleElement type="secondRowStripe" dxfId="2"/>
    </tableStyle>
    <tableStyle name="분할_26년01월-style 309" pivot="0" count="2">
      <tableStyleElement type="firstRowStripe" dxfId="1"/>
      <tableStyleElement type="secondRowStripe" dxfId="2"/>
    </tableStyle>
    <tableStyle name="분할_26년01월-style 310" pivot="0" count="2">
      <tableStyleElement type="firstRowStripe" dxfId="1"/>
      <tableStyleElement type="secondRowStripe" dxfId="2"/>
    </tableStyle>
    <tableStyle name="분할_26년01월-style 311" pivot="0" count="2">
      <tableStyleElement type="firstRowStripe" dxfId="1"/>
      <tableStyleElement type="secondRowStripe" dxfId="2"/>
    </tableStyle>
    <tableStyle name="분할_26년01월-style 312" pivot="0" count="2">
      <tableStyleElement type="firstRowStripe" dxfId="1"/>
      <tableStyleElement type="secondRowStripe" dxfId="2"/>
    </tableStyle>
    <tableStyle name="분할_26년01월-style 313" pivot="0" count="2">
      <tableStyleElement type="firstRowStripe" dxfId="1"/>
      <tableStyleElement type="secondRowStripe" dxfId="2"/>
    </tableStyle>
    <tableStyle name="분할_26년01월-style 314" pivot="0" count="2">
      <tableStyleElement type="firstRowStripe" dxfId="1"/>
      <tableStyleElement type="secondRowStripe" dxfId="2"/>
    </tableStyle>
    <tableStyle name="분할_26년01월-style 315" pivot="0" count="2">
      <tableStyleElement type="firstRowStripe" dxfId="2"/>
      <tableStyleElement type="secondRowStripe" dxfId="1"/>
    </tableStyle>
    <tableStyle name="분할_26년01월-style 316" pivot="0" count="2">
      <tableStyleElement type="firstRowStripe" dxfId="1"/>
      <tableStyleElement type="secondRowStripe" dxfId="2"/>
    </tableStyle>
    <tableStyle name="분할_26년01월-style 317" pivot="0" count="2">
      <tableStyleElement type="firstRowStripe" dxfId="1"/>
      <tableStyleElement type="secondRowStripe" dxfId="2"/>
    </tableStyle>
    <tableStyle name="분할_26년01월-style 318" pivot="0" count="2">
      <tableStyleElement type="firstRowStripe" dxfId="2"/>
      <tableStyleElement type="secondRowStripe" dxfId="1"/>
    </tableStyle>
    <tableStyle name="분할_26년01월-style 319" pivot="0" count="2">
      <tableStyleElement type="firstRowStripe" dxfId="2"/>
      <tableStyleElement type="secondRowStripe" dxfId="1"/>
    </tableStyle>
    <tableStyle name="분할_26년01월-style 320" pivot="0" count="2">
      <tableStyleElement type="firstRowStripe" dxfId="1"/>
      <tableStyleElement type="secondRowStripe" dxfId="2"/>
    </tableStyle>
    <tableStyle name="분할_26년01월-style 321" pivot="0" count="2">
      <tableStyleElement type="firstRowStripe" dxfId="1"/>
      <tableStyleElement type="secondRowStripe" dxfId="2"/>
    </tableStyle>
    <tableStyle name="분할_26년01월-style 322" pivot="0" count="2">
      <tableStyleElement type="firstRowStripe" dxfId="1"/>
      <tableStyleElement type="secondRowStripe" dxfId="2"/>
    </tableStyle>
    <tableStyle name="분할_26년01월-style 323" pivot="0" count="2">
      <tableStyleElement type="firstRowStripe" dxfId="1"/>
      <tableStyleElement type="secondRowStripe" dxfId="2"/>
    </tableStyle>
    <tableStyle name="분할_26년01월-style 324" pivot="0" count="2">
      <tableStyleElement type="firstRowStripe" dxfId="2"/>
      <tableStyleElement type="secondRowStripe" dxfId="1"/>
    </tableStyle>
    <tableStyle name="분할_26년01월-style 325" pivot="0" count="2">
      <tableStyleElement type="firstRowStripe" dxfId="2"/>
      <tableStyleElement type="secondRowStripe" dxfId="1"/>
    </tableStyle>
    <tableStyle name="분할_26년01월-style 326" pivot="0" count="2">
      <tableStyleElement type="firstRowStripe" dxfId="2"/>
      <tableStyleElement type="secondRowStripe" dxfId="1"/>
    </tableStyle>
    <tableStyle name="분할_26년01월-style 327" pivot="0" count="2">
      <tableStyleElement type="firstRowStripe" dxfId="1"/>
      <tableStyleElement type="secondRowStripe" dxfId="2"/>
    </tableStyle>
    <tableStyle name="분할_26년01월-style 328" pivot="0" count="2">
      <tableStyleElement type="firstRowStripe" dxfId="2"/>
      <tableStyleElement type="secondRowStripe" dxfId="1"/>
    </tableStyle>
    <tableStyle name="분할_26년01월-style 329" pivot="0" count="2">
      <tableStyleElement type="firstRowStripe" dxfId="2"/>
      <tableStyleElement type="secondRowStripe" dxfId="1"/>
    </tableStyle>
    <tableStyle name="분할_26년01월-style 330" pivot="0" count="2">
      <tableStyleElement type="firstRowStripe" dxfId="2"/>
      <tableStyleElement type="secondRowStripe" dxfId="1"/>
    </tableStyle>
    <tableStyle name="분할_26년01월-style 331" pivot="0" count="2">
      <tableStyleElement type="firstRowStripe" dxfId="2"/>
      <tableStyleElement type="secondRowStripe" dxfId="1"/>
    </tableStyle>
    <tableStyle name="분할_26년01월-style 332" pivot="0" count="2">
      <tableStyleElement type="firstRowStripe" dxfId="2"/>
      <tableStyleElement type="secondRowStripe" dxfId="1"/>
    </tableStyle>
    <tableStyle name="분할_26년01월-style 333" pivot="0" count="2">
      <tableStyleElement type="firstRowStripe" dxfId="1"/>
      <tableStyleElement type="secondRowStripe" dxfId="2"/>
    </tableStyle>
    <tableStyle name="분할_26년01월-style 334" pivot="0" count="2">
      <tableStyleElement type="firstRowStripe" dxfId="2"/>
      <tableStyleElement type="secondRowStripe" dxfId="1"/>
    </tableStyle>
    <tableStyle name="분할_26년01월-style 335" pivot="0" count="2">
      <tableStyleElement type="firstRowStripe" dxfId="1"/>
      <tableStyleElement type="secondRowStripe" dxfId="2"/>
    </tableStyle>
    <tableStyle name="분할_26년01월-style 336" pivot="0" count="2">
      <tableStyleElement type="firstRowStripe" dxfId="1"/>
      <tableStyleElement type="secondRowStripe" dxfId="2"/>
    </tableStyle>
    <tableStyle name="분할_26년01월-style 337" pivot="0" count="2">
      <tableStyleElement type="firstRowStripe" dxfId="2"/>
      <tableStyleElement type="secondRowStripe" dxfId="1"/>
    </tableStyle>
    <tableStyle name="분할_26년01월-style 338" pivot="0" count="2">
      <tableStyleElement type="firstRowStripe" dxfId="2"/>
      <tableStyleElement type="secondRowStripe" dxfId="1"/>
    </tableStyle>
    <tableStyle name="분할_26년01월-style 339" pivot="0" count="2">
      <tableStyleElement type="firstRowStripe" dxfId="1"/>
      <tableStyleElement type="secondRowStripe" dxfId="2"/>
    </tableStyle>
    <tableStyle name="분할_26년01월-style 340" pivot="0" count="2">
      <tableStyleElement type="firstRowStripe" dxfId="1"/>
      <tableStyleElement type="secondRowStripe" dxfId="2"/>
    </tableStyle>
    <tableStyle name="분할_26년01월-style 341" pivot="0" count="2">
      <tableStyleElement type="firstRowStripe" dxfId="2"/>
      <tableStyleElement type="secondRowStripe" dxfId="1"/>
    </tableStyle>
    <tableStyle name="분할_26년01월-style 342" pivot="0" count="2">
      <tableStyleElement type="firstRowStripe" dxfId="1"/>
      <tableStyleElement type="secondRowStripe" dxfId="2"/>
    </tableStyle>
    <tableStyle name="분할_26년01월-style 343" pivot="0" count="2">
      <tableStyleElement type="firstRowStripe" dxfId="2"/>
      <tableStyleElement type="secondRowStripe" dxfId="1"/>
    </tableStyle>
    <tableStyle name="분할_26년01월-style 344" pivot="0" count="2">
      <tableStyleElement type="firstRowStripe" dxfId="1"/>
      <tableStyleElement type="secondRowStripe" dxfId="2"/>
    </tableStyle>
    <tableStyle name="분할_26년01월-style 345" pivot="0" count="2">
      <tableStyleElement type="firstRowStripe" dxfId="1"/>
      <tableStyleElement type="secondRowStripe" dxfId="2"/>
    </tableStyle>
    <tableStyle name="분할_26년01월-style 346" pivot="0" count="2">
      <tableStyleElement type="firstRowStripe" dxfId="2"/>
      <tableStyleElement type="secondRowStripe" dxfId="1"/>
    </tableStyle>
    <tableStyle name="분할_26년01월-style 347" pivot="0" count="2">
      <tableStyleElement type="firstRowStripe" dxfId="2"/>
      <tableStyleElement type="secondRowStripe" dxfId="1"/>
    </tableStyle>
    <tableStyle name="분할_26년01월-style 348" pivot="0" count="2">
      <tableStyleElement type="firstRowStripe" dxfId="2"/>
      <tableStyleElement type="secondRowStripe" dxfId="1"/>
    </tableStyle>
    <tableStyle name="분할_26년01월-style 349" pivot="0" count="2">
      <tableStyleElement type="firstRowStripe" dxfId="2"/>
      <tableStyleElement type="secondRowStripe" dxfId="1"/>
    </tableStyle>
    <tableStyle name="분할_26년01월-style 350" pivot="0" count="2">
      <tableStyleElement type="firstRowStripe" dxfId="2"/>
      <tableStyleElement type="secondRowStripe" dxfId="1"/>
    </tableStyle>
    <tableStyle name="분할_26년01월-style 351" pivot="0" count="2">
      <tableStyleElement type="firstRowStripe" dxfId="1"/>
      <tableStyleElement type="secondRowStripe" dxfId="2"/>
    </tableStyle>
    <tableStyle name="분할_26년01월-style 352" pivot="0" count="2">
      <tableStyleElement type="firstRowStripe" dxfId="1"/>
      <tableStyleElement type="secondRowStripe" dxfId="2"/>
    </tableStyle>
    <tableStyle name="분할_26년01월-style 353" pivot="0" count="2">
      <tableStyleElement type="firstRowStripe" dxfId="1"/>
      <tableStyleElement type="secondRowStripe" dxfId="2"/>
    </tableStyle>
    <tableStyle name="분할_26년01월-style 354" pivot="0" count="2">
      <tableStyleElement type="firstRowStripe" dxfId="1"/>
      <tableStyleElement type="secondRowStripe" dxfId="2"/>
    </tableStyle>
    <tableStyle name="분할_26년01월-style 355" pivot="0" count="2">
      <tableStyleElement type="firstRowStripe" dxfId="2"/>
      <tableStyleElement type="secondRowStripe" dxfId="1"/>
    </tableStyle>
    <tableStyle name="분할_26년01월-style 356" pivot="0" count="2">
      <tableStyleElement type="firstRowStripe" dxfId="2"/>
      <tableStyleElement type="secondRowStripe" dxfId="1"/>
    </tableStyle>
    <tableStyle name="분할_26년01월-style 357" pivot="0" count="2">
      <tableStyleElement type="firstRowStripe" dxfId="1"/>
      <tableStyleElement type="secondRowStripe" dxfId="2"/>
    </tableStyle>
    <tableStyle name="분할_26년01월-style 358" pivot="0" count="2">
      <tableStyleElement type="firstRowStripe" dxfId="2"/>
      <tableStyleElement type="secondRowStripe" dxfId="1"/>
    </tableStyle>
    <tableStyle name="분할_26년01월-style 359" pivot="0" count="2">
      <tableStyleElement type="firstRowStripe" dxfId="2"/>
      <tableStyleElement type="secondRowStripe" dxfId="1"/>
    </tableStyle>
    <tableStyle name="분할_26년01월-style 360" pivot="0" count="2">
      <tableStyleElement type="firstRowStripe" dxfId="2"/>
      <tableStyleElement type="secondRowStripe" dxfId="1"/>
    </tableStyle>
    <tableStyle name="분할_26년01월-style 361" pivot="0" count="2">
      <tableStyleElement type="firstRowStripe" dxfId="2"/>
      <tableStyleElement type="secondRowStripe" dxfId="1"/>
    </tableStyle>
    <tableStyle name="분할_26년01월-style 362" pivot="0" count="2">
      <tableStyleElement type="firstRowStripe" dxfId="1"/>
      <tableStyleElement type="secondRowStripe" dxfId="2"/>
    </tableStyle>
    <tableStyle name="분할_26년01월-style 363" pivot="0" count="2">
      <tableStyleElement type="firstRowStripe" dxfId="1"/>
      <tableStyleElement type="secondRowStripe" dxfId="2"/>
    </tableStyle>
    <tableStyle name="분할_26년01월-style 364" pivot="0" count="2">
      <tableStyleElement type="firstRowStripe" dxfId="1"/>
      <tableStyleElement type="secondRowStripe" dxfId="2"/>
    </tableStyle>
    <tableStyle name="분할_26년01월-style 365" pivot="0" count="2">
      <tableStyleElement type="firstRowStripe" dxfId="1"/>
      <tableStyleElement type="secondRowStripe" dxfId="2"/>
    </tableStyle>
    <tableStyle name="분할_26년01월-style 366" pivot="0" count="2">
      <tableStyleElement type="firstRowStripe" dxfId="1"/>
      <tableStyleElement type="secondRowStripe" dxfId="2"/>
    </tableStyle>
    <tableStyle name="분할_26년01월-style 367" pivot="0" count="2">
      <tableStyleElement type="firstRowStripe" dxfId="1"/>
      <tableStyleElement type="secondRowStripe" dxfId="2"/>
    </tableStyle>
    <tableStyle name="분할_26년01월-style 368" pivot="0" count="2">
      <tableStyleElement type="firstRowStripe" dxfId="1"/>
      <tableStyleElement type="secondRowStripe" dxfId="2"/>
    </tableStyle>
    <tableStyle name="분할_26년01월-style 369" pivot="0" count="2">
      <tableStyleElement type="firstRowStripe" dxfId="1"/>
      <tableStyleElement type="secondRowStripe" dxfId="2"/>
    </tableStyle>
    <tableStyle name="분할_26년01월-style 370" pivot="0" count="2">
      <tableStyleElement type="firstRowStripe" dxfId="1"/>
      <tableStyleElement type="secondRowStripe" dxfId="2"/>
    </tableStyle>
    <tableStyle name="분할_26년01월-style 371" pivot="0" count="2">
      <tableStyleElement type="firstRowStripe" dxfId="1"/>
      <tableStyleElement type="secondRowStripe" dxfId="2"/>
    </tableStyle>
    <tableStyle name="분할_26년01월-style 372" pivot="0" count="2">
      <tableStyleElement type="firstRowStripe" dxfId="2"/>
      <tableStyleElement type="secondRowStripe" dxfId="1"/>
    </tableStyle>
    <tableStyle name="분할_26년01월-style 373" pivot="0" count="2">
      <tableStyleElement type="firstRowStripe" dxfId="1"/>
      <tableStyleElement type="secondRowStripe" dxfId="2"/>
    </tableStyle>
    <tableStyle name="분할_26년01월-style 374" pivot="0" count="2">
      <tableStyleElement type="firstRowStripe" dxfId="2"/>
      <tableStyleElement type="secondRowStripe" dxfId="1"/>
    </tableStyle>
    <tableStyle name="분할_26년01월-style 375" pivot="0" count="2">
      <tableStyleElement type="firstRowStripe" dxfId="1"/>
      <tableStyleElement type="secondRowStripe" dxfId="2"/>
    </tableStyle>
    <tableStyle name="분할_26년01월-style 376" pivot="0" count="2">
      <tableStyleElement type="firstRowStripe" dxfId="2"/>
      <tableStyleElement type="secondRowStripe" dxfId="1"/>
    </tableStyle>
    <tableStyle name="분할_26년01월-style 377" pivot="0" count="2">
      <tableStyleElement type="firstRowStripe" dxfId="1"/>
      <tableStyleElement type="secondRowStripe" dxfId="2"/>
    </tableStyle>
    <tableStyle name="분할_26년01월-style 378" pivot="0" count="2">
      <tableStyleElement type="firstRowStripe" dxfId="1"/>
      <tableStyleElement type="secondRowStripe" dxfId="2"/>
    </tableStyle>
    <tableStyle name="분할_26년01월-style 379" pivot="0" count="2">
      <tableStyleElement type="firstRowStripe" dxfId="2"/>
      <tableStyleElement type="secondRowStripe" dxfId="1"/>
    </tableStyle>
    <tableStyle name="분할_26년01월-style 380" pivot="0" count="2">
      <tableStyleElement type="firstRowStripe" dxfId="2"/>
      <tableStyleElement type="secondRowStripe" dxfId="1"/>
    </tableStyle>
    <tableStyle name="분할_26년01월-style 381" pivot="0" count="2">
      <tableStyleElement type="firstRowStripe" dxfId="1"/>
      <tableStyleElement type="secondRowStripe" dxfId="2"/>
    </tableStyle>
    <tableStyle name="분할_26년01월-style 382" pivot="0" count="2">
      <tableStyleElement type="firstRowStripe" dxfId="1"/>
      <tableStyleElement type="secondRowStripe" dxfId="2"/>
    </tableStyle>
    <tableStyle name="분할_26년01월-style 383" pivot="0" count="2">
      <tableStyleElement type="firstRowStripe" dxfId="2"/>
      <tableStyleElement type="secondRowStripe" dxfId="1"/>
    </tableStyle>
    <tableStyle name="분할_26년01월-style 384" pivot="0" count="2">
      <tableStyleElement type="firstRowStripe" dxfId="1"/>
      <tableStyleElement type="secondRowStripe" dxfId="2"/>
    </tableStyle>
    <tableStyle name="분할_26년01월-style 385" pivot="0" count="2">
      <tableStyleElement type="firstRowStripe" dxfId="1"/>
      <tableStyleElement type="secondRowStripe" dxfId="2"/>
    </tableStyle>
    <tableStyle name="분할_26년01월-style 386" pivot="0" count="2">
      <tableStyleElement type="firstRowStripe" dxfId="2"/>
      <tableStyleElement type="secondRowStripe" dxfId="1"/>
    </tableStyle>
    <tableStyle name="분할_26년01월-style 387" pivot="0" count="2">
      <tableStyleElement type="firstRowStripe" dxfId="1"/>
      <tableStyleElement type="secondRowStripe" dxfId="2"/>
    </tableStyle>
    <tableStyle name="분할_26년01월-style 388" pivot="0" count="2">
      <tableStyleElement type="firstRowStripe" dxfId="2"/>
      <tableStyleElement type="secondRowStripe" dxfId="1"/>
    </tableStyle>
    <tableStyle name="분할_26년01월-style 389" pivot="0" count="2">
      <tableStyleElement type="firstRowStripe" dxfId="1"/>
      <tableStyleElement type="secondRowStripe" dxfId="2"/>
    </tableStyle>
    <tableStyle name="분할_26년01월-style 390" pivot="0" count="2">
      <tableStyleElement type="firstRowStripe" dxfId="1"/>
      <tableStyleElement type="secondRowStripe" dxfId="2"/>
    </tableStyle>
    <tableStyle name="분할_26년01월-style 391" pivot="0" count="2">
      <tableStyleElement type="firstRowStripe" dxfId="1"/>
      <tableStyleElement type="secondRowStripe" dxfId="2"/>
    </tableStyle>
    <tableStyle name="분할_26년01월-style 392" pivot="0" count="2">
      <tableStyleElement type="firstRowStripe" dxfId="1"/>
      <tableStyleElement type="secondRowStripe" dxfId="2"/>
    </tableStyle>
    <tableStyle name="분할_26년01월-style 393" pivot="0" count="2">
      <tableStyleElement type="firstRowStripe" dxfId="1"/>
      <tableStyleElement type="secondRowStripe" dxfId="2"/>
    </tableStyle>
    <tableStyle name="분할_26년01월-style 394" pivot="0" count="2">
      <tableStyleElement type="firstRowStripe" dxfId="1"/>
      <tableStyleElement type="secondRowStripe" dxfId="2"/>
    </tableStyle>
    <tableStyle name="분할_26년01월-style 395" pivot="0" count="2">
      <tableStyleElement type="firstRowStripe" dxfId="2"/>
      <tableStyleElement type="secondRowStripe" dxfId="1"/>
    </tableStyle>
    <tableStyle name="분할_26년01월-style 396" pivot="0" count="2">
      <tableStyleElement type="firstRowStripe" dxfId="2"/>
      <tableStyleElement type="secondRowStripe" dxfId="1"/>
    </tableStyle>
    <tableStyle name="분할_26년01월-style 397" pivot="0" count="2">
      <tableStyleElement type="firstRowStripe" dxfId="2"/>
      <tableStyleElement type="secondRowStripe" dxfId="1"/>
    </tableStyle>
    <tableStyle name="분할_26년01월-style 398" pivot="0" count="2">
      <tableStyleElement type="firstRowStripe" dxfId="1"/>
      <tableStyleElement type="secondRowStripe" dxfId="2"/>
    </tableStyle>
    <tableStyle name="분할_26년01월-style 399" pivot="0" count="2">
      <tableStyleElement type="firstRowStripe" dxfId="1"/>
      <tableStyleElement type="secondRowStripe" dxfId="2"/>
    </tableStyle>
    <tableStyle name="분할_26년01월-style 400" pivot="0" count="2">
      <tableStyleElement type="firstRowStripe" dxfId="1"/>
      <tableStyleElement type="secondRowStripe" dxfId="2"/>
    </tableStyle>
    <tableStyle name="분할_26년01월-style 401" pivot="0" count="2">
      <tableStyleElement type="firstRowStripe" dxfId="2"/>
      <tableStyleElement type="secondRowStripe" dxfId="1"/>
    </tableStyle>
    <tableStyle name="분할_26년01월-style 402" pivot="0" count="2">
      <tableStyleElement type="firstRowStripe" dxfId="2"/>
      <tableStyleElement type="secondRowStripe" dxfId="1"/>
    </tableStyle>
    <tableStyle name="분할_26년01월-style 403" pivot="0" count="2">
      <tableStyleElement type="firstRowStripe" dxfId="1"/>
      <tableStyleElement type="secondRowStripe" dxfId="2"/>
    </tableStyle>
    <tableStyle name="분할_26년01월-style 404" pivot="0" count="2">
      <tableStyleElement type="firstRowStripe" dxfId="2"/>
      <tableStyleElement type="secondRowStripe" dxfId="1"/>
    </tableStyle>
    <tableStyle name="분할_26년01월-style 405" pivot="0" count="2">
      <tableStyleElement type="firstRowStripe" dxfId="1"/>
      <tableStyleElement type="secondRowStripe" dxfId="2"/>
    </tableStyle>
    <tableStyle name="분할_26년01월-style 406" pivot="0" count="2">
      <tableStyleElement type="firstRowStripe" dxfId="2"/>
      <tableStyleElement type="secondRowStripe" dxfId="1"/>
    </tableStyle>
    <tableStyle name="분할_26년01월-style 407" pivot="0" count="2">
      <tableStyleElement type="firstRowStripe" dxfId="2"/>
      <tableStyleElement type="secondRowStripe" dxfId="1"/>
    </tableStyle>
    <tableStyle name="분할_26년01월-style 408" pivot="0" count="2">
      <tableStyleElement type="firstRowStripe" dxfId="1"/>
      <tableStyleElement type="secondRowStripe" dxfId="2"/>
    </tableStyle>
    <tableStyle name="분할_26년01월-style 409" pivot="0" count="2">
      <tableStyleElement type="firstRowStripe" dxfId="2"/>
      <tableStyleElement type="secondRowStripe" dxfId="1"/>
    </tableStyle>
    <tableStyle name="분할_26년01월-style 410" pivot="0" count="2">
      <tableStyleElement type="firstRowStripe" dxfId="1"/>
      <tableStyleElement type="secondRowStripe" dxfId="2"/>
    </tableStyle>
    <tableStyle name="분할_26년01월-style 411" pivot="0" count="2">
      <tableStyleElement type="firstRowStripe" dxfId="2"/>
      <tableStyleElement type="secondRowStripe" dxfId="1"/>
    </tableStyle>
    <tableStyle name="분할_26년01월-style 412" pivot="0" count="2">
      <tableStyleElement type="firstRowStripe" dxfId="1"/>
      <tableStyleElement type="secondRowStripe" dxfId="2"/>
    </tableStyle>
    <tableStyle name="분할_26년01월-style 413" pivot="0" count="2">
      <tableStyleElement type="firstRowStripe" dxfId="2"/>
      <tableStyleElement type="secondRowStripe" dxfId="1"/>
    </tableStyle>
    <tableStyle name="분할_26년01월-style 414" pivot="0" count="2">
      <tableStyleElement type="firstRowStripe" dxfId="1"/>
      <tableStyleElement type="secondRowStripe" dxfId="2"/>
    </tableStyle>
    <tableStyle name="분할_26년01월-style 415" pivot="0" count="2">
      <tableStyleElement type="firstRowStripe" dxfId="2"/>
      <tableStyleElement type="secondRowStripe" dxfId="1"/>
    </tableStyle>
    <tableStyle name="분할_26년01월-style 416" pivot="0" count="2">
      <tableStyleElement type="firstRowStripe" dxfId="1"/>
      <tableStyleElement type="secondRowStripe" dxfId="2"/>
    </tableStyle>
    <tableStyle name="분할_26년01월-style 417" pivot="0" count="2">
      <tableStyleElement type="firstRowStripe" dxfId="2"/>
      <tableStyleElement type="secondRowStripe" dxfId="1"/>
    </tableStyle>
    <tableStyle name="분할_26년01월-style 418" pivot="0" count="2">
      <tableStyleElement type="firstRowStripe" dxfId="1"/>
      <tableStyleElement type="secondRowStripe" dxfId="2"/>
    </tableStyle>
    <tableStyle name="분할_26년01월-style 419" pivot="0" count="2">
      <tableStyleElement type="firstRowStripe" dxfId="2"/>
      <tableStyleElement type="secondRowStripe" dxfId="1"/>
    </tableStyle>
    <tableStyle name="분할_26년01월-style 420" pivot="0" count="2">
      <tableStyleElement type="firstRowStripe" dxfId="1"/>
      <tableStyleElement type="secondRowStripe" dxfId="2"/>
    </tableStyle>
    <tableStyle name="분할_26년01월-style 421" pivot="0" count="2">
      <tableStyleElement type="firstRowStripe" dxfId="2"/>
      <tableStyleElement type="secondRowStripe" dxfId="1"/>
    </tableStyle>
    <tableStyle name="분할_26년01월-style 422" pivot="0" count="2">
      <tableStyleElement type="firstRowStripe" dxfId="1"/>
      <tableStyleElement type="secondRowStripe" dxfId="2"/>
    </tableStyle>
    <tableStyle name="분할_26년01월-style 423" pivot="0" count="2">
      <tableStyleElement type="firstRowStripe" dxfId="2"/>
      <tableStyleElement type="secondRowStripe" dxfId="1"/>
    </tableStyle>
    <tableStyle name="분할_26년01월-style 424" pivot="0" count="2">
      <tableStyleElement type="firstRowStripe" dxfId="1"/>
      <tableStyleElement type="secondRowStripe" dxfId="2"/>
    </tableStyle>
    <tableStyle name="분할_26년01월-style 425" pivot="0" count="2">
      <tableStyleElement type="firstRowStripe" dxfId="2"/>
      <tableStyleElement type="secondRowStripe" dxfId="1"/>
    </tableStyle>
    <tableStyle name="분할_26년01월-style 426" pivot="0" count="2">
      <tableStyleElement type="firstRowStripe" dxfId="1"/>
      <tableStyleElement type="secondRowStripe" dxfId="2"/>
    </tableStyle>
    <tableStyle name="분할_26년01월-style 427" pivot="0" count="2">
      <tableStyleElement type="firstRowStripe" dxfId="2"/>
      <tableStyleElement type="secondRowStripe" dxfId="1"/>
    </tableStyle>
    <tableStyle name="분할_26년01월-style 428" pivot="0" count="2">
      <tableStyleElement type="firstRowStripe" dxfId="1"/>
      <tableStyleElement type="secondRowStripe" dxfId="2"/>
    </tableStyle>
    <tableStyle name="분할_26년01월-style 429" pivot="0" count="2">
      <tableStyleElement type="firstRowStripe" dxfId="2"/>
      <tableStyleElement type="secondRowStripe" dxfId="1"/>
    </tableStyle>
    <tableStyle name="분할_26년01월-style 430" pivot="0" count="2">
      <tableStyleElement type="firstRowStripe" dxfId="1"/>
      <tableStyleElement type="secondRowStripe" dxfId="2"/>
    </tableStyle>
    <tableStyle name="분할_26년01월-style 431" pivot="0" count="2">
      <tableStyleElement type="firstRowStripe" dxfId="2"/>
      <tableStyleElement type="secondRowStripe" dxfId="1"/>
    </tableStyle>
    <tableStyle name="분할_26년01월-style 432" pivot="0" count="2">
      <tableStyleElement type="firstRowStripe" dxfId="1"/>
      <tableStyleElement type="secondRowStripe" dxfId="2"/>
    </tableStyle>
    <tableStyle name="분할_26년01월-style 433" pivot="0" count="2">
      <tableStyleElement type="firstRowStripe" dxfId="2"/>
      <tableStyleElement type="secondRowStripe" dxfId="1"/>
    </tableStyle>
    <tableStyle name="분할_26년01월-style 434" pivot="0" count="2">
      <tableStyleElement type="firstRowStripe" dxfId="1"/>
      <tableStyleElement type="secondRowStripe" dxfId="2"/>
    </tableStyle>
    <tableStyle name="분할_26년01월-style 435" pivot="0" count="2">
      <tableStyleElement type="firstRowStripe" dxfId="2"/>
      <tableStyleElement type="secondRowStripe" dxfId="1"/>
    </tableStyle>
    <tableStyle name="분할_26년01월-style 436" pivot="0" count="2">
      <tableStyleElement type="firstRowStripe" dxfId="2"/>
      <tableStyleElement type="secondRowStripe" dxfId="1"/>
    </tableStyle>
    <tableStyle name="분할_26년01월-style 437" pivot="0" count="2">
      <tableStyleElement type="firstRowStripe" dxfId="2"/>
      <tableStyleElement type="secondRowStripe" dxfId="1"/>
    </tableStyle>
    <tableStyle name="분할_26년01월-style 438" pivot="0" count="2">
      <tableStyleElement type="firstRowStripe" dxfId="1"/>
      <tableStyleElement type="secondRowStripe" dxfId="2"/>
    </tableStyle>
    <tableStyle name="분할_26년01월-style 439" pivot="0" count="2">
      <tableStyleElement type="firstRowStripe" dxfId="1"/>
      <tableStyleElement type="secondRowStripe" dxfId="2"/>
    </tableStyle>
    <tableStyle name="분할_26년01월-style 440" pivot="0" count="2">
      <tableStyleElement type="firstRowStripe" dxfId="1"/>
      <tableStyleElement type="secondRowStripe" dxfId="2"/>
    </tableStyle>
    <tableStyle name="분할_26년01월-style 441" pivot="0" count="2">
      <tableStyleElement type="firstRowStripe" dxfId="2"/>
      <tableStyleElement type="secondRowStripe" dxfId="1"/>
    </tableStyle>
    <tableStyle name="분할_26년01월-style 442" pivot="0" count="2">
      <tableStyleElement type="firstRowStripe" dxfId="1"/>
      <tableStyleElement type="secondRowStripe" dxfId="2"/>
    </tableStyle>
    <tableStyle name="분할_26년01월-style 443" pivot="0" count="2">
      <tableStyleElement type="firstRowStripe" dxfId="2"/>
      <tableStyleElement type="secondRowStripe" dxfId="1"/>
    </tableStyle>
    <tableStyle name="분할_26년01월-style 444" pivot="0" count="2">
      <tableStyleElement type="firstRowStripe" dxfId="1"/>
      <tableStyleElement type="secondRowStripe" dxfId="2"/>
    </tableStyle>
    <tableStyle name="분할_26년01월-style 445" pivot="0" count="2">
      <tableStyleElement type="firstRowStripe" dxfId="1"/>
      <tableStyleElement type="secondRowStripe" dxfId="2"/>
    </tableStyle>
    <tableStyle name="분할_26년01월-style 446" pivot="0" count="2">
      <tableStyleElement type="firstRowStripe" dxfId="1"/>
      <tableStyleElement type="secondRowStripe" dxfId="2"/>
    </tableStyle>
    <tableStyle name="분할_26년01월-style 447" pivot="0" count="2">
      <tableStyleElement type="firstRowStripe" dxfId="1"/>
      <tableStyleElement type="secondRowStripe" dxfId="2"/>
    </tableStyle>
    <tableStyle name="분할_26년01월-style 448" pivot="0" count="2">
      <tableStyleElement type="firstRowStripe" dxfId="1"/>
      <tableStyleElement type="secondRowStripe" dxfId="2"/>
    </tableStyle>
    <tableStyle name="분할_26년01월-style 449" pivot="0" count="2">
      <tableStyleElement type="firstRowStripe" dxfId="1"/>
      <tableStyleElement type="secondRowStripe" dxfId="2"/>
    </tableStyle>
    <tableStyle name="분할_26년01월-style 450" pivot="0" count="2">
      <tableStyleElement type="firstRowStripe" dxfId="1"/>
      <tableStyleElement type="secondRowStripe" dxfId="2"/>
    </tableStyle>
    <tableStyle name="분할_26년01월-style 451" pivot="0" count="2">
      <tableStyleElement type="firstRowStripe" dxfId="1"/>
      <tableStyleElement type="secondRowStripe" dxfId="2"/>
    </tableStyle>
    <tableStyle name="분할_26년01월-style 452" pivot="0" count="2">
      <tableStyleElement type="firstRowStripe" dxfId="2"/>
      <tableStyleElement type="secondRowStripe" dxfId="1"/>
    </tableStyle>
    <tableStyle name="분할_26년01월-style 453" pivot="0" count="2">
      <tableStyleElement type="firstRowStripe" dxfId="1"/>
      <tableStyleElement type="secondRowStripe" dxfId="2"/>
    </tableStyle>
    <tableStyle name="분할_26년01월-style 454" pivot="0" count="2">
      <tableStyleElement type="firstRowStripe" dxfId="1"/>
      <tableStyleElement type="secondRowStripe" dxfId="2"/>
    </tableStyle>
    <tableStyle name="분할_26년01월-style 455" pivot="0" count="2">
      <tableStyleElement type="firstRowStripe" dxfId="2"/>
      <tableStyleElement type="secondRowStripe" dxfId="1"/>
    </tableStyle>
    <tableStyle name="분할_26년01월-style 456" pivot="0" count="2">
      <tableStyleElement type="firstRowStripe" dxfId="2"/>
      <tableStyleElement type="secondRowStripe" dxfId="1"/>
    </tableStyle>
    <tableStyle name="분할_26년01월-style 457" pivot="0" count="2">
      <tableStyleElement type="firstRowStripe" dxfId="1"/>
      <tableStyleElement type="secondRowStripe" dxfId="2"/>
    </tableStyle>
    <tableStyle name="분할_26년01월-style 458" pivot="0" count="2">
      <tableStyleElement type="firstRowStripe" dxfId="1"/>
      <tableStyleElement type="secondRowStripe" dxfId="2"/>
    </tableStyle>
    <tableStyle name="분할_26년01월-style 459" pivot="0" count="2">
      <tableStyleElement type="firstRowStripe" dxfId="1"/>
      <tableStyleElement type="secondRowStripe" dxfId="2"/>
    </tableStyle>
    <tableStyle name="분할_26년01월-style 460" pivot="0" count="2">
      <tableStyleElement type="firstRowStripe" dxfId="2"/>
      <tableStyleElement type="secondRowStripe" dxfId="1"/>
    </tableStyle>
    <tableStyle name="분할_26년01월-style 461" pivot="0" count="2">
      <tableStyleElement type="firstRowStripe" dxfId="2"/>
      <tableStyleElement type="secondRowStripe" dxfId="1"/>
    </tableStyle>
    <tableStyle name="분할_26년01월-style 462" pivot="0" count="2">
      <tableStyleElement type="firstRowStripe" dxfId="1"/>
      <tableStyleElement type="secondRowStripe" dxfId="2"/>
    </tableStyle>
    <tableStyle name="분할_26년01월-style 463" pivot="0" count="2">
      <tableStyleElement type="firstRowStripe" dxfId="2"/>
      <tableStyleElement type="secondRowStripe" dxfId="1"/>
    </tableStyle>
    <tableStyle name="분할_26년01월-style 464" pivot="0" count="2">
      <tableStyleElement type="firstRowStripe" dxfId="2"/>
      <tableStyleElement type="secondRowStripe" dxfId="1"/>
    </tableStyle>
    <tableStyle name="분할_26년01월-style 465" pivot="0" count="2">
      <tableStyleElement type="firstRowStripe" dxfId="1"/>
      <tableStyleElement type="secondRowStripe" dxfId="2"/>
    </tableStyle>
    <tableStyle name="분할_26년01월-style 466" pivot="0" count="2">
      <tableStyleElement type="firstRowStripe" dxfId="2"/>
      <tableStyleElement type="secondRowStripe" dxfId="1"/>
    </tableStyle>
    <tableStyle name="분할_26년01월-style 467" pivot="0" count="2">
      <tableStyleElement type="firstRowStripe" dxfId="1"/>
      <tableStyleElement type="secondRowStripe" dxfId="2"/>
    </tableStyle>
    <tableStyle name="분할_26년01월-style 468" pivot="0" count="2">
      <tableStyleElement type="firstRowStripe" dxfId="1"/>
      <tableStyleElement type="secondRowStripe" dxfId="2"/>
    </tableStyle>
    <tableStyle name="분할_26년01월-style 469" pivot="0" count="2">
      <tableStyleElement type="firstRowStripe" dxfId="1"/>
      <tableStyleElement type="secondRowStripe" dxfId="2"/>
    </tableStyle>
    <tableStyle name="분할_26년01월-style 470" pivot="0" count="2">
      <tableStyleElement type="firstRowStripe" dxfId="1"/>
      <tableStyleElement type="secondRowStripe" dxfId="2"/>
    </tableStyle>
    <tableStyle name="분할_26년01월-style 471" pivot="0" count="2">
      <tableStyleElement type="firstRowStripe" dxfId="2"/>
      <tableStyleElement type="secondRowStripe" dxfId="1"/>
    </tableStyle>
    <tableStyle name="분할_26년01월-style 472" pivot="0" count="2">
      <tableStyleElement type="firstRowStripe" dxfId="1"/>
      <tableStyleElement type="secondRowStripe" dxfId="2"/>
    </tableStyle>
    <tableStyle name="분할_26년01월-style 473" pivot="0" count="2">
      <tableStyleElement type="firstRowStripe" dxfId="2"/>
      <tableStyleElement type="secondRowStripe" dxfId="1"/>
    </tableStyle>
    <tableStyle name="분할_26년01월-style 474" pivot="0" count="2">
      <tableStyleElement type="firstRowStripe" dxfId="2"/>
      <tableStyleElement type="secondRowStripe" dxfId="1"/>
    </tableStyle>
    <tableStyle name="분할_26년01월-style 475" pivot="0" count="2">
      <tableStyleElement type="firstRowStripe" dxfId="2"/>
      <tableStyleElement type="secondRowStripe" dxfId="1"/>
    </tableStyle>
    <tableStyle name="분할_26년01월-style 476" pivot="0" count="2">
      <tableStyleElement type="firstRowStripe" dxfId="2"/>
      <tableStyleElement type="secondRowStripe" dxfId="1"/>
    </tableStyle>
    <tableStyle name="분할_26년01월-style 477" pivot="0" count="2">
      <tableStyleElement type="firstRowStripe" dxfId="1"/>
      <tableStyleElement type="secondRowStripe" dxfId="2"/>
    </tableStyle>
    <tableStyle name="분할_26년01월-style 478" pivot="0" count="2">
      <tableStyleElement type="firstRowStripe" dxfId="1"/>
      <tableStyleElement type="secondRowStripe" dxfId="2"/>
    </tableStyle>
    <tableStyle name="분할_26년01월-style 479" pivot="0" count="2">
      <tableStyleElement type="firstRowStripe" dxfId="1"/>
      <tableStyleElement type="secondRowStripe" dxfId="2"/>
    </tableStyle>
    <tableStyle name="분할_26년01월-style 480" pivot="0" count="2">
      <tableStyleElement type="firstRowStripe" dxfId="2"/>
      <tableStyleElement type="secondRowStripe" dxfId="1"/>
    </tableStyle>
    <tableStyle name="분할_26년01월-style 481" pivot="0" count="2">
      <tableStyleElement type="firstRowStripe" dxfId="1"/>
      <tableStyleElement type="secondRowStripe" dxfId="2"/>
    </tableStyle>
    <tableStyle name="분할_26년01월-style 482" pivot="0" count="2">
      <tableStyleElement type="firstRowStripe" dxfId="2"/>
      <tableStyleElement type="secondRowStripe" dxfId="1"/>
    </tableStyle>
    <tableStyle name="분할_26년01월-style 483" pivot="0" count="2">
      <tableStyleElement type="firstRowStripe" dxfId="1"/>
      <tableStyleElement type="secondRowStripe" dxfId="2"/>
    </tableStyle>
    <tableStyle name="분할_26년01월-style 484" pivot="0" count="2">
      <tableStyleElement type="firstRowStripe" dxfId="2"/>
      <tableStyleElement type="secondRowStripe" dxfId="1"/>
    </tableStyle>
    <tableStyle name="분할_26년01월-style 485" pivot="0" count="2">
      <tableStyleElement type="firstRowStripe" dxfId="2"/>
      <tableStyleElement type="secondRowStripe" dxfId="1"/>
    </tableStyle>
    <tableStyle name="분할_26년01월-style 486" pivot="0" count="2">
      <tableStyleElement type="firstRowStripe" dxfId="1"/>
      <tableStyleElement type="secondRowStripe" dxfId="2"/>
    </tableStyle>
    <tableStyle name="분할_26년01월-style 487" pivot="0" count="2">
      <tableStyleElement type="firstRowStripe" dxfId="1"/>
      <tableStyleElement type="secondRowStripe" dxfId="2"/>
    </tableStyle>
    <tableStyle name="분할_26년01월-style 488" pivot="0" count="2">
      <tableStyleElement type="firstRowStripe" dxfId="2"/>
      <tableStyleElement type="secondRowStripe" dxfId="1"/>
    </tableStyle>
    <tableStyle name="분할_26년01월-style 489" pivot="0" count="2">
      <tableStyleElement type="firstRowStripe" dxfId="2"/>
      <tableStyleElement type="secondRowStripe" dxfId="1"/>
    </tableStyle>
    <tableStyle name="분할_26년01월-style 490" pivot="0" count="2">
      <tableStyleElement type="firstRowStripe" dxfId="2"/>
      <tableStyleElement type="secondRowStripe" dxfId="1"/>
    </tableStyle>
    <tableStyle name="분할_26년01월-style 491" pivot="0" count="2">
      <tableStyleElement type="firstRowStripe" dxfId="2"/>
      <tableStyleElement type="secondRowStripe" dxfId="1"/>
    </tableStyle>
    <tableStyle name="분할_26년01월-style 492" pivot="0" count="2">
      <tableStyleElement type="firstRowStripe" dxfId="1"/>
      <tableStyleElement type="secondRowStripe" dxfId="2"/>
    </tableStyle>
    <tableStyle name="분할_26년01월-style 493" pivot="0" count="2">
      <tableStyleElement type="firstRowStripe" dxfId="1"/>
      <tableStyleElement type="secondRowStripe" dxfId="2"/>
    </tableStyle>
    <tableStyle name="분할_26년01월-style 494" pivot="0" count="2">
      <tableStyleElement type="firstRowStripe" dxfId="2"/>
      <tableStyleElement type="secondRowStripe" dxfId="1"/>
    </tableStyle>
    <tableStyle name="분할_26년01월-style 495" pivot="0" count="2">
      <tableStyleElement type="firstRowStripe" dxfId="2"/>
      <tableStyleElement type="secondRowStripe" dxfId="1"/>
    </tableStyle>
    <tableStyle name="분할_26년01월-style 496" pivot="0" count="2">
      <tableStyleElement type="firstRowStripe" dxfId="2"/>
      <tableStyleElement type="secondRowStripe" dxfId="1"/>
    </tableStyle>
    <tableStyle name="분할_26년01월-style 497" pivot="0" count="2">
      <tableStyleElement type="firstRowStripe" dxfId="1"/>
      <tableStyleElement type="secondRowStripe" dxfId="2"/>
    </tableStyle>
    <tableStyle name="분할_26년01월-style 498" pivot="0" count="2">
      <tableStyleElement type="firstRowStripe" dxfId="1"/>
      <tableStyleElement type="secondRowStripe" dxfId="2"/>
    </tableStyle>
    <tableStyle name="분할_26년01월-style 499" pivot="0" count="2">
      <tableStyleElement type="firstRowStripe" dxfId="1"/>
      <tableStyleElement type="secondRowStripe" dxfId="2"/>
    </tableStyle>
    <tableStyle name="분할_26년01월-style 500" pivot="0" count="2">
      <tableStyleElement type="firstRowStripe" dxfId="1"/>
      <tableStyleElement type="secondRowStripe" dxfId="2"/>
    </tableStyle>
    <tableStyle name="분할_26년01월-style 501" pivot="0" count="2">
      <tableStyleElement type="firstRowStripe" dxfId="1"/>
      <tableStyleElement type="secondRowStripe" dxfId="2"/>
    </tableStyle>
    <tableStyle name="분할_26년01월-style 502" pivot="0" count="2">
      <tableStyleElement type="firstRowStripe" dxfId="1"/>
      <tableStyleElement type="secondRowStripe" dxfId="2"/>
    </tableStyle>
    <tableStyle name="분할_26년01월-style 503" pivot="0" count="2">
      <tableStyleElement type="firstRowStripe" dxfId="1"/>
      <tableStyleElement type="secondRowStripe" dxfId="2"/>
    </tableStyle>
    <tableStyle name="분할_26년01월-style 504" pivot="0" count="2">
      <tableStyleElement type="firstRowStripe" dxfId="1"/>
      <tableStyleElement type="secondRowStripe" dxfId="2"/>
    </tableStyle>
    <tableStyle name="분할_26년01월-style 505" pivot="0" count="2">
      <tableStyleElement type="firstRowStripe" dxfId="1"/>
      <tableStyleElement type="secondRowStripe" dxfId="2"/>
    </tableStyle>
    <tableStyle name="분할_26년01월-style 506" pivot="0" count="2">
      <tableStyleElement type="firstRowStripe" dxfId="2"/>
      <tableStyleElement type="secondRowStripe" dxfId="1"/>
    </tableStyle>
    <tableStyle name="분할_26년01월-style 507" pivot="0" count="2">
      <tableStyleElement type="firstRowStripe" dxfId="1"/>
      <tableStyleElement type="secondRowStripe" dxfId="2"/>
    </tableStyle>
    <tableStyle name="분할_26년01월-style 508" pivot="0" count="2">
      <tableStyleElement type="firstRowStripe" dxfId="1"/>
      <tableStyleElement type="secondRowStripe" dxfId="2"/>
    </tableStyle>
    <tableStyle name="분할_26년01월-style 509" pivot="0" count="2">
      <tableStyleElement type="firstRowStripe" dxfId="2"/>
      <tableStyleElement type="secondRowStripe" dxfId="1"/>
    </tableStyle>
    <tableStyle name="분할_26년01월-style 510" pivot="0" count="2">
      <tableStyleElement type="firstRowStripe" dxfId="2"/>
      <tableStyleElement type="secondRowStripe" dxfId="1"/>
    </tableStyle>
    <tableStyle name="분할_26년01월-style 511" pivot="0" count="2">
      <tableStyleElement type="firstRowStripe" dxfId="1"/>
      <tableStyleElement type="secondRowStripe" dxfId="2"/>
    </tableStyle>
    <tableStyle name="분할_26년01월-style 512" pivot="0" count="2">
      <tableStyleElement type="firstRowStripe" dxfId="1"/>
      <tableStyleElement type="secondRowStripe" dxfId="2"/>
    </tableStyle>
    <tableStyle name="분할_26년01월-style 513" pivot="0" count="2">
      <tableStyleElement type="firstRowStripe" dxfId="1"/>
      <tableStyleElement type="secondRowStripe" dxfId="2"/>
    </tableStyle>
    <tableStyle name="분할_26년01월-style 514" pivot="0" count="2">
      <tableStyleElement type="firstRowStripe" dxfId="2"/>
      <tableStyleElement type="secondRowStripe" dxfId="1"/>
    </tableStyle>
    <tableStyle name="분할_26년01월-style 515" pivot="0" count="2">
      <tableStyleElement type="firstRowStripe" dxfId="1"/>
      <tableStyleElement type="secondRowStripe" dxfId="2"/>
    </tableStyle>
    <tableStyle name="분할_26년01월-style 516" pivot="0" count="2">
      <tableStyleElement type="firstRowStripe" dxfId="2"/>
      <tableStyleElement type="secondRowStripe" dxfId="1"/>
    </tableStyle>
    <tableStyle name="분할_26년01월-style 517" pivot="0" count="2">
      <tableStyleElement type="firstRowStripe" dxfId="1"/>
      <tableStyleElement type="secondRowStripe" dxfId="2"/>
    </tableStyle>
    <tableStyle name="분할_26년01월-style 518" pivot="0" count="2">
      <tableStyleElement type="firstRowStripe" dxfId="2"/>
      <tableStyleElement type="secondRowStripe" dxfId="1"/>
    </tableStyle>
    <tableStyle name="분할_26년01월-style 519" pivot="0" count="2">
      <tableStyleElement type="firstRowStripe" dxfId="1"/>
      <tableStyleElement type="secondRowStripe" dxfId="2"/>
    </tableStyle>
    <tableStyle name="분할_26년01월-style 520" pivot="0" count="2">
      <tableStyleElement type="firstRowStripe" dxfId="1"/>
      <tableStyleElement type="secondRowStripe" dxfId="2"/>
    </tableStyle>
    <tableStyle name="분할_26년01월-style 521" pivot="0" count="2">
      <tableStyleElement type="firstRowStripe" dxfId="2"/>
      <tableStyleElement type="secondRowStripe" dxfId="1"/>
    </tableStyle>
    <tableStyle name="분할_26년01월-style 522" pivot="0" count="2">
      <tableStyleElement type="firstRowStripe" dxfId="1"/>
      <tableStyleElement type="secondRowStripe" dxfId="2"/>
    </tableStyle>
    <tableStyle name="분할_26년01월-style 523" pivot="0" count="2">
      <tableStyleElement type="firstRowStripe" dxfId="2"/>
      <tableStyleElement type="secondRowStripe" dxfId="1"/>
    </tableStyle>
    <tableStyle name="분할_26년01월-style 524" pivot="0" count="2">
      <tableStyleElement type="firstRowStripe" dxfId="2"/>
      <tableStyleElement type="secondRowStripe" dxfId="1"/>
    </tableStyle>
    <tableStyle name="분할_26년01월-style 525" pivot="0" count="2">
      <tableStyleElement type="firstRowStripe" dxfId="2"/>
      <tableStyleElement type="secondRowStripe" dxfId="1"/>
    </tableStyle>
    <tableStyle name="분할_26년01월-style 526" pivot="0" count="2">
      <tableStyleElement type="firstRowStripe" dxfId="1"/>
      <tableStyleElement type="secondRowStripe" dxfId="2"/>
    </tableStyle>
    <tableStyle name="분할_26년01월-style 527" pivot="0" count="2">
      <tableStyleElement type="firstRowStripe" dxfId="1"/>
      <tableStyleElement type="secondRowStripe" dxfId="2"/>
    </tableStyle>
    <tableStyle name="분할_26년01월-style 528" pivot="0" count="2">
      <tableStyleElement type="firstRowStripe" dxfId="1"/>
      <tableStyleElement type="secondRowStripe" dxfId="2"/>
    </tableStyle>
    <tableStyle name="분할_26년01월-style 529" pivot="0" count="2">
      <tableStyleElement type="firstRowStripe" dxfId="1"/>
      <tableStyleElement type="secondRowStripe" dxfId="2"/>
    </tableStyle>
    <tableStyle name="분할_26년01월-style 530" pivot="0" count="2">
      <tableStyleElement type="firstRowStripe" dxfId="2"/>
      <tableStyleElement type="secondRowStripe" dxfId="1"/>
    </tableStyle>
    <tableStyle name="분할_26년01월-style 531" pivot="0" count="2">
      <tableStyleElement type="firstRowStripe" dxfId="1"/>
      <tableStyleElement type="secondRowStripe" dxfId="2"/>
    </tableStyle>
    <tableStyle name="분할_26년01월-style 532" pivot="0" count="2">
      <tableStyleElement type="firstRowStripe" dxfId="1"/>
      <tableStyleElement type="secondRowStripe" dxfId="2"/>
    </tableStyle>
    <tableStyle name="분할_26년01월-style 533" pivot="0" count="2">
      <tableStyleElement type="firstRowStripe" dxfId="2"/>
      <tableStyleElement type="secondRowStripe" dxfId="1"/>
    </tableStyle>
    <tableStyle name="분할_26년01월-style 534" pivot="0" count="2">
      <tableStyleElement type="firstRowStripe" dxfId="2"/>
      <tableStyleElement type="secondRowStripe" dxfId="1"/>
    </tableStyle>
    <tableStyle name="분할_26년01월-style 535" pivot="0" count="2">
      <tableStyleElement type="firstRowStripe" dxfId="1"/>
      <tableStyleElement type="secondRowStripe" dxfId="2"/>
    </tableStyle>
    <tableStyle name="분할_26년01월-style 536" pivot="0" count="2">
      <tableStyleElement type="firstRowStripe" dxfId="1"/>
      <tableStyleElement type="secondRowStripe" dxfId="2"/>
    </tableStyle>
    <tableStyle name="분할_26년01월-style 537" pivot="0" count="2">
      <tableStyleElement type="firstRowStripe" dxfId="1"/>
      <tableStyleElement type="secondRowStripe" dxfId="2"/>
    </tableStyle>
    <tableStyle name="분할_26년01월-style 538" pivot="0" count="2">
      <tableStyleElement type="firstRowStripe" dxfId="2"/>
      <tableStyleElement type="secondRowStripe" dxfId="1"/>
    </tableStyle>
    <tableStyle name="분할_26년01월-style 539" pivot="0" count="2">
      <tableStyleElement type="firstRowStripe" dxfId="1"/>
      <tableStyleElement type="secondRowStripe" dxfId="2"/>
    </tableStyle>
    <tableStyle name="분할_26년01월-style 540" pivot="0" count="2">
      <tableStyleElement type="firstRowStripe" dxfId="1"/>
      <tableStyleElement type="secondRowStripe" dxfId="2"/>
    </tableStyle>
    <tableStyle name="분할_26년01월-style 541" pivot="0" count="2">
      <tableStyleElement type="firstRowStripe" dxfId="2"/>
      <tableStyleElement type="secondRowStripe" dxfId="1"/>
    </tableStyle>
    <tableStyle name="분할_26년01월-style 542" pivot="0" count="2">
      <tableStyleElement type="firstRowStripe" dxfId="2"/>
      <tableStyleElement type="secondRowStripe" dxfId="1"/>
    </tableStyle>
    <tableStyle name="분할_26년01월-style 543" pivot="0" count="2">
      <tableStyleElement type="firstRowStripe" dxfId="1"/>
      <tableStyleElement type="secondRowStripe" dxfId="2"/>
    </tableStyle>
    <tableStyle name="분할_26년01월-style 544" pivot="0" count="2">
      <tableStyleElement type="firstRowStripe" dxfId="1"/>
      <tableStyleElement type="secondRowStripe" dxfId="2"/>
    </tableStyle>
    <tableStyle name="분할_26년01월-style 545" pivot="0" count="2">
      <tableStyleElement type="firstRowStripe" dxfId="1"/>
      <tableStyleElement type="secondRowStripe" dxfId="2"/>
    </tableStyle>
    <tableStyle name="분할_26년01월-style 546" pivot="0" count="2">
      <tableStyleElement type="firstRowStripe" dxfId="2"/>
      <tableStyleElement type="secondRowStripe" dxfId="1"/>
    </tableStyle>
    <tableStyle name="분할_26년01월-style 547" pivot="0" count="2">
      <tableStyleElement type="firstRowStripe" dxfId="2"/>
      <tableStyleElement type="secondRowStripe" dxfId="1"/>
    </tableStyle>
    <tableStyle name="분할_26년01월-style 548" pivot="0" count="2">
      <tableStyleElement type="firstRowStripe" dxfId="1"/>
      <tableStyleElement type="secondRowStripe" dxfId="2"/>
    </tableStyle>
    <tableStyle name="분할_26년01월-style 549" pivot="0" count="2">
      <tableStyleElement type="firstRowStripe" dxfId="2"/>
      <tableStyleElement type="secondRowStripe" dxfId="1"/>
    </tableStyle>
    <tableStyle name="분할_26년01월-style 550" pivot="0" count="2">
      <tableStyleElement type="firstRowStripe" dxfId="2"/>
      <tableStyleElement type="secondRowStripe" dxfId="1"/>
    </tableStyle>
    <tableStyle name="분할_26년01월-style 551" pivot="0" count="2">
      <tableStyleElement type="firstRowStripe" dxfId="1"/>
      <tableStyleElement type="secondRowStripe" dxfId="2"/>
    </tableStyle>
    <tableStyle name="분할_26년01월-style 552" pivot="0" count="2">
      <tableStyleElement type="firstRowStripe" dxfId="1"/>
      <tableStyleElement type="secondRowStripe" dxfId="2"/>
    </tableStyle>
    <tableStyle name="분할_26년01월-style 553" pivot="0" count="2">
      <tableStyleElement type="firstRowStripe" dxfId="2"/>
      <tableStyleElement type="secondRowStripe" dxfId="1"/>
    </tableStyle>
    <tableStyle name="분할_26년01월-style 554" pivot="0" count="2">
      <tableStyleElement type="firstRowStripe" dxfId="2"/>
      <tableStyleElement type="secondRowStripe" dxfId="1"/>
    </tableStyle>
    <tableStyle name="분할_26년01월-style 555" pivot="0" count="2">
      <tableStyleElement type="firstRowStripe" dxfId="1"/>
      <tableStyleElement type="secondRowStripe" dxfId="2"/>
    </tableStyle>
    <tableStyle name="분할_26년01월-style 556" pivot="0" count="2">
      <tableStyleElement type="firstRowStripe" dxfId="1"/>
      <tableStyleElement type="secondRowStripe" dxfId="2"/>
    </tableStyle>
    <tableStyle name="분할_26년01월-style 557" pivot="0" count="2">
      <tableStyleElement type="firstRowStripe" dxfId="1"/>
      <tableStyleElement type="secondRowStripe" dxfId="2"/>
    </tableStyle>
    <tableStyle name="분할_26년01월-style 558" pivot="0" count="2">
      <tableStyleElement type="firstRowStripe" dxfId="2"/>
      <tableStyleElement type="secondRowStripe" dxfId="1"/>
    </tableStyle>
    <tableStyle name="분할_26년01월-style 559" pivot="0" count="2">
      <tableStyleElement type="firstRowStripe" dxfId="2"/>
      <tableStyleElement type="secondRowStripe" dxfId="1"/>
    </tableStyle>
    <tableStyle name="분할_26년01월-style 560" pivot="0" count="2">
      <tableStyleElement type="firstRowStripe" dxfId="2"/>
      <tableStyleElement type="secondRowStripe" dxfId="1"/>
    </tableStyle>
    <tableStyle name="분할_26년01월-style 561" pivot="0" count="2">
      <tableStyleElement type="firstRowStripe" dxfId="1"/>
      <tableStyleElement type="secondRowStripe" dxfId="2"/>
    </tableStyle>
    <tableStyle name="분할_26년01월-style 562" pivot="0" count="2">
      <tableStyleElement type="firstRowStripe" dxfId="2"/>
      <tableStyleElement type="secondRowStripe" dxfId="1"/>
    </tableStyle>
    <tableStyle name="분할_26년01월-style 563" pivot="0" count="2">
      <tableStyleElement type="firstRowStripe" dxfId="2"/>
      <tableStyleElement type="secondRowStripe" dxfId="1"/>
    </tableStyle>
    <tableStyle name="분할_26년01월-style 564" pivot="0" count="2">
      <tableStyleElement type="firstRowStripe" dxfId="1"/>
      <tableStyleElement type="secondRowStripe" dxfId="2"/>
    </tableStyle>
    <tableStyle name="분할_26년01월-style 565" pivot="0" count="2">
      <tableStyleElement type="firstRowStripe" dxfId="2"/>
      <tableStyleElement type="secondRowStripe" dxfId="1"/>
    </tableStyle>
    <tableStyle name="분할_26년01월-style 566" pivot="0" count="2">
      <tableStyleElement type="firstRowStripe" dxfId="1"/>
      <tableStyleElement type="secondRowStripe" dxfId="2"/>
    </tableStyle>
    <tableStyle name="분할_26년01월-style 567" pivot="0" count="2">
      <tableStyleElement type="firstRowStripe" dxfId="2"/>
      <tableStyleElement type="secondRowStripe" dxfId="1"/>
    </tableStyle>
    <tableStyle name="분할_26년01월-style 568" pivot="0" count="2">
      <tableStyleElement type="firstRowStripe" dxfId="2"/>
      <tableStyleElement type="secondRowStripe" dxfId="1"/>
    </tableStyle>
    <tableStyle name="분할_26년01월-style 569" pivot="0" count="2">
      <tableStyleElement type="firstRowStripe" dxfId="1"/>
      <tableStyleElement type="secondRowStripe" dxfId="2"/>
    </tableStyle>
    <tableStyle name="분할_26년01월-style 570" pivot="0" count="2">
      <tableStyleElement type="firstRowStripe" dxfId="1"/>
      <tableStyleElement type="secondRowStripe" dxfId="2"/>
    </tableStyle>
    <tableStyle name="분할_26년01월-style 571" pivot="0" count="2">
      <tableStyleElement type="firstRowStripe" dxfId="1"/>
      <tableStyleElement type="secondRowStripe" dxfId="2"/>
    </tableStyle>
    <tableStyle name="분할_26년01월-style 572" pivot="0" count="2">
      <tableStyleElement type="firstRowStripe" dxfId="2"/>
      <tableStyleElement type="secondRowStripe" dxfId="1"/>
    </tableStyle>
    <tableStyle name="분할_26년01월-style 573" pivot="0" count="2">
      <tableStyleElement type="firstRowStripe" dxfId="2"/>
      <tableStyleElement type="secondRowStripe" dxfId="1"/>
    </tableStyle>
    <tableStyle name="분할_26년01월-style 574" pivot="0" count="2">
      <tableStyleElement type="firstRowStripe" dxfId="1"/>
      <tableStyleElement type="secondRowStripe" dxfId="2"/>
    </tableStyle>
    <tableStyle name="분할_26년01월-style 575" pivot="0" count="2">
      <tableStyleElement type="firstRowStripe" dxfId="2"/>
      <tableStyleElement type="secondRowStripe" dxfId="1"/>
    </tableStyle>
    <tableStyle name="분할_26년01월-style 576" pivot="0" count="2">
      <tableStyleElement type="firstRowStripe" dxfId="2"/>
      <tableStyleElement type="secondRowStripe" dxfId="1"/>
    </tableStyle>
    <tableStyle name="분할_26년01월-style 577" pivot="0" count="2">
      <tableStyleElement type="firstRowStripe" dxfId="1"/>
      <tableStyleElement type="secondRowStripe" dxfId="2"/>
    </tableStyle>
    <tableStyle name="분할_26년01월-style 578" pivot="0" count="2">
      <tableStyleElement type="firstRowStripe" dxfId="2"/>
      <tableStyleElement type="secondRowStripe" dxfId="1"/>
    </tableStyle>
    <tableStyle name="분할_26년01월-style 579" pivot="0" count="2">
      <tableStyleElement type="firstRowStripe" dxfId="1"/>
      <tableStyleElement type="secondRowStripe" dxfId="2"/>
    </tableStyle>
    <tableStyle name="분할_26년01월-style 580" pivot="0" count="2">
      <tableStyleElement type="firstRowStripe" dxfId="1"/>
      <tableStyleElement type="secondRowStripe" dxfId="2"/>
    </tableStyle>
    <tableStyle name="분할_26년01월-style 581" pivot="0" count="2">
      <tableStyleElement type="firstRowStripe" dxfId="1"/>
      <tableStyleElement type="secondRowStripe" dxfId="2"/>
    </tableStyle>
    <tableStyle name="분할_26년01월-style 582" pivot="0" count="2">
      <tableStyleElement type="firstRowStripe" dxfId="1"/>
      <tableStyleElement type="secondRowStripe" dxfId="2"/>
    </tableStyle>
    <tableStyle name="분할_26년01월-style 583" pivot="0" count="2">
      <tableStyleElement type="firstRowStripe" dxfId="2"/>
      <tableStyleElement type="secondRowStripe" dxfId="1"/>
    </tableStyle>
    <tableStyle name="분할_26년01월-style 584" pivot="0" count="2">
      <tableStyleElement type="firstRowStripe" dxfId="2"/>
      <tableStyleElement type="secondRowStripe" dxfId="1"/>
    </tableStyle>
    <tableStyle name="분할_26년01월-style 585" pivot="0" count="2">
      <tableStyleElement type="firstRowStripe" dxfId="2"/>
      <tableStyleElement type="secondRowStripe" dxfId="1"/>
    </tableStyle>
    <tableStyle name="분할_26년01월-style 586" pivot="0" count="2">
      <tableStyleElement type="firstRowStripe" dxfId="2"/>
      <tableStyleElement type="secondRowStripe" dxfId="1"/>
    </tableStyle>
    <tableStyle name="분할_26년01월-style 587" pivot="0" count="2">
      <tableStyleElement type="firstRowStripe" dxfId="1"/>
      <tableStyleElement type="secondRowStripe" dxfId="2"/>
    </tableStyle>
    <tableStyle name="분할_26년01월-style 588" pivot="0" count="2">
      <tableStyleElement type="firstRowStripe" dxfId="1"/>
      <tableStyleElement type="secondRowStripe" dxfId="2"/>
    </tableStyle>
    <tableStyle name="분할_26년01월-style 589" pivot="0" count="2">
      <tableStyleElement type="firstRowStripe" dxfId="1"/>
      <tableStyleElement type="secondRowStripe" dxfId="2"/>
    </tableStyle>
    <tableStyle name="분할_26년01월-style 590" pivot="0" count="2">
      <tableStyleElement type="firstRowStripe" dxfId="1"/>
      <tableStyleElement type="secondRowStripe" dxfId="2"/>
    </tableStyle>
    <tableStyle name="분할_26년01월-style 591" pivot="0" count="2">
      <tableStyleElement type="firstRowStripe" dxfId="2"/>
      <tableStyleElement type="secondRowStripe" dxfId="1"/>
    </tableStyle>
    <tableStyle name="분할_26년01월-style 592" pivot="0" count="2">
      <tableStyleElement type="firstRowStripe" dxfId="1"/>
      <tableStyleElement type="secondRowStripe" dxfId="2"/>
    </tableStyle>
    <tableStyle name="분할_26년01월-style 593" pivot="0" count="2">
      <tableStyleElement type="firstRowStripe" dxfId="1"/>
      <tableStyleElement type="secondRowStripe" dxfId="2"/>
    </tableStyle>
    <tableStyle name="분할_26년01월-style 594" pivot="0" count="2">
      <tableStyleElement type="firstRowStripe" dxfId="1"/>
      <tableStyleElement type="secondRowStripe" dxfId="2"/>
    </tableStyle>
    <tableStyle name="분할_26년01월-style 595" pivot="0" count="2">
      <tableStyleElement type="firstRowStripe" dxfId="1"/>
      <tableStyleElement type="secondRowStripe" dxfId="2"/>
    </tableStyle>
    <tableStyle name="분할_26년01월-style 596" pivot="0" count="2">
      <tableStyleElement type="firstRowStripe" dxfId="1"/>
      <tableStyleElement type="secondRowStripe" dxfId="2"/>
    </tableStyle>
    <tableStyle name="분할_26년01월-style 597" pivot="0" count="2">
      <tableStyleElement type="firstRowStripe" dxfId="1"/>
      <tableStyleElement type="secondRowStripe" dxfId="2"/>
    </tableStyle>
    <tableStyle name="분할_26년01월-style 598" pivot="0" count="2">
      <tableStyleElement type="firstRowStripe" dxfId="1"/>
      <tableStyleElement type="secondRowStripe" dxfId="2"/>
    </tableStyle>
    <tableStyle name="분할_26년01월-style 599" pivot="0" count="2">
      <tableStyleElement type="firstRowStripe" dxfId="1"/>
      <tableStyleElement type="secondRowStripe" dxfId="2"/>
    </tableStyle>
    <tableStyle name="분할_26년01월-style 600" pivot="0" count="2">
      <tableStyleElement type="firstRowStripe" dxfId="1"/>
      <tableStyleElement type="secondRowStripe" dxfId="2"/>
    </tableStyle>
    <tableStyle name="분할_26년01월-style 601" pivot="0" count="2">
      <tableStyleElement type="firstRowStripe" dxfId="2"/>
      <tableStyleElement type="secondRowStripe" dxfId="1"/>
    </tableStyle>
    <tableStyle name="분할_26년01월-style 602" pivot="0" count="2">
      <tableStyleElement type="firstRowStripe" dxfId="1"/>
      <tableStyleElement type="secondRowStripe" dxfId="2"/>
    </tableStyle>
    <tableStyle name="분할_26년01월-style 603" pivot="0" count="2">
      <tableStyleElement type="firstRowStripe" dxfId="1"/>
      <tableStyleElement type="secondRowStripe" dxfId="2"/>
    </tableStyle>
    <tableStyle name="분할_26년01월-style 604" pivot="0" count="2">
      <tableStyleElement type="firstRowStripe" dxfId="1"/>
      <tableStyleElement type="secondRowStripe" dxfId="2"/>
    </tableStyle>
    <tableStyle name="분할_26년01월-style 605" pivot="0" count="2">
      <tableStyleElement type="firstRowStripe" dxfId="2"/>
      <tableStyleElement type="secondRowStripe" dxfId="1"/>
    </tableStyle>
    <tableStyle name="분할_26년01월-style 606" pivot="0" count="2">
      <tableStyleElement type="firstRowStripe" dxfId="2"/>
      <tableStyleElement type="secondRowStripe" dxfId="1"/>
    </tableStyle>
    <tableStyle name="분할_26년01월-style 607" pivot="0" count="2">
      <tableStyleElement type="firstRowStripe" dxfId="1"/>
      <tableStyleElement type="secondRowStripe" dxfId="2"/>
    </tableStyle>
    <tableStyle name="분할_26년01월-style 608" pivot="0" count="2">
      <tableStyleElement type="firstRowStripe" dxfId="1"/>
      <tableStyleElement type="secondRowStripe" dxfId="2"/>
    </tableStyle>
    <tableStyle name="분할_26년01월-style 609" pivot="0" count="2">
      <tableStyleElement type="firstRowStripe" dxfId="1"/>
      <tableStyleElement type="secondRowStripe" dxfId="2"/>
    </tableStyle>
    <tableStyle name="분할_26년01월-style 610" pivot="0" count="2">
      <tableStyleElement type="firstRowStripe" dxfId="2"/>
      <tableStyleElement type="secondRowStripe" dxfId="1"/>
    </tableStyle>
    <tableStyle name="분할_26년01월-style 611" pivot="0" count="2">
      <tableStyleElement type="firstRowStripe" dxfId="2"/>
      <tableStyleElement type="secondRowStripe" dxfId="1"/>
    </tableStyle>
    <tableStyle name="분할_26년01월-style 612" pivot="0" count="2">
      <tableStyleElement type="firstRowStripe" dxfId="1"/>
      <tableStyleElement type="secondRowStripe" dxfId="2"/>
    </tableStyle>
    <tableStyle name="분할_26년01월-style 613" pivot="0" count="2">
      <tableStyleElement type="firstRowStripe" dxfId="2"/>
      <tableStyleElement type="secondRowStripe" dxfId="1"/>
    </tableStyle>
    <tableStyle name="분할_26년01월-style 614" pivot="0" count="2">
      <tableStyleElement type="firstRowStripe" dxfId="2"/>
      <tableStyleElement type="secondRowStripe" dxfId="1"/>
    </tableStyle>
    <tableStyle name="분할_26년01월-style 615" pivot="0" count="2">
      <tableStyleElement type="firstRowStripe" dxfId="1"/>
      <tableStyleElement type="secondRowStripe" dxfId="2"/>
    </tableStyle>
    <tableStyle name="분할_26년01월-style 616" pivot="0" count="2">
      <tableStyleElement type="firstRowStripe" dxfId="2"/>
      <tableStyleElement type="secondRowStripe" dxfId="1"/>
    </tableStyle>
    <tableStyle name="분할_26년01월-style 617" pivot="0" count="2">
      <tableStyleElement type="firstRowStripe" dxfId="1"/>
      <tableStyleElement type="secondRowStripe" dxfId="2"/>
    </tableStyle>
    <tableStyle name="분할_26년01월-style 618" pivot="0" count="2">
      <tableStyleElement type="firstRowStripe" dxfId="1"/>
      <tableStyleElement type="secondRowStripe" dxfId="2"/>
    </tableStyle>
    <tableStyle name="분할_26년01월-style 619" pivot="0" count="2">
      <tableStyleElement type="firstRowStripe" dxfId="1"/>
      <tableStyleElement type="secondRowStripe" dxfId="2"/>
    </tableStyle>
    <tableStyle name="분할_26년01월-style 620" pivot="0" count="2">
      <tableStyleElement type="firstRowStripe" dxfId="2"/>
      <tableStyleElement type="secondRowStripe" dxfId="1"/>
    </tableStyle>
    <tableStyle name="분할_26년01월-style 621" pivot="0" count="2">
      <tableStyleElement type="firstRowStripe" dxfId="1"/>
      <tableStyleElement type="secondRowStripe" dxfId="2"/>
    </tableStyle>
    <tableStyle name="분할_26년01월-style 622" pivot="0" count="2">
      <tableStyleElement type="firstRowStripe" dxfId="2"/>
      <tableStyleElement type="secondRowStripe" dxfId="1"/>
    </tableStyle>
    <tableStyle name="분할_26년01월-style 623" pivot="0" count="2">
      <tableStyleElement type="firstRowStripe" dxfId="2"/>
      <tableStyleElement type="secondRowStripe" dxfId="1"/>
    </tableStyle>
    <tableStyle name="분할_26년01월-style 624" pivot="0" count="2">
      <tableStyleElement type="firstRowStripe" dxfId="2"/>
      <tableStyleElement type="secondRowStripe" dxfId="1"/>
    </tableStyle>
    <tableStyle name="분할_26년01월-style 625" pivot="0" count="2">
      <tableStyleElement type="firstRowStripe" dxfId="2"/>
      <tableStyleElement type="secondRowStripe" dxfId="1"/>
    </tableStyle>
    <tableStyle name="분할_26년01월-style 626" pivot="0" count="2">
      <tableStyleElement type="firstRowStripe" dxfId="1"/>
      <tableStyleElement type="secondRowStripe" dxfId="2"/>
    </tableStyle>
    <tableStyle name="분할_26년01월-style 627" pivot="0" count="2">
      <tableStyleElement type="firstRowStripe" dxfId="1"/>
      <tableStyleElement type="secondRowStripe" dxfId="2"/>
    </tableStyle>
    <tableStyle name="분할_26년01월-style 628" pivot="0" count="2">
      <tableStyleElement type="firstRowStripe" dxfId="1"/>
      <tableStyleElement type="secondRowStripe" dxfId="2"/>
    </tableStyle>
    <tableStyle name="분할_26년01월-style 629" pivot="0" count="2">
      <tableStyleElement type="firstRowStripe" dxfId="1"/>
      <tableStyleElement type="secondRowStripe" dxfId="2"/>
    </tableStyle>
    <tableStyle name="분할_26년01월-style 630" pivot="0" count="2">
      <tableStyleElement type="firstRowStripe" dxfId="2"/>
      <tableStyleElement type="secondRowStripe" dxfId="1"/>
    </tableStyle>
    <tableStyle name="분할_26년01월-style 631" pivot="0" count="2">
      <tableStyleElement type="firstRowStripe" dxfId="2"/>
      <tableStyleElement type="secondRowStripe" dxfId="1"/>
    </tableStyle>
    <tableStyle name="분할_26년01월-style 632" pivot="0" count="2">
      <tableStyleElement type="firstRowStripe" dxfId="1"/>
      <tableStyleElement type="secondRowStripe" dxfId="2"/>
    </tableStyle>
    <tableStyle name="분할_26년01월-style 633" pivot="0" count="2">
      <tableStyleElement type="firstRowStripe" dxfId="1"/>
      <tableStyleElement type="secondRowStripe" dxfId="2"/>
    </tableStyle>
    <tableStyle name="분할_26년01월-style 634" pivot="0" count="2">
      <tableStyleElement type="firstRowStripe" dxfId="1"/>
      <tableStyleElement type="secondRowStripe" dxfId="2"/>
    </tableStyle>
    <tableStyle name="분할_26년01월-style 635" pivot="0" count="2">
      <tableStyleElement type="firstRowStripe" dxfId="1"/>
      <tableStyleElement type="secondRowStripe" dxfId="2"/>
    </tableStyle>
    <tableStyle name="분할_26년01월-style 636" pivot="0" count="2">
      <tableStyleElement type="firstRowStripe" dxfId="1"/>
      <tableStyleElement type="secondRowStripe" dxfId="2"/>
    </tableStyle>
    <tableStyle name="분할_26년01월-style 637" pivot="0" count="2">
      <tableStyleElement type="firstRowStripe" dxfId="1"/>
      <tableStyleElement type="secondRowStripe" dxfId="2"/>
    </tableStyle>
    <tableStyle name="분할_26년01월-style 638" pivot="0" count="2">
      <tableStyleElement type="firstRowStripe" dxfId="1"/>
      <tableStyleElement type="secondRowStripe" dxfId="2"/>
    </tableStyle>
    <tableStyle name="분할_26년01월-style 639" pivot="0" count="2">
      <tableStyleElement type="firstRowStripe" dxfId="1"/>
      <tableStyleElement type="secondRowStripe" dxfId="2"/>
    </tableStyle>
    <tableStyle name="분할_26년01월-style 640" pivot="0" count="2">
      <tableStyleElement type="firstRowStripe" dxfId="1"/>
      <tableStyleElement type="secondRowStripe" dxfId="2"/>
    </tableStyle>
    <tableStyle name="분할_26년01월-style 641" pivot="0" count="2">
      <tableStyleElement type="firstRowStripe" dxfId="1"/>
      <tableStyleElement type="secondRowStripe" dxfId="2"/>
    </tableStyle>
    <tableStyle name="분할_26년01월-style 642" pivot="0" count="2">
      <tableStyleElement type="firstRowStripe" dxfId="2"/>
      <tableStyleElement type="secondRowStripe" dxfId="1"/>
    </tableStyle>
    <tableStyle name="분할_26년01월-style 643" pivot="0" count="2">
      <tableStyleElement type="firstRowStripe" dxfId="1"/>
      <tableStyleElement type="secondRowStripe" dxfId="2"/>
    </tableStyle>
    <tableStyle name="분할_26년01월-style 644" pivot="0" count="2">
      <tableStyleElement type="firstRowStripe" dxfId="1"/>
      <tableStyleElement type="secondRowStripe" dxfId="2"/>
    </tableStyle>
    <tableStyle name="분할_26년01월-style 645" pivot="0" count="2">
      <tableStyleElement type="firstRowStripe" dxfId="2"/>
      <tableStyleElement type="secondRowStripe" dxfId="1"/>
    </tableStyle>
    <tableStyle name="분할_26년01월-style 646" pivot="0" count="2">
      <tableStyleElement type="firstRowStripe" dxfId="2"/>
      <tableStyleElement type="secondRowStripe" dxfId="1"/>
    </tableStyle>
    <tableStyle name="분할_26년01월-style 647" pivot="0" count="2">
      <tableStyleElement type="firstRowStripe" dxfId="1"/>
      <tableStyleElement type="secondRowStripe" dxfId="2"/>
    </tableStyle>
    <tableStyle name="분할_26년01월-style 648" pivot="0" count="2">
      <tableStyleElement type="firstRowStripe" dxfId="1"/>
      <tableStyleElement type="secondRowStripe" dxfId="2"/>
    </tableStyle>
    <tableStyle name="분할_26년01월-style 649" pivot="0" count="2">
      <tableStyleElement type="firstRowStripe" dxfId="1"/>
      <tableStyleElement type="secondRowStripe" dxfId="2"/>
    </tableStyle>
    <tableStyle name="분할_26년01월-style 650" pivot="0" count="2">
      <tableStyleElement type="firstRowStripe" dxfId="2"/>
      <tableStyleElement type="secondRowStripe" dxfId="1"/>
    </tableStyle>
    <tableStyle name="분할_26년01월-style 651" pivot="0" count="2">
      <tableStyleElement type="firstRowStripe" dxfId="2"/>
      <tableStyleElement type="secondRowStripe" dxfId="1"/>
    </tableStyle>
    <tableStyle name="분할_26년01월-style 652" pivot="0" count="2">
      <tableStyleElement type="firstRowStripe" dxfId="1"/>
      <tableStyleElement type="secondRowStripe" dxfId="2"/>
    </tableStyle>
    <tableStyle name="분할_26년01월-style 653" pivot="0" count="2">
      <tableStyleElement type="firstRowStripe" dxfId="2"/>
      <tableStyleElement type="secondRowStripe" dxfId="1"/>
    </tableStyle>
    <tableStyle name="분할_26년01월-style 654" pivot="0" count="2">
      <tableStyleElement type="firstRowStripe" dxfId="1"/>
      <tableStyleElement type="secondRowStripe" dxfId="2"/>
    </tableStyle>
    <tableStyle name="분할_26년01월-style 655" pivot="0" count="2">
      <tableStyleElement type="firstRowStripe" dxfId="1"/>
      <tableStyleElement type="secondRowStripe" dxfId="2"/>
    </tableStyle>
    <tableStyle name="분할_26년01월-style 656" pivot="0" count="2">
      <tableStyleElement type="firstRowStripe" dxfId="2"/>
      <tableStyleElement type="secondRowStripe" dxfId="1"/>
    </tableStyle>
    <tableStyle name="분할_26년01월-style 657" pivot="0" count="2">
      <tableStyleElement type="firstRowStripe" dxfId="1"/>
      <tableStyleElement type="secondRowStripe" dxfId="2"/>
    </tableStyle>
    <tableStyle name="분할_26년01월-style 658" pivot="0" count="2">
      <tableStyleElement type="firstRowStripe" dxfId="1"/>
      <tableStyleElement type="secondRowStripe" dxfId="2"/>
    </tableStyle>
    <tableStyle name="분할_26년01월-style 659" pivot="0" count="2">
      <tableStyleElement type="firstRowStripe" dxfId="1"/>
      <tableStyleElement type="secondRowStripe" dxfId="2"/>
    </tableStyle>
    <tableStyle name="분할_26년01월-style 660" pivot="0" count="2">
      <tableStyleElement type="firstRowStripe" dxfId="1"/>
      <tableStyleElement type="secondRowStripe" dxfId="2"/>
    </tableStyle>
    <tableStyle name="분할_26년01월-style 661" pivot="0" count="2">
      <tableStyleElement type="firstRowStripe" dxfId="2"/>
      <tableStyleElement type="secondRowStripe" dxfId="1"/>
    </tableStyle>
    <tableStyle name="분할_26년01월-style 662" pivot="0" count="2">
      <tableStyleElement type="firstRowStripe" dxfId="1"/>
      <tableStyleElement type="secondRowStripe" dxfId="2"/>
    </tableStyle>
    <tableStyle name="분할_26년01월-style 663" pivot="0" count="2">
      <tableStyleElement type="firstRowStripe" dxfId="1"/>
      <tableStyleElement type="secondRowStripe" dxfId="2"/>
    </tableStyle>
    <tableStyle name="분할_26년01월-style 664" pivot="0" count="2">
      <tableStyleElement type="firstRowStripe" dxfId="1"/>
      <tableStyleElement type="secondRowStripe" dxfId="2"/>
    </tableStyle>
    <tableStyle name="분할_26년01월-style 665" pivot="0" count="2">
      <tableStyleElement type="firstRowStripe" dxfId="1"/>
      <tableStyleElement type="secondRowStripe" dxfId="2"/>
    </tableStyle>
    <tableStyle name="분할_26년01월-style 666" pivot="0" count="2">
      <tableStyleElement type="firstRowStripe" dxfId="1"/>
      <tableStyleElement type="secondRowStripe" dxfId="2"/>
    </tableStyle>
    <tableStyle name="분할_26년01월-style 667" pivot="0" count="2">
      <tableStyleElement type="firstRowStripe" dxfId="1"/>
      <tableStyleElement type="secondRowStripe" dxfId="2"/>
    </tableStyle>
    <tableStyle name="분할_26년01월-style 668" pivot="0" count="2">
      <tableStyleElement type="firstRowStripe" dxfId="1"/>
      <tableStyleElement type="secondRowStripe" dxfId="2"/>
    </tableStyle>
    <tableStyle name="분할_26년01월-style 669" pivot="0" count="2">
      <tableStyleElement type="firstRowStripe" dxfId="1"/>
      <tableStyleElement type="secondRowStripe" dxfId="2"/>
    </tableStyle>
    <tableStyle name="분할_26년01월-style 670" pivot="0" count="2">
      <tableStyleElement type="firstRowStripe" dxfId="1"/>
      <tableStyleElement type="secondRowStripe" dxfId="2"/>
    </tableStyle>
    <tableStyle name="분할_26년01월-style 671" pivot="0" count="2">
      <tableStyleElement type="firstRowStripe" dxfId="1"/>
      <tableStyleElement type="secondRowStripe" dxfId="2"/>
    </tableStyle>
    <tableStyle name="분할_26년01월-style 672" pivot="0" count="2">
      <tableStyleElement type="firstRowStripe" dxfId="1"/>
      <tableStyleElement type="secondRowStripe" dxfId="2"/>
    </tableStyle>
    <tableStyle name="분할_26년01월-style 673" pivot="0" count="2">
      <tableStyleElement type="firstRowStripe" dxfId="1"/>
      <tableStyleElement type="secondRowStripe" dxfId="2"/>
    </tableStyle>
    <tableStyle name="분할_26년01월-style 674" pivot="0" count="2">
      <tableStyleElement type="firstRowStripe" dxfId="1"/>
      <tableStyleElement type="secondRowStripe" dxfId="2"/>
    </tableStyle>
    <tableStyle name="분할_26년01월-style 675" pivot="0" count="2">
      <tableStyleElement type="firstRowStripe" dxfId="2"/>
      <tableStyleElement type="secondRowStripe" dxfId="1"/>
    </tableStyle>
    <tableStyle name="분할_26년01월-style 676" pivot="0" count="2">
      <tableStyleElement type="firstRowStripe" dxfId="1"/>
      <tableStyleElement type="secondRowStripe" dxfId="2"/>
    </tableStyle>
    <tableStyle name="분할_26년01월-style 677" pivot="0" count="2">
      <tableStyleElement type="firstRowStripe" dxfId="1"/>
      <tableStyleElement type="secondRowStripe" dxfId="2"/>
    </tableStyle>
    <tableStyle name="분할_26년01월-style 678" pivot="0" count="2">
      <tableStyleElement type="firstRowStripe" dxfId="2"/>
      <tableStyleElement type="secondRowStripe" dxfId="1"/>
    </tableStyle>
    <tableStyle name="분할_26년01월-style 679" pivot="0" count="2">
      <tableStyleElement type="firstRowStripe" dxfId="2"/>
      <tableStyleElement type="secondRowStripe" dxfId="1"/>
    </tableStyle>
    <tableStyle name="분할_26년01월-style 680" pivot="0" count="2">
      <tableStyleElement type="firstRowStripe" dxfId="1"/>
      <tableStyleElement type="secondRowStripe" dxfId="2"/>
    </tableStyle>
    <tableStyle name="분할_26년01월-style 681" pivot="0" count="2">
      <tableStyleElement type="firstRowStripe" dxfId="1"/>
      <tableStyleElement type="secondRowStripe" dxfId="2"/>
    </tableStyle>
    <tableStyle name="분할_26년01월-style 682" pivot="0" count="2">
      <tableStyleElement type="firstRowStripe" dxfId="1"/>
      <tableStyleElement type="secondRowStripe" dxfId="2"/>
    </tableStyle>
    <tableStyle name="분할_26년01월-style 683" pivot="0" count="2">
      <tableStyleElement type="firstRowStripe" dxfId="2"/>
      <tableStyleElement type="secondRowStripe" dxfId="1"/>
    </tableStyle>
    <tableStyle name="분할_26년01월-style 684" pivot="0" count="2">
      <tableStyleElement type="firstRowStripe" dxfId="2"/>
      <tableStyleElement type="secondRowStripe" dxfId="1"/>
    </tableStyle>
    <tableStyle name="분할_26년01월-style 685" pivot="0" count="2">
      <tableStyleElement type="firstRowStripe" dxfId="1"/>
      <tableStyleElement type="secondRowStripe" dxfId="2"/>
    </tableStyle>
    <tableStyle name="분할_26년01월-style 686" pivot="0" count="2">
      <tableStyleElement type="firstRowStripe" dxfId="2"/>
      <tableStyleElement type="secondRowStripe" dxfId="1"/>
    </tableStyle>
    <tableStyle name="분할_26년01월-style 687" pivot="0" count="2">
      <tableStyleElement type="firstRowStripe" dxfId="2"/>
      <tableStyleElement type="secondRowStripe" dxfId="1"/>
    </tableStyle>
    <tableStyle name="분할_26년01월-style 688" pivot="0" count="2">
      <tableStyleElement type="firstRowStripe" dxfId="1"/>
      <tableStyleElement type="secondRowStripe" dxfId="2"/>
    </tableStyle>
    <tableStyle name="분할_26년01월-style 689" pivot="0" count="2">
      <tableStyleElement type="firstRowStripe" dxfId="1"/>
      <tableStyleElement type="secondRowStripe" dxfId="2"/>
    </tableStyle>
    <tableStyle name="분할_26년01월-style 690" pivot="0" count="2">
      <tableStyleElement type="firstRowStripe" dxfId="1"/>
      <tableStyleElement type="secondRowStripe" dxfId="2"/>
    </tableStyle>
    <tableStyle name="분할_26년01월-style 691" pivot="0" count="2">
      <tableStyleElement type="firstRowStripe" dxfId="1"/>
      <tableStyleElement type="secondRowStripe" dxfId="2"/>
    </tableStyle>
    <tableStyle name="분할_26년01월-style 692" pivot="0" count="2">
      <tableStyleElement type="firstRowStripe" dxfId="2"/>
      <tableStyleElement type="secondRowStripe" dxfId="1"/>
    </tableStyle>
    <tableStyle name="분할_26년01월-style 693" pivot="0" count="2">
      <tableStyleElement type="firstRowStripe" dxfId="1"/>
      <tableStyleElement type="secondRowStripe" dxfId="2"/>
    </tableStyle>
    <tableStyle name="분할_26년01월-style 694" pivot="0" count="2">
      <tableStyleElement type="firstRowStripe" dxfId="1"/>
      <tableStyleElement type="secondRowStripe" dxfId="2"/>
    </tableStyle>
    <tableStyle name="분할_26년01월-style 695" pivot="0" count="2">
      <tableStyleElement type="firstRowStripe" dxfId="1"/>
      <tableStyleElement type="secondRowStripe" dxfId="2"/>
    </tableStyle>
    <tableStyle name="분할_26년01월-style 696" pivot="0" count="2">
      <tableStyleElement type="firstRowStripe" dxfId="1"/>
      <tableStyleElement type="secondRowStripe" dxfId="2"/>
    </tableStyle>
    <tableStyle name="분할_26년01월-style 697" pivot="0" count="2">
      <tableStyleElement type="firstRowStripe" dxfId="1"/>
      <tableStyleElement type="secondRowStripe" dxfId="2"/>
    </tableStyle>
    <tableStyle name="분할_26년01월-style 698" pivot="0" count="2">
      <tableStyleElement type="firstRowStripe" dxfId="1"/>
      <tableStyleElement type="secondRowStripe" dxfId="2"/>
    </tableStyle>
    <tableStyle name="분할_26년01월-style 699" pivot="0" count="2">
      <tableStyleElement type="firstRowStripe" dxfId="1"/>
      <tableStyleElement type="secondRowStripe" dxfId="2"/>
    </tableStyle>
    <tableStyle name="분할_26년01월-style 700" pivot="0" count="2">
      <tableStyleElement type="firstRowStripe" dxfId="1"/>
      <tableStyleElement type="secondRowStripe" dxfId="2"/>
    </tableStyle>
    <tableStyle name="분할_26년01월-style 701" pivot="0" count="2">
      <tableStyleElement type="firstRowStripe" dxfId="1"/>
      <tableStyleElement type="secondRowStripe" dxfId="2"/>
    </tableStyle>
    <tableStyle name="분할_26년01월-style 702" pivot="0" count="2">
      <tableStyleElement type="firstRowStripe" dxfId="1"/>
      <tableStyleElement type="secondRowStripe" dxfId="2"/>
    </tableStyle>
    <tableStyle name="분할_26년01월-style 703" pivot="0" count="2">
      <tableStyleElement type="firstRowStripe" dxfId="1"/>
      <tableStyleElement type="secondRowStripe" dxfId="2"/>
    </tableStyle>
    <tableStyle name="분할_26년01월-style 704" pivot="0" count="2">
      <tableStyleElement type="firstRowStripe" dxfId="1"/>
      <tableStyleElement type="secondRowStripe" dxfId="2"/>
    </tableStyle>
    <tableStyle name="분할_26년01월-style 705" pivot="0" count="2">
      <tableStyleElement type="firstRowStripe" dxfId="1"/>
      <tableStyleElement type="secondRowStripe" dxfId="2"/>
    </tableStyle>
    <tableStyle name="분할_26년01월-style 706" pivot="0" count="2">
      <tableStyleElement type="firstRowStripe" dxfId="2"/>
      <tableStyleElement type="secondRowStripe" dxfId="1"/>
    </tableStyle>
    <tableStyle name="분할_26년01월-style 707" pivot="0" count="2">
      <tableStyleElement type="firstRowStripe" dxfId="1"/>
      <tableStyleElement type="secondRowStripe" dxfId="2"/>
    </tableStyle>
    <tableStyle name="분할_26년01월-style 708" pivot="0" count="2">
      <tableStyleElement type="firstRowStripe" dxfId="1"/>
      <tableStyleElement type="secondRowStripe" dxfId="2"/>
    </tableStyle>
    <tableStyle name="분할_26년01월-style 709" pivot="0" count="2">
      <tableStyleElement type="firstRowStripe" dxfId="2"/>
      <tableStyleElement type="secondRowStripe" dxfId="1"/>
    </tableStyle>
    <tableStyle name="분할_26년01월-style 710" pivot="0" count="2">
      <tableStyleElement type="firstRowStripe" dxfId="2"/>
      <tableStyleElement type="secondRowStripe" dxfId="1"/>
    </tableStyle>
    <tableStyle name="분할_26년01월-style 711" pivot="0" count="2">
      <tableStyleElement type="firstRowStripe" dxfId="1"/>
      <tableStyleElement type="secondRowStripe" dxfId="2"/>
    </tableStyle>
    <tableStyle name="분할_26년01월-style 712" pivot="0" count="2">
      <tableStyleElement type="firstRowStripe" dxfId="1"/>
      <tableStyleElement type="secondRowStripe" dxfId="2"/>
    </tableStyle>
    <tableStyle name="분할_26년01월-style 713" pivot="0" count="2">
      <tableStyleElement type="firstRowStripe" dxfId="1"/>
      <tableStyleElement type="secondRowStripe" dxfId="2"/>
    </tableStyle>
    <tableStyle name="분할_26년01월-style 714" pivot="0" count="2">
      <tableStyleElement type="firstRowStripe" dxfId="2"/>
      <tableStyleElement type="secondRowStripe" dxfId="1"/>
    </tableStyle>
    <tableStyle name="분할_26년01월-style 715" pivot="0" count="2">
      <tableStyleElement type="firstRowStripe" dxfId="2"/>
      <tableStyleElement type="secondRowStripe" dxfId="1"/>
    </tableStyle>
    <tableStyle name="키워드분할 최종사본-style" pivot="0" count="2">
      <tableStyleElement type="firstRowStripe" dxfId="1"/>
      <tableStyleElement type="secondRowStripe" dxfId="2"/>
    </tableStyle>
    <tableStyle name="키워드분할 최종사본-style 2" pivot="0" count="2">
      <tableStyleElement type="firstRowStripe" dxfId="2"/>
      <tableStyleElement type="secondRowStripe" dxfId="1"/>
    </tableStyle>
    <tableStyle name="키워드분할 최종사본-style 3" pivot="0" count="2">
      <tableStyleElement type="firstRowStripe" dxfId="1"/>
      <tableStyleElement type="secondRowStripe" dxfId="2"/>
    </tableStyle>
    <tableStyle name="키워드분할 최종사본-style 4" pivot="0" count="2">
      <tableStyleElement type="firstRowStripe" dxfId="2"/>
      <tableStyleElement type="secondRowStripe" dxfId="1"/>
    </tableStyle>
    <tableStyle name="키워드분할 최종사본-style 5" pivot="0" count="2">
      <tableStyleElement type="firstRowStripe" dxfId="1"/>
      <tableStyleElement type="secondRowStripe" dxfId="2"/>
    </tableStyle>
    <tableStyle name="키워드분할 최종사본-style 6" pivot="0" count="2">
      <tableStyleElement type="firstRowStripe" dxfId="2"/>
      <tableStyleElement type="secondRowStripe" dxfId="1"/>
    </tableStyle>
    <tableStyle name="키워드분할 최종사본-style 7" pivot="0" count="2">
      <tableStyleElement type="firstRowStripe" dxfId="1"/>
      <tableStyleElement type="secondRowStripe" dxfId="2"/>
    </tableStyle>
    <tableStyle name="키워드분할 최종사본-style 8" pivot="0" count="2">
      <tableStyleElement type="firstRowStripe" dxfId="2"/>
      <tableStyleElement type="secondRowStripe" dxfId="1"/>
    </tableStyle>
    <tableStyle name="키워드분할 최종사본-style 9" pivot="0" count="2">
      <tableStyleElement type="firstRowStripe" dxfId="1"/>
      <tableStyleElement type="secondRowStripe" dxfId="2"/>
    </tableStyle>
    <tableStyle name="키워드분할 최종사본-style 10" pivot="0" count="2">
      <tableStyleElement type="firstRowStripe" dxfId="1"/>
      <tableStyleElement type="secondRowStripe" dxfId="2"/>
    </tableStyle>
    <tableStyle name="키워드분할 최종사본-style 11" pivot="0" count="2">
      <tableStyleElement type="firstRowStripe" dxfId="1"/>
      <tableStyleElement type="secondRowStripe" dxfId="2"/>
    </tableStyle>
    <tableStyle name="키워드분할 최종사본-style 12" pivot="0" count="2">
      <tableStyleElement type="firstRowStripe" dxfId="2"/>
      <tableStyleElement type="secondRowStripe" dxfId="1"/>
    </tableStyle>
    <tableStyle name="키워드분할 최종사본-style 13" pivot="0" count="2">
      <tableStyleElement type="firstRowStripe" dxfId="1"/>
      <tableStyleElement type="secondRowStripe" dxfId="2"/>
    </tableStyle>
    <tableStyle name="키워드분할 최종사본-style 14" pivot="0" count="2">
      <tableStyleElement type="firstRowStripe" dxfId="2"/>
      <tableStyleElement type="secondRowStripe" dxfId="1"/>
    </tableStyle>
    <tableStyle name="키워드분할 최종사본-style 15" pivot="0" count="2">
      <tableStyleElement type="firstRowStripe" dxfId="2"/>
      <tableStyleElement type="secondRowStripe" dxfId="1"/>
    </tableStyle>
    <tableStyle name="키워드분할 최종사본-style 16" pivot="0" count="2">
      <tableStyleElement type="firstRowStripe" dxfId="1"/>
      <tableStyleElement type="secondRowStripe" dxfId="2"/>
    </tableStyle>
    <tableStyle name="키워드분할 최종사본-style 17" pivot="0" count="2">
      <tableStyleElement type="firstRowStripe" dxfId="2"/>
      <tableStyleElement type="secondRowStripe" dxfId="1"/>
    </tableStyle>
    <tableStyle name="키워드분할 최종사본-style 18" pivot="0" count="2">
      <tableStyleElement type="firstRowStripe" dxfId="1"/>
      <tableStyleElement type="secondRowStripe" dxfId="2"/>
    </tableStyle>
    <tableStyle name="키워드분할 최종사본-style 19" pivot="0" count="2">
      <tableStyleElement type="firstRowStripe" dxfId="2"/>
      <tableStyleElement type="secondRowStripe" dxfId="1"/>
    </tableStyle>
    <tableStyle name="키워드분할 최종사본-style 20" pivot="0" count="2">
      <tableStyleElement type="firstRowStripe" dxfId="1"/>
      <tableStyleElement type="secondRowStripe" dxfId="2"/>
    </tableStyle>
    <tableStyle name="키워드분할 최종사본-style 21" pivot="0" count="2">
      <tableStyleElement type="firstRowStripe" dxfId="2"/>
      <tableStyleElement type="secondRowStripe" dxfId="1"/>
    </tableStyle>
    <tableStyle name="키워드분할 최종사본-style 22" pivot="0" count="2">
      <tableStyleElement type="firstRowStripe" dxfId="2"/>
      <tableStyleElement type="secondRowStripe" dxfId="1"/>
    </tableStyle>
    <tableStyle name="키워드분할 최종사본-style 23" pivot="0" count="2">
      <tableStyleElement type="firstRowStripe" dxfId="1"/>
      <tableStyleElement type="secondRowStripe" dxfId="2"/>
    </tableStyle>
    <tableStyle name="키워드분할 최종사본-style 24" pivot="0" count="2">
      <tableStyleElement type="firstRowStripe" dxfId="2"/>
      <tableStyleElement type="secondRowStripe" dxfId="1"/>
    </tableStyle>
    <tableStyle name="키워드분할 최종사본-style 25" pivot="0" count="2">
      <tableStyleElement type="firstRowStripe" dxfId="1"/>
      <tableStyleElement type="secondRowStripe" dxfId="2"/>
    </tableStyle>
    <tableStyle name="키워드분할 최종사본-style 26" pivot="0" count="2">
      <tableStyleElement type="firstRowStripe" dxfId="2"/>
      <tableStyleElement type="secondRowStripe" dxfId="1"/>
    </tableStyle>
    <tableStyle name="키워드분할 최종사본-style 27" pivot="0" count="2">
      <tableStyleElement type="firstRowStripe" dxfId="2"/>
      <tableStyleElement type="secondRowStripe" dxfId="1"/>
    </tableStyle>
    <tableStyle name="키워드분할 최종사본-style 28" pivot="0" count="2">
      <tableStyleElement type="firstRowStripe" dxfId="2"/>
      <tableStyleElement type="secondRowStripe" dxfId="1"/>
    </tableStyle>
    <tableStyle name="키워드분할 최종사본-style 29" pivot="0" count="2">
      <tableStyleElement type="firstRowStripe" dxfId="1"/>
      <tableStyleElement type="secondRowStripe" dxfId="2"/>
    </tableStyle>
    <tableStyle name="키워드분할 최종사본-style 30" pivot="0" count="2">
      <tableStyleElement type="firstRowStripe" dxfId="1"/>
      <tableStyleElement type="secondRowStripe" dxfId="2"/>
    </tableStyle>
    <tableStyle name="키워드분할 최종사본-style 31" pivot="0" count="2">
      <tableStyleElement type="firstRowStripe" dxfId="1"/>
      <tableStyleElement type="secondRowStripe" dxfId="2"/>
    </tableStyle>
    <tableStyle name="키워드분할 최종사본-style 32" pivot="0" count="2">
      <tableStyleElement type="firstRowStripe" dxfId="2"/>
      <tableStyleElement type="secondRowStripe" dxfId="1"/>
    </tableStyle>
    <tableStyle name="키워드분할 최종사본-style 33" pivot="0" count="2">
      <tableStyleElement type="firstRowStripe" dxfId="1"/>
      <tableStyleElement type="secondRowStripe" dxfId="2"/>
    </tableStyle>
    <tableStyle name="키워드분할 최종사본-style 34" pivot="0" count="2">
      <tableStyleElement type="firstRowStripe" dxfId="2"/>
      <tableStyleElement type="secondRowStripe" dxfId="1"/>
    </tableStyle>
    <tableStyle name="키워드분할 최종사본-style 35" pivot="0" count="2">
      <tableStyleElement type="firstRowStripe" dxfId="2"/>
      <tableStyleElement type="secondRowStripe" dxfId="1"/>
    </tableStyle>
    <tableStyle name="키워드분할 최종사본-style 36" pivot="0" count="2">
      <tableStyleElement type="firstRowStripe" dxfId="1"/>
      <tableStyleElement type="secondRowStripe" dxfId="2"/>
    </tableStyle>
    <tableStyle name="키워드분할 최종사본-style 37" pivot="0" count="2">
      <tableStyleElement type="firstRowStripe" dxfId="2"/>
      <tableStyleElement type="secondRowStripe" dxfId="1"/>
    </tableStyle>
    <tableStyle name="키워드분할 최종사본-style 38" pivot="0" count="2">
      <tableStyleElement type="firstRowStripe" dxfId="2"/>
      <tableStyleElement type="secondRowStripe" dxfId="1"/>
    </tableStyle>
    <tableStyle name="키워드분할 최종사본-style 39" pivot="0" count="2">
      <tableStyleElement type="firstRowStripe" dxfId="2"/>
      <tableStyleElement type="secondRowStripe" dxfId="1"/>
    </tableStyle>
    <tableStyle name="키워드분할 최종사본-style 40" pivot="0" count="2">
      <tableStyleElement type="firstRowStripe" dxfId="1"/>
      <tableStyleElement type="secondRowStripe" dxfId="2"/>
    </tableStyle>
    <tableStyle name="키워드분할 최종사본-style 41" pivot="0" count="2">
      <tableStyleElement type="firstRowStripe" dxfId="2"/>
      <tableStyleElement type="secondRowStripe" dxfId="1"/>
    </tableStyle>
    <tableStyle name="키워드분할 최종사본-style 42" pivot="0" count="2">
      <tableStyleElement type="firstRowStripe" dxfId="1"/>
      <tableStyleElement type="secondRowStripe" dxfId="2"/>
    </tableStyle>
    <tableStyle name="키워드분할 최종사본-style 43" pivot="0" count="2">
      <tableStyleElement type="firstRowStripe" dxfId="1"/>
      <tableStyleElement type="secondRowStripe" dxfId="2"/>
    </tableStyle>
    <tableStyle name="키워드분할 최종사본-style 44" pivot="0" count="2">
      <tableStyleElement type="firstRowStripe" dxfId="1"/>
      <tableStyleElement type="secondRowStripe" dxfId="2"/>
    </tableStyle>
    <tableStyle name="키워드분할 최종사본-style 45" pivot="0" count="2">
      <tableStyleElement type="firstRowStripe" dxfId="2"/>
      <tableStyleElement type="secondRowStripe" dxfId="1"/>
    </tableStyle>
    <tableStyle name="키워드분할 최종사본-style 46" pivot="0" count="2">
      <tableStyleElement type="firstRowStripe" dxfId="2"/>
      <tableStyleElement type="secondRowStripe" dxfId="1"/>
    </tableStyle>
    <tableStyle name="키워드분할 최종사본-style 47" pivot="0" count="2">
      <tableStyleElement type="firstRowStripe" dxfId="2"/>
      <tableStyleElement type="secondRowStripe" dxfId="1"/>
    </tableStyle>
    <tableStyle name="키워드분할 최종사본-style 48" pivot="0" count="2">
      <tableStyleElement type="firstRowStripe" dxfId="2"/>
      <tableStyleElement type="secondRowStripe" dxfId="1"/>
    </tableStyle>
    <tableStyle name="키워드분할 최종사본-style 49" pivot="0" count="2">
      <tableStyleElement type="firstRowStripe" dxfId="1"/>
      <tableStyleElement type="secondRowStripe" dxfId="2"/>
    </tableStyle>
    <tableStyle name="키워드분할 최종사본-style 50" pivot="0" count="2">
      <tableStyleElement type="firstRowStripe" dxfId="2"/>
      <tableStyleElement type="secondRowStripe" dxfId="1"/>
    </tableStyle>
    <tableStyle name="키워드분할 최종사본-style 51" pivot="0" count="2">
      <tableStyleElement type="firstRowStripe" dxfId="2"/>
      <tableStyleElement type="secondRowStripe" dxfId="1"/>
    </tableStyle>
    <tableStyle name="키워드분할 최종사본-style 52" pivot="0" count="2">
      <tableStyleElement type="firstRowStripe" dxfId="2"/>
      <tableStyleElement type="secondRowStripe" dxfId="1"/>
    </tableStyle>
    <tableStyle name="키워드분할 최종사본-style 53" pivot="0" count="2">
      <tableStyleElement type="firstRowStripe" dxfId="1"/>
      <tableStyleElement type="secondRowStripe" dxfId="2"/>
    </tableStyle>
    <tableStyle name="키워드분할 최종사본-style 54" pivot="0" count="2">
      <tableStyleElement type="firstRowStripe" dxfId="2"/>
      <tableStyleElement type="secondRowStripe" dxfId="1"/>
    </tableStyle>
    <tableStyle name="키워드분할 최종사본-style 55" pivot="0" count="2">
      <tableStyleElement type="firstRowStripe" dxfId="1"/>
      <tableStyleElement type="secondRowStripe" dxfId="2"/>
    </tableStyle>
    <tableStyle name="키워드분할 최종사본-style 56" pivot="0" count="2">
      <tableStyleElement type="firstRowStripe" dxfId="2"/>
      <tableStyleElement type="secondRowStripe" dxfId="1"/>
    </tableStyle>
    <tableStyle name="키워드분할 최종사본-style 57" pivot="0" count="2">
      <tableStyleElement type="firstRowStripe" dxfId="1"/>
      <tableStyleElement type="secondRowStripe" dxfId="2"/>
    </tableStyle>
    <tableStyle name="키워드분할 최종사본-style 58" pivot="0" count="2">
      <tableStyleElement type="firstRowStripe" dxfId="2"/>
      <tableStyleElement type="secondRowStripe" dxfId="1"/>
    </tableStyle>
    <tableStyle name="키워드분할 최종사본-style 59" pivot="0" count="2">
      <tableStyleElement type="firstRowStripe" dxfId="1"/>
      <tableStyleElement type="secondRowStripe" dxfId="2"/>
    </tableStyle>
    <tableStyle name="키워드분할 최종사본-style 60" pivot="0" count="2">
      <tableStyleElement type="firstRowStripe" dxfId="1"/>
      <tableStyleElement type="secondRowStripe" dxfId="2"/>
    </tableStyle>
    <tableStyle name="키워드분할 최종사본-style 61" pivot="0" count="2">
      <tableStyleElement type="firstRowStripe" dxfId="2"/>
      <tableStyleElement type="secondRowStripe" dxfId="1"/>
    </tableStyle>
    <tableStyle name="키워드분할 최종사본-style 62" pivot="0" count="2">
      <tableStyleElement type="firstRowStripe" dxfId="2"/>
      <tableStyleElement type="secondRowStripe" dxfId="1"/>
    </tableStyle>
    <tableStyle name="키워드분할 최종사본-style 63" pivot="0" count="2">
      <tableStyleElement type="firstRowStripe" dxfId="1"/>
      <tableStyleElement type="secondRowStripe" dxfId="2"/>
    </tableStyle>
    <tableStyle name="키워드분할 최종사본-style 64" pivot="0" count="2">
      <tableStyleElement type="firstRowStripe" dxfId="2"/>
      <tableStyleElement type="secondRowStripe" dxfId="1"/>
    </tableStyle>
    <tableStyle name="키워드분할 최종사본-style 65" pivot="0" count="2">
      <tableStyleElement type="firstRowStripe" dxfId="2"/>
      <tableStyleElement type="secondRowStripe" dxfId="1"/>
    </tableStyle>
    <tableStyle name="키워드분할 최종사본-style 66" pivot="0" count="2">
      <tableStyleElement type="firstRowStripe" dxfId="2"/>
      <tableStyleElement type="secondRowStripe" dxfId="1"/>
    </tableStyle>
    <tableStyle name="키워드분할 최종사본-style 67" pivot="0" count="2">
      <tableStyleElement type="firstRowStripe" dxfId="1"/>
      <tableStyleElement type="secondRowStripe" dxfId="2"/>
    </tableStyle>
    <tableStyle name="키워드분할 최종사본-style 68" pivot="0" count="2">
      <tableStyleElement type="firstRowStripe" dxfId="2"/>
      <tableStyleElement type="secondRowStripe" dxfId="1"/>
    </tableStyle>
    <tableStyle name="키워드분할 최종사본-style 69" pivot="0" count="2">
      <tableStyleElement type="firstRowStripe" dxfId="2"/>
      <tableStyleElement type="secondRowStripe" dxfId="1"/>
    </tableStyle>
    <tableStyle name="키워드분할 최종사본-style 70" pivot="0" count="2">
      <tableStyleElement type="firstRowStripe" dxfId="1"/>
      <tableStyleElement type="secondRowStripe" dxfId="2"/>
    </tableStyle>
    <tableStyle name="키워드분할 최종사본-style 71" pivot="0" count="2">
      <tableStyleElement type="firstRowStripe" dxfId="1"/>
      <tableStyleElement type="secondRowStripe" dxfId="2"/>
    </tableStyle>
    <tableStyle name="키워드분할 최종사본-style 72" pivot="0" count="2">
      <tableStyleElement type="firstRowStripe" dxfId="2"/>
      <tableStyleElement type="secondRowStripe" dxfId="1"/>
    </tableStyle>
    <tableStyle name="키워드분할 최종사본-style 73" pivot="0" count="2">
      <tableStyleElement type="firstRowStripe" dxfId="2"/>
      <tableStyleElement type="secondRowStripe" dxfId="1"/>
    </tableStyle>
    <tableStyle name="키워드분할 최종사본-style 74" pivot="0" count="2">
      <tableStyleElement type="firstRowStripe" dxfId="2"/>
      <tableStyleElement type="secondRowStripe" dxfId="1"/>
    </tableStyle>
    <tableStyle name="키워드분할 최종사본-style 75" pivot="0" count="2">
      <tableStyleElement type="firstRowStripe" dxfId="2"/>
      <tableStyleElement type="secondRowStripe" dxfId="1"/>
    </tableStyle>
    <tableStyle name="키워드분할 최종사본-style 76" pivot="0" count="2">
      <tableStyleElement type="firstRowStripe" dxfId="2"/>
      <tableStyleElement type="secondRowStripe" dxfId="1"/>
    </tableStyle>
    <tableStyle name="키워드분할 최종사본-style 77" pivot="0" count="2">
      <tableStyleElement type="firstRowStripe" dxfId="2"/>
      <tableStyleElement type="secondRowStripe" dxfId="1"/>
    </tableStyle>
    <tableStyle name="키워드분할 최종사본-style 78" pivot="0" count="2">
      <tableStyleElement type="firstRowStripe" dxfId="2"/>
      <tableStyleElement type="secondRowStripe" dxfId="1"/>
    </tableStyle>
    <tableStyle name="키워드분할 최종사본-style 79" pivot="0" count="2">
      <tableStyleElement type="firstRowStripe" dxfId="2"/>
      <tableStyleElement type="secondRowStripe" dxfId="1"/>
    </tableStyle>
    <tableStyle name="키워드분할 최종사본-style 80" pivot="0" count="2">
      <tableStyleElement type="firstRowStripe" dxfId="2"/>
      <tableStyleElement type="secondRowStripe" dxfId="1"/>
    </tableStyle>
    <tableStyle name="키워드분할 최종사본-style 81" pivot="0" count="2">
      <tableStyleElement type="firstRowStripe" dxfId="2"/>
      <tableStyleElement type="secondRowStripe" dxfId="1"/>
    </tableStyle>
    <tableStyle name="키워드분할 최종사본-style 82" pivot="0" count="2">
      <tableStyleElement type="firstRowStripe" dxfId="2"/>
      <tableStyleElement type="secondRowStripe" dxfId="1"/>
    </tableStyle>
    <tableStyle name="키워드분할 최종사본-style 83" pivot="0" count="2">
      <tableStyleElement type="firstRowStripe" dxfId="2"/>
      <tableStyleElement type="secondRowStripe" dxfId="1"/>
    </tableStyle>
    <tableStyle name="키워드분할 사본-style" pivot="0" count="2">
      <tableStyleElement type="firstRowStripe" dxfId="2"/>
      <tableStyleElement type="secondRowStripe" dxfId="1"/>
    </tableStyle>
    <tableStyle name="키워드분할 사본-style 2" pivot="0" count="2">
      <tableStyleElement type="firstRowStripe" dxfId="1"/>
      <tableStyleElement type="secondRowStripe" dxfId="2"/>
    </tableStyle>
    <tableStyle name="키워드분할 사본-style 3" pivot="0" count="2">
      <tableStyleElement type="firstRowStripe" dxfId="1"/>
      <tableStyleElement type="secondRowStripe" dxfId="2"/>
    </tableStyle>
    <tableStyle name="키워드분할 사본-style 4" pivot="0" count="2">
      <tableStyleElement type="firstRowStripe" dxfId="2"/>
      <tableStyleElement type="secondRowStripe" dxfId="1"/>
    </tableStyle>
    <tableStyle name="키워드분할 사본-style 5" pivot="0" count="2">
      <tableStyleElement type="firstRowStripe" dxfId="2"/>
      <tableStyleElement type="secondRowStripe" dxfId="1"/>
    </tableStyle>
    <tableStyle name="키워드분할 사본-style 6" pivot="0" count="2">
      <tableStyleElement type="firstRowStripe" dxfId="3"/>
      <tableStyleElement type="secondRowStripe" dxfId="1"/>
    </tableStyle>
    <tableStyle name="키워드분할 사본-style 7" pivot="0" count="2">
      <tableStyleElement type="firstRowStripe" dxfId="1"/>
      <tableStyleElement type="secondRowStripe" dxfId="2"/>
    </tableStyle>
    <tableStyle name="키워드분할 사본-style 8" pivot="0" count="2">
      <tableStyleElement type="firstRowStripe" dxfId="1"/>
      <tableStyleElement type="secondRowStripe" dxfId="2"/>
    </tableStyle>
    <tableStyle name="키워드분할 사본-style 9" pivot="0" count="2">
      <tableStyleElement type="firstRowStripe" dxfId="1"/>
      <tableStyleElement type="secondRowStripe" dxfId="2"/>
    </tableStyle>
    <tableStyle name="키워드분할 사본-style 10" pivot="0" count="2">
      <tableStyleElement type="firstRowStripe" dxfId="1"/>
      <tableStyleElement type="secondRowStripe" dxfId="2"/>
    </tableStyle>
    <tableStyle name="키워드분할 사본-style 11" pivot="0" count="2">
      <tableStyleElement type="firstRowStripe" dxfId="1"/>
      <tableStyleElement type="secondRowStripe" dxfId="2"/>
    </tableStyle>
  </table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theme" Target="theme/theme1.xml"></Relationship><Relationship Id="rId6" Type="http://schemas.openxmlformats.org/officeDocument/2006/relationships/styles" Target="styles.xml"></Relationship><Relationship Id="rId7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ables/table1.xml><?xml version="1.0" encoding="utf-8"?>
<table xmlns="http://schemas.openxmlformats.org/spreadsheetml/2006/main" id="2476" name="Table_2476" displayName="Table_2476" ref="I867:L867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최종사본-style 66" showFirstColumn="1" showLastColumn="1" showRowStripes="1" showColumnStripes="0"/>
</table>
</file>

<file path=xl/tables/table2.xml><?xml version="1.0" encoding="utf-8"?>
<table xmlns="http://schemas.openxmlformats.org/spreadsheetml/2006/main" id="2475" name="Table_2475" displayName="Table_2475" ref="O862:T866" headerRowCount="0" totalsRowShown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키워드분할 최종사본-style 65" showFirstColumn="1" showLastColumn="1" showRowStripes="1" showColumnStripes="0"/>
</table>
</file>

<file path=xl/tables/table3.xml><?xml version="1.0" encoding="utf-8"?>
<table xmlns="http://schemas.openxmlformats.org/spreadsheetml/2006/main" id="2474" name="Table_2474" displayName="Table_2474" ref="K842:L842" headerRowCount="0" totalsRowShown="0">
  <tableColumns count="2">
    <tableColumn id="1" name="Column1"/>
    <tableColumn id="2" name="Column2"/>
  </tableColumns>
  <tableStyleInfo name="키워드분할 최종사본-style 64" showFirstColumn="1" showLastColumn="1" showRowStripes="1" showColumnStripes="0"/>
</table>
</file>

<file path=xl/tables/table4.xml><?xml version="1.0" encoding="utf-8"?>
<table xmlns="http://schemas.openxmlformats.org/spreadsheetml/2006/main" id="2469" name="Table_2469" displayName="Table_2469" ref="I827:J827" headerRowCount="0" totalsRowShown="0">
  <tableColumns count="2">
    <tableColumn id="1" name="Column1"/>
    <tableColumn id="2" name="Column2"/>
  </tableColumns>
  <tableStyleInfo name="키워드분할 최종사본-style 59" showFirstColumn="1" showLastColumn="1" showRowStripes="1" showColumnStripes="0"/>
</table>
</file>

<file path=xl/tables/table5.xml><?xml version="1.0" encoding="utf-8"?>
<table xmlns="http://schemas.openxmlformats.org/spreadsheetml/2006/main" id="2468" name="Table_2468" displayName="Table_2468" ref="O822:O822" headerRowCount="0" totalsRowShown="0">
  <tableColumns count="1">
    <tableColumn id="1" name="Column1"/>
  </tableColumns>
  <tableStyleInfo name="키워드분할 최종사본-style 58" showFirstColumn="1" showLastColumn="1" showRowStripes="1" showColumnStripes="0"/>
</table>
</file>

<file path=xl/tables/table6.xml><?xml version="1.0" encoding="utf-8"?>
<table xmlns="http://schemas.openxmlformats.org/spreadsheetml/2006/main" id="2467" name="Table_2467" displayName="Table_2467" ref="O687:O821" headerRowCount="0" totalsRowShown="0">
  <tableColumns count="1">
    <tableColumn id="1" name="Column1"/>
  </tableColumns>
  <tableStyleInfo name="키워드분할 최종사본-style 57" showFirstColumn="1" showLastColumn="1" showRowStripes="1" showColumnStripes="0"/>
</table>
</file>

<file path=xl/tables/table7.xml><?xml version="1.0" encoding="utf-8"?>
<table xmlns="http://schemas.openxmlformats.org/spreadsheetml/2006/main" id="2466" name="Table_2466" displayName="Table_2466" ref="K682:K685" headerRowCount="0" totalsRowShown="0">
  <tableColumns count="1">
    <tableColumn id="1" name="Column1"/>
  </tableColumns>
  <tableStyleInfo name="키워드분할 최종사본-style 56" showFirstColumn="1" showLastColumn="1" showRowStripes="1" showColumnStripes="0"/>
</table>
</file>

<file path=xl/tables/table8.xml><?xml version="1.0" encoding="utf-8"?>
<table xmlns="http://schemas.openxmlformats.org/spreadsheetml/2006/main" id="2473" name="Table_2473" displayName="Table_2473" ref="I842:J842" headerRowCount="0" totalsRowShown="0">
  <tableColumns count="2">
    <tableColumn id="1" name="Column1"/>
    <tableColumn id="2" name="Column2"/>
  </tableColumns>
  <tableStyleInfo name="키워드분할 최종사본-style 63" showFirstColumn="1" showLastColumn="1" showRowStripes="1" showColumnStripes="0"/>
</table>
</file>

<file path=xl/tables/table9.xml><?xml version="1.0" encoding="utf-8"?>
<table xmlns="http://schemas.openxmlformats.org/spreadsheetml/2006/main" id="2472" name="Table_2472" displayName="Table_2472" ref="I839:K840" headerRowCount="0" totalsRowShown="0">
  <tableColumns count="3">
    <tableColumn id="1" name="Column1"/>
    <tableColumn id="2" name="Column2"/>
    <tableColumn id="3" name="Column3"/>
  </tableColumns>
  <tableStyleInfo name="키워드분할 최종사본-style 62" showFirstColumn="1" showLastColumn="1" showRowStripes="1" showColumnStripes="0"/>
</table>
</file>

<file path=xl/tables/table10.xml><?xml version="1.0" encoding="utf-8"?>
<table xmlns="http://schemas.openxmlformats.org/spreadsheetml/2006/main" id="2471" name="Table_2471" displayName="Table_2471" ref="I834:K835" headerRowCount="0" totalsRowShown="0">
  <tableColumns count="3">
    <tableColumn id="1" name="Column1"/>
    <tableColumn id="2" name="Column2"/>
    <tableColumn id="3" name="Column3"/>
  </tableColumns>
  <tableStyleInfo name="키워드분할 최종사본-style 61" showFirstColumn="1" showLastColumn="1" showRowStripes="1" showColumnStripes="0"/>
</table>
</file>

<file path=xl/tables/table11.xml><?xml version="1.0" encoding="utf-8"?>
<table xmlns="http://schemas.openxmlformats.org/spreadsheetml/2006/main" id="2470" name="Table_2470" displayName="Table_2470" ref="I832:L833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최종사본-style 60" showFirstColumn="1" showLastColumn="1" showRowStripes="1" showColumnStripes="0"/>
</table>
</file>

<file path=xl/tables/table12.xml><?xml version="1.0" encoding="utf-8"?>
<table xmlns="http://schemas.openxmlformats.org/spreadsheetml/2006/main" id="2465" name="Table_2465" displayName="Table_2465" ref="O672:O686" headerRowCount="0" totalsRowShown="0">
  <tableColumns count="1">
    <tableColumn id="1" name="Column1"/>
  </tableColumns>
  <tableStyleInfo name="키워드분할 최종사본-style 55" showFirstColumn="1" showLastColumn="1" showRowStripes="1" showColumnStripes="0"/>
</table>
</file>

<file path=xl/tables/table13.xml><?xml version="1.0" encoding="utf-8"?>
<table xmlns="http://schemas.openxmlformats.org/spreadsheetml/2006/main" id="2464" name="Table_2464" displayName="Table_2464" ref="O647:O671" headerRowCount="0" totalsRowShown="0">
  <tableColumns count="1">
    <tableColumn id="1" name="Column1"/>
  </tableColumns>
  <tableStyleInfo name="키워드분할 최종사본-style 54" showFirstColumn="1" showLastColumn="1" showRowStripes="1" showColumnStripes="0"/>
</table>
</file>

<file path=xl/tables/table14.xml><?xml version="1.0" encoding="utf-8"?>
<table xmlns="http://schemas.openxmlformats.org/spreadsheetml/2006/main" id="2463" name="Table_2463" displayName="Table_2463" ref="O602:O606" headerRowCount="0" totalsRowShown="0">
  <tableColumns count="1">
    <tableColumn id="1" name="Column1"/>
  </tableColumns>
  <tableStyleInfo name="키워드분할 최종사본-style 53" showFirstColumn="1" showLastColumn="1" showRowStripes="1" showColumnStripes="0"/>
</table>
</file>

<file path=xl/tables/table15.xml><?xml version="1.0" encoding="utf-8"?>
<table xmlns="http://schemas.openxmlformats.org/spreadsheetml/2006/main" id="2458" name="Table_2458" displayName="Table_2458" ref="I587:L587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최종사본-style 48" showFirstColumn="1" showLastColumn="1" showRowStripes="1" showColumnStripes="0"/>
</table>
</file>

<file path=xl/tables/table16.xml><?xml version="1.0" encoding="utf-8"?>
<table xmlns="http://schemas.openxmlformats.org/spreadsheetml/2006/main" id="2457" name="Table_2457" displayName="Table_2457" ref="O582:O586" headerRowCount="0" totalsRowShown="0">
  <tableColumns count="1">
    <tableColumn id="1" name="Column1"/>
  </tableColumns>
  <tableStyleInfo name="키워드분할 최종사본-style 47" showFirstColumn="1" showLastColumn="1" showRowStripes="1" showColumnStripes="0"/>
</table>
</file>

<file path=xl/tables/table17.xml><?xml version="1.0" encoding="utf-8"?>
<table xmlns="http://schemas.openxmlformats.org/spreadsheetml/2006/main" id="2456" name="Table_2456" displayName="Table_2456" ref="I582:L585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최종사본-style 46" showFirstColumn="1" showLastColumn="1" showRowStripes="1" showColumnStripes="0"/>
</table>
</file>

<file path=xl/tables/table18.xml><?xml version="1.0" encoding="utf-8"?>
<table xmlns="http://schemas.openxmlformats.org/spreadsheetml/2006/main" id="2462" name="Table_2462" displayName="Table_2462" ref="O597:O601" headerRowCount="0" totalsRowShown="0">
  <tableColumns count="1">
    <tableColumn id="1" name="Column1"/>
  </tableColumns>
  <tableStyleInfo name="키워드분할 최종사본-style 52" showFirstColumn="1" showLastColumn="1" showRowStripes="1" showColumnStripes="0"/>
</table>
</file>

<file path=xl/tables/table19.xml><?xml version="1.0" encoding="utf-8"?>
<table xmlns="http://schemas.openxmlformats.org/spreadsheetml/2006/main" id="2461" name="Table_2461" displayName="Table_2461" ref="I597:K600" headerRowCount="0" totalsRowShown="0">
  <tableColumns count="3">
    <tableColumn id="1" name="Column1"/>
    <tableColumn id="2" name="Column2"/>
    <tableColumn id="3" name="Column3"/>
  </tableColumns>
  <tableStyleInfo name="키워드분할 최종사본-style 51" showFirstColumn="1" showLastColumn="1" showRowStripes="1" showColumnStripes="0"/>
</table>
</file>

<file path=xl/tables/table20.xml><?xml version="1.0" encoding="utf-8"?>
<table xmlns="http://schemas.openxmlformats.org/spreadsheetml/2006/main" id="2460" name="Table_2460" displayName="Table_2460" ref="O592:O596" headerRowCount="0" totalsRowShown="0">
  <tableColumns count="1">
    <tableColumn id="1" name="Column1"/>
  </tableColumns>
  <tableStyleInfo name="키워드분할 최종사본-style 50" showFirstColumn="1" showLastColumn="1" showRowStripes="1" showColumnStripes="0"/>
</table>
</file>

<file path=xl/tables/table21.xml><?xml version="1.0" encoding="utf-8"?>
<table xmlns="http://schemas.openxmlformats.org/spreadsheetml/2006/main" id="2459" name="Table_2459" displayName="Table_2459" ref="O587:O591" headerRowCount="0" totalsRowShown="0">
  <tableColumns count="1">
    <tableColumn id="1" name="Column1"/>
  </tableColumns>
  <tableStyleInfo name="키워드분할 최종사본-style 49" showFirstColumn="1" showLastColumn="1" showRowStripes="1" showColumnStripes="0"/>
</table>
</file>

<file path=xl/tables/table22.xml><?xml version="1.0" encoding="utf-8"?>
<table xmlns="http://schemas.openxmlformats.org/spreadsheetml/2006/main" id="2491" name="Table_2491" displayName="Table_2491" ref="K1192:L1425" headerRowCount="0" totalsRowShown="0">
  <tableColumns count="2">
    <tableColumn id="1" name="Column1"/>
    <tableColumn id="2" name="Column2"/>
  </tableColumns>
  <tableStyleInfo name="키워드분할 최종사본-style 81" showFirstColumn="1" showLastColumn="1" showRowStripes="1" showColumnStripes="0"/>
</table>
</file>

<file path=xl/tables/table23.xml><?xml version="1.0" encoding="utf-8"?>
<table xmlns="http://schemas.openxmlformats.org/spreadsheetml/2006/main" id="2490" name="Table_2490" displayName="Table_2490" ref="I1192:J1425" headerRowCount="0" totalsRowShown="0">
  <tableColumns count="2">
    <tableColumn id="1" name="Column1"/>
    <tableColumn id="2" name="Column2"/>
  </tableColumns>
  <tableStyleInfo name="키워드분할 최종사본-style 80" showFirstColumn="1" showLastColumn="1" showRowStripes="1" showColumnStripes="0"/>
</table>
</file>

<file path=xl/tables/table24.xml><?xml version="1.0" encoding="utf-8"?>
<table xmlns="http://schemas.openxmlformats.org/spreadsheetml/2006/main" id="2489" name="Table_2489" displayName="Table_2489" ref="L1187:L1190" headerRowCount="0" totalsRowShown="0">
  <tableColumns count="1">
    <tableColumn id="1" name="Column1"/>
  </tableColumns>
  <tableStyleInfo name="키워드분할 최종사본-style 79" showFirstColumn="1" showLastColumn="1" showRowStripes="1" showColumnStripes="0"/>
</table>
</file>

<file path=xl/tables/table25.xml><?xml version="1.0" encoding="utf-8"?>
<table xmlns="http://schemas.openxmlformats.org/spreadsheetml/2006/main" id="2488" name="Table_2488" displayName="Table_2488" ref="K1187:K1190" headerRowCount="0" totalsRowShown="0">
  <tableColumns count="1">
    <tableColumn id="1" name="Column1"/>
  </tableColumns>
  <tableStyleInfo name="키워드분할 최종사본-style 78" showFirstColumn="1" showLastColumn="1" showRowStripes="1" showColumnStripes="0"/>
</table>
</file>

<file path=xl/tables/table26.xml><?xml version="1.0" encoding="utf-8"?>
<table xmlns="http://schemas.openxmlformats.org/spreadsheetml/2006/main" id="2493" name="Table_2493" displayName="Table_2493" ref="K1427:L1430" headerRowCount="0" totalsRowShown="0">
  <tableColumns count="2">
    <tableColumn id="1" name="Column1"/>
    <tableColumn id="2" name="Column2"/>
  </tableColumns>
  <tableStyleInfo name="키워드분할 최종사본-style 83" showFirstColumn="1" showLastColumn="1" showRowStripes="1" showColumnStripes="0"/>
</table>
</file>

<file path=xl/tables/table27.xml><?xml version="1.0" encoding="utf-8"?>
<table xmlns="http://schemas.openxmlformats.org/spreadsheetml/2006/main" id="2492" name="Table_2492" displayName="Table_2492" ref="I1427:J1430" headerRowCount="0" totalsRowShown="0">
  <tableColumns count="2">
    <tableColumn id="1" name="Column1"/>
    <tableColumn id="2" name="Column2"/>
  </tableColumns>
  <tableStyleInfo name="키워드분할 최종사본-style 82" showFirstColumn="1" showLastColumn="1" showRowStripes="1" showColumnStripes="0"/>
</table>
</file>

<file path=xl/tables/table28.xml><?xml version="1.0" encoding="utf-8"?>
<table xmlns="http://schemas.openxmlformats.org/spreadsheetml/2006/main" id="2487" name="Table_2487" displayName="Table_2487" ref="I1187:J1190" headerRowCount="0" totalsRowShown="0">
  <tableColumns count="2">
    <tableColumn id="1" name="Column1"/>
    <tableColumn id="2" name="Column2"/>
  </tableColumns>
  <tableStyleInfo name="키워드분할 최종사본-style 77" showFirstColumn="1" showLastColumn="1" showRowStripes="1" showColumnStripes="0"/>
</table>
</file>

<file path=xl/tables/table29.xml><?xml version="1.0" encoding="utf-8"?>
<table xmlns="http://schemas.openxmlformats.org/spreadsheetml/2006/main" id="2486" name="Table_2486" displayName="Table_2486" ref="I1072:L1075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최종사본-style 76" showFirstColumn="1" showLastColumn="1" showRowStripes="1" showColumnStripes="0"/>
</table>
</file>

<file path=xl/tables/table30.xml><?xml version="1.0" encoding="utf-8"?>
<table xmlns="http://schemas.openxmlformats.org/spreadsheetml/2006/main" id="2485" name="Table_2485" displayName="Table_2485" ref="I1067:L1070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최종사본-style 75" showFirstColumn="1" showLastColumn="1" showRowStripes="1" showColumnStripes="0"/>
</table>
</file>

<file path=xl/tables/table31.xml><?xml version="1.0" encoding="utf-8"?>
<table xmlns="http://schemas.openxmlformats.org/spreadsheetml/2006/main" id="2480" name="Table_2480" displayName="Table_2480" ref="O877:U1431" header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키워드분할 최종사본-style 70" showFirstColumn="1" showLastColumn="1" showRowStripes="1" showColumnStripes="0"/>
</table>
</file>

<file path=xl/tables/table32.xml><?xml version="1.0" encoding="utf-8"?>
<table xmlns="http://schemas.openxmlformats.org/spreadsheetml/2006/main" id="2479" name="Table_2479" displayName="Table_2479" ref="K877:L880" headerRowCount="0" totalsRowShown="0">
  <tableColumns count="2">
    <tableColumn id="1" name="Column1"/>
    <tableColumn id="2" name="Column2"/>
  </tableColumns>
  <tableStyleInfo name="키워드분할 최종사본-style 69" showFirstColumn="1" showLastColumn="1" showRowStripes="1" showColumnStripes="0"/>
</table>
</file>

<file path=xl/tables/table33.xml><?xml version="1.0" encoding="utf-8"?>
<table xmlns="http://schemas.openxmlformats.org/spreadsheetml/2006/main" id="2478" name="Table_2478" displayName="Table_2478" ref="O872:U876" header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키워드분할 최종사본-style 68" showFirstColumn="1" showLastColumn="1" showRowStripes="1" showColumnStripes="0"/>
</table>
</file>

<file path=xl/tables/table34.xml><?xml version="1.0" encoding="utf-8"?>
<table xmlns="http://schemas.openxmlformats.org/spreadsheetml/2006/main" id="2477" name="Table_2477" displayName="Table_2477" ref="O867:U871" header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키워드분할 최종사본-style 67" showFirstColumn="1" showLastColumn="1" showRowStripes="1" showColumnStripes="0"/>
</table>
</file>

<file path=xl/tables/table35.xml><?xml version="1.0" encoding="utf-8"?>
<table xmlns="http://schemas.openxmlformats.org/spreadsheetml/2006/main" id="2484" name="Table_2484" displayName="Table_2484" ref="I1062:K1065" headerRowCount="0" totalsRowShown="0">
  <tableColumns count="3">
    <tableColumn id="1" name="Column1"/>
    <tableColumn id="2" name="Column2"/>
    <tableColumn id="3" name="Column3"/>
  </tableColumns>
  <tableStyleInfo name="키워드분할 최종사본-style 74" showFirstColumn="1" showLastColumn="1" showRowStripes="1" showColumnStripes="0"/>
</table>
</file>

<file path=xl/tables/table36.xml><?xml version="1.0" encoding="utf-8"?>
<table xmlns="http://schemas.openxmlformats.org/spreadsheetml/2006/main" id="2483" name="Table_2483" displayName="Table_2483" ref="K892:L895" headerRowCount="0" totalsRowShown="0">
  <tableColumns count="2">
    <tableColumn id="1" name="Column1"/>
    <tableColumn id="2" name="Column2"/>
  </tableColumns>
  <tableStyleInfo name="키워드분할 최종사본-style 73" showFirstColumn="1" showLastColumn="1" showRowStripes="1" showColumnStripes="0"/>
</table>
</file>

<file path=xl/tables/table37.xml><?xml version="1.0" encoding="utf-8"?>
<table xmlns="http://schemas.openxmlformats.org/spreadsheetml/2006/main" id="2482" name="Table_2482" displayName="Table_2482" ref="K887:L890" headerRowCount="0" totalsRowShown="0">
  <tableColumns count="2">
    <tableColumn id="1" name="Column1"/>
    <tableColumn id="2" name="Column2"/>
  </tableColumns>
  <tableStyleInfo name="키워드분할 최종사본-style 72" showFirstColumn="1" showLastColumn="1" showRowStripes="1" showColumnStripes="0"/>
</table>
</file>

<file path=xl/tables/table38.xml><?xml version="1.0" encoding="utf-8"?>
<table xmlns="http://schemas.openxmlformats.org/spreadsheetml/2006/main" id="2481" name="Table_2481" displayName="Table_2481" ref="I882:L886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최종사본-style 71" showFirstColumn="1" showLastColumn="1" showRowStripes="1" showColumnStripes="0"/>
</table>
</file>

<file path=xl/tables/table39.xml><?xml version="1.0" encoding="utf-8"?>
<table xmlns="http://schemas.openxmlformats.org/spreadsheetml/2006/main" id="2433" name="Table_2433" displayName="Table_2433" ref="L432:L436" headerRowCount="0" totalsRowShown="0">
  <tableColumns count="1">
    <tableColumn id="1" name="Column1"/>
  </tableColumns>
  <tableStyleInfo name="키워드분할 최종사본-style 23" showFirstColumn="1" showLastColumn="1" showRowStripes="1" showColumnStripes="0"/>
</table>
</file>

<file path=xl/tables/table40.xml><?xml version="1.0" encoding="utf-8"?>
<table xmlns="http://schemas.openxmlformats.org/spreadsheetml/2006/main" id="2432" name="Table_2432" displayName="Table_2432" ref="K412:K415" headerRowCount="0" totalsRowShown="0">
  <tableColumns count="1">
    <tableColumn id="1" name="Column1"/>
  </tableColumns>
  <tableStyleInfo name="키워드분할 최종사본-style 22" showFirstColumn="1" showLastColumn="1" showRowStripes="1" showColumnStripes="0"/>
</table>
</file>

<file path=xl/tables/table41.xml><?xml version="1.0" encoding="utf-8"?>
<table xmlns="http://schemas.openxmlformats.org/spreadsheetml/2006/main" id="2431" name="Table_2431" displayName="Table_2431" ref="I412:I415" headerRowCount="0" totalsRowShown="0">
  <tableColumns count="1">
    <tableColumn id="1" name="Column1"/>
  </tableColumns>
  <tableStyleInfo name="키워드분할 최종사본-style 21" showFirstColumn="1" showLastColumn="1" showRowStripes="1" showColumnStripes="0"/>
</table>
</file>

<file path=xl/tables/table42.xml><?xml version="1.0" encoding="utf-8"?>
<table xmlns="http://schemas.openxmlformats.org/spreadsheetml/2006/main" id="2430" name="Table_2430" displayName="Table_2430" ref="I392:L394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최종사본-style 20" showFirstColumn="1" showLastColumn="1" showRowStripes="1" showColumnStripes="0"/>
</table>
</file>

<file path=xl/tables/table43.xml><?xml version="1.0" encoding="utf-8"?>
<table xmlns="http://schemas.openxmlformats.org/spreadsheetml/2006/main" id="2435" name="Table_2435" displayName="Table_2435" ref="O442:O446" headerRowCount="0" totalsRowShown="0">
  <tableColumns count="1">
    <tableColumn id="1" name="Column1"/>
  </tableColumns>
  <tableStyleInfo name="키워드분할 최종사본-style 25" showFirstColumn="1" showLastColumn="1" showRowStripes="1" showColumnStripes="0"/>
</table>
</file>

<file path=xl/tables/table44.xml><?xml version="1.0" encoding="utf-8"?>
<table xmlns="http://schemas.openxmlformats.org/spreadsheetml/2006/main" id="2434" name="Table_2434" displayName="Table_2434" ref="L437:L437" headerRowCount="0" totalsRowShown="0">
  <tableColumns count="1">
    <tableColumn id="1" name="Column1"/>
  </tableColumns>
  <tableStyleInfo name="키워드분할 최종사본-style 24" showFirstColumn="1" showLastColumn="1" showRowStripes="1" showColumnStripes="0"/>
</table>
</file>

<file path=xl/tables/table45.xml><?xml version="1.0" encoding="utf-8"?>
<table xmlns="http://schemas.openxmlformats.org/spreadsheetml/2006/main" id="2429" name="Table_2429" displayName="Table_2429" ref="O377:O381" headerRowCount="0" totalsRowShown="0">
  <tableColumns count="1">
    <tableColumn id="1" name="Column1"/>
  </tableColumns>
  <tableStyleInfo name="키워드분할 최종사본-style 19" showFirstColumn="1" showLastColumn="1" showRowStripes="1" showColumnStripes="0"/>
</table>
</file>

<file path=xl/tables/table46.xml><?xml version="1.0" encoding="utf-8"?>
<table xmlns="http://schemas.openxmlformats.org/spreadsheetml/2006/main" id="2428" name="Table_2428" displayName="Table_2428" ref="O372:O376" headerRowCount="0" totalsRowShown="0">
  <tableColumns count="1">
    <tableColumn id="1" name="Column1"/>
  </tableColumns>
  <tableStyleInfo name="키워드분할 최종사본-style 18" showFirstColumn="1" showLastColumn="1" showRowStripes="1" showColumnStripes="0"/>
</table>
</file>

<file path=xl/tables/table47.xml><?xml version="1.0" encoding="utf-8"?>
<table xmlns="http://schemas.openxmlformats.org/spreadsheetml/2006/main" id="2427" name="Table_2427" displayName="Table_2427" ref="O367:O371" headerRowCount="0" totalsRowShown="0">
  <tableColumns count="1">
    <tableColumn id="1" name="Column1"/>
  </tableColumns>
  <tableStyleInfo name="키워드분할 최종사본-style 17" showFirstColumn="1" showLastColumn="1" showRowStripes="1" showColumnStripes="0"/>
</table>
</file>

<file path=xl/tables/table48.xml><?xml version="1.0" encoding="utf-8"?>
<table xmlns="http://schemas.openxmlformats.org/spreadsheetml/2006/main" id="2426" name="Table_2426" displayName="Table_2426" ref="O362:O366" headerRowCount="0" totalsRowShown="0">
  <tableColumns count="1">
    <tableColumn id="1" name="Column1"/>
  </tableColumns>
  <tableStyleInfo name="키워드분할 최종사본-style 16" showFirstColumn="1" showLastColumn="1" showRowStripes="1" showColumnStripes="0"/>
</table>
</file>

<file path=xl/tables/table49.xml><?xml version="1.0" encoding="utf-8"?>
<table xmlns="http://schemas.openxmlformats.org/spreadsheetml/2006/main" id="2455" name="Table_2455" displayName="Table_2455" ref="O577:O581" headerRowCount="0" totalsRowShown="0">
  <tableColumns count="1">
    <tableColumn id="1" name="Column1"/>
  </tableColumns>
  <tableStyleInfo name="키워드분할 최종사본-style 45" showFirstColumn="1" showLastColumn="1" showRowStripes="1" showColumnStripes="0"/>
</table>
</file>

<file path=xl/tables/table50.xml><?xml version="1.0" encoding="utf-8"?>
<table xmlns="http://schemas.openxmlformats.org/spreadsheetml/2006/main" id="2454" name="Table_2454" displayName="Table_2454" ref="O527:O531" headerRowCount="0" totalsRowShown="0">
  <tableColumns count="1">
    <tableColumn id="1" name="Column1"/>
  </tableColumns>
  <tableStyleInfo name="키워드분할 최종사본-style 44" showFirstColumn="1" showLastColumn="1" showRowStripes="1" showColumnStripes="0"/>
</table>
</file>

<file path=xl/tables/table51.xml><?xml version="1.0" encoding="utf-8"?>
<table xmlns="http://schemas.openxmlformats.org/spreadsheetml/2006/main" id="2453" name="Table_2453" displayName="Table_2453" ref="O522:O526" headerRowCount="0" totalsRowShown="0">
  <tableColumns count="1">
    <tableColumn id="1" name="Column1"/>
  </tableColumns>
  <tableStyleInfo name="키워드분할 최종사본-style 43" showFirstColumn="1" showLastColumn="1" showRowStripes="1" showColumnStripes="0"/>
</table>
</file>

<file path=xl/tables/table52.xml><?xml version="1.0" encoding="utf-8"?>
<table xmlns="http://schemas.openxmlformats.org/spreadsheetml/2006/main" id="2452" name="Table_2452" displayName="Table_2452" ref="O517:O521" headerRowCount="0" totalsRowShown="0">
  <tableColumns count="1">
    <tableColumn id="1" name="Column1"/>
  </tableColumns>
  <tableStyleInfo name="키워드분할 최종사본-style 42" showFirstColumn="1" showLastColumn="1" showRowStripes="1" showColumnStripes="0"/>
</table>
</file>

<file path=xl/tables/table53.xml><?xml version="1.0" encoding="utf-8"?>
<table xmlns="http://schemas.openxmlformats.org/spreadsheetml/2006/main" id="2447" name="Table_2447" displayName="Table_2447" ref="O492:O501" headerRowCount="0" totalsRowShown="0">
  <tableColumns count="1">
    <tableColumn id="1" name="Column1"/>
  </tableColumns>
  <tableStyleInfo name="키워드분할 최종사본-style 37" showFirstColumn="1" showLastColumn="1" showRowStripes="1" showColumnStripes="0"/>
</table>
</file>

<file path=xl/tables/table54.xml><?xml version="1.0" encoding="utf-8"?>
<table xmlns="http://schemas.openxmlformats.org/spreadsheetml/2006/main" id="2446" name="Table_2446" displayName="Table_2446" ref="O487:O491" headerRowCount="0" totalsRowShown="0">
  <tableColumns count="1">
    <tableColumn id="1" name="Column1"/>
  </tableColumns>
  <tableStyleInfo name="키워드분할 최종사본-style 36" showFirstColumn="1" showLastColumn="1" showRowStripes="1" showColumnStripes="0"/>
</table>
</file>

<file path=xl/tables/table55.xml><?xml version="1.0" encoding="utf-8"?>
<table xmlns="http://schemas.openxmlformats.org/spreadsheetml/2006/main" id="2451" name="Table_2451" displayName="Table_2451" ref="O512:P516" headerRowCount="0" totalsRowShown="0">
  <tableColumns count="2">
    <tableColumn id="1" name="Column1"/>
    <tableColumn id="2" name="Column2"/>
  </tableColumns>
  <tableStyleInfo name="키워드분할 최종사본-style 41" showFirstColumn="1" showLastColumn="1" showRowStripes="1" showColumnStripes="0"/>
</table>
</file>

<file path=xl/tables/table56.xml><?xml version="1.0" encoding="utf-8"?>
<table xmlns="http://schemas.openxmlformats.org/spreadsheetml/2006/main" id="2450" name="Table_2450" displayName="Table_2450" ref="O507:O511" headerRowCount="0" totalsRowShown="0">
  <tableColumns count="1">
    <tableColumn id="1" name="Column1"/>
  </tableColumns>
  <tableStyleInfo name="키워드분할 최종사본-style 40" showFirstColumn="1" showLastColumn="1" showRowStripes="1" showColumnStripes="0"/>
</table>
</file>

<file path=xl/tables/table57.xml><?xml version="1.0" encoding="utf-8"?>
<table xmlns="http://schemas.openxmlformats.org/spreadsheetml/2006/main" id="2449" name="Table_2449" displayName="Table_2449" ref="I507:K510" headerRowCount="0" totalsRowShown="0">
  <tableColumns count="3">
    <tableColumn id="1" name="Column1"/>
    <tableColumn id="2" name="Column2"/>
    <tableColumn id="3" name="Column3"/>
  </tableColumns>
  <tableStyleInfo name="키워드분할 최종사본-style 39" showFirstColumn="1" showLastColumn="1" showRowStripes="1" showColumnStripes="0"/>
</table>
</file>

<file path=xl/tables/table58.xml><?xml version="1.0" encoding="utf-8"?>
<table xmlns="http://schemas.openxmlformats.org/spreadsheetml/2006/main" id="2448" name="Table_2448" displayName="Table_2448" ref="O502:O506" headerRowCount="0" totalsRowShown="0">
  <tableColumns count="1">
    <tableColumn id="1" name="Column1"/>
  </tableColumns>
  <tableStyleInfo name="키워드분할 최종사본-style 38" showFirstColumn="1" showLastColumn="1" showRowStripes="1" showColumnStripes="0"/>
</table>
</file>

<file path=xl/tables/table59.xml><?xml version="1.0" encoding="utf-8"?>
<table xmlns="http://schemas.openxmlformats.org/spreadsheetml/2006/main" id="2444" name="Table_2444" displayName="Table_2444" ref="O472:O481" headerRowCount="0" totalsRowShown="0">
  <tableColumns count="1">
    <tableColumn id="1" name="Column1"/>
  </tableColumns>
  <tableStyleInfo name="키워드분할 최종사본-style 34" showFirstColumn="1" showLastColumn="1" showRowStripes="1" showColumnStripes="0"/>
</table>
</file>

<file path=xl/tables/table60.xml><?xml version="1.0" encoding="utf-8"?>
<table xmlns="http://schemas.openxmlformats.org/spreadsheetml/2006/main" id="2443" name="Table_2443" displayName="Table_2443" ref="O467:O471" headerRowCount="0" totalsRowShown="0">
  <tableColumns count="1">
    <tableColumn id="1" name="Column1"/>
  </tableColumns>
  <tableStyleInfo name="키워드분할 최종사본-style 33" showFirstColumn="1" showLastColumn="1" showRowStripes="1" showColumnStripes="0"/>
</table>
</file>

<file path=xl/tables/table61.xml><?xml version="1.0" encoding="utf-8"?>
<table xmlns="http://schemas.openxmlformats.org/spreadsheetml/2006/main" id="2442" name="Table_2442" displayName="Table_2442" ref="O462:O466" headerRowCount="0" totalsRowShown="0">
  <tableColumns count="1">
    <tableColumn id="1" name="Column1"/>
  </tableColumns>
  <tableStyleInfo name="키워드분할 최종사본-style 32" showFirstColumn="1" showLastColumn="1" showRowStripes="1" showColumnStripes="0"/>
</table>
</file>

<file path=xl/tables/table62.xml><?xml version="1.0" encoding="utf-8"?>
<table xmlns="http://schemas.openxmlformats.org/spreadsheetml/2006/main" id="2441" name="Table_2441" displayName="Table_2441" ref="I462:L463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최종사본-style 31" showFirstColumn="1" showLastColumn="1" showRowStripes="1" showColumnStripes="0"/>
</table>
</file>

<file path=xl/tables/table63.xml><?xml version="1.0" encoding="utf-8"?>
<table xmlns="http://schemas.openxmlformats.org/spreadsheetml/2006/main" id="2445" name="Table_2445" displayName="Table_2445" ref="O482:O486" headerRowCount="0" totalsRowShown="0">
  <tableColumns count="1">
    <tableColumn id="1" name="Column1"/>
  </tableColumns>
  <tableStyleInfo name="키워드분할 최종사본-style 35" showFirstColumn="1" showLastColumn="1" showRowStripes="1" showColumnStripes="0"/>
</table>
</file>

<file path=xl/tables/table64.xml><?xml version="1.0" encoding="utf-8"?>
<table xmlns="http://schemas.openxmlformats.org/spreadsheetml/2006/main" id="2436" name="Table_2436" displayName="Table_2436" ref="I447:K450" headerRowCount="0" totalsRowShown="0">
  <tableColumns count="3">
    <tableColumn id="1" name="Column1"/>
    <tableColumn id="2" name="Column2"/>
    <tableColumn id="3" name="Column3"/>
  </tableColumns>
  <tableStyleInfo name="키워드분할 최종사본-style 26" showFirstColumn="1" showLastColumn="1" showRowStripes="1" showColumnStripes="0"/>
</table>
</file>

<file path=xl/tables/table65.xml><?xml version="1.0" encoding="utf-8"?>
<table xmlns="http://schemas.openxmlformats.org/spreadsheetml/2006/main" id="2440" name="Table_2440" displayName="Table_2440" ref="O457:O461" headerRowCount="0" totalsRowShown="0">
  <tableColumns count="1">
    <tableColumn id="1" name="Column1"/>
  </tableColumns>
  <tableStyleInfo name="키워드분할 최종사본-style 30" showFirstColumn="1" showLastColumn="1" showRowStripes="1" showColumnStripes="0"/>
</table>
</file>

<file path=xl/tables/table66.xml><?xml version="1.0" encoding="utf-8"?>
<table xmlns="http://schemas.openxmlformats.org/spreadsheetml/2006/main" id="2439" name="Table_2439" displayName="Table_2439" ref="I457:L458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최종사본-style 29" showFirstColumn="1" showLastColumn="1" showRowStripes="1" showColumnStripes="0"/>
</table>
</file>

<file path=xl/tables/table67.xml><?xml version="1.0" encoding="utf-8"?>
<table xmlns="http://schemas.openxmlformats.org/spreadsheetml/2006/main" id="2438" name="Table_2438" displayName="Table_2438" ref="O452:O456" headerRowCount="0" totalsRowShown="0">
  <tableColumns count="1">
    <tableColumn id="1" name="Column1"/>
  </tableColumns>
  <tableStyleInfo name="키워드분할 최종사본-style 28" showFirstColumn="1" showLastColumn="1" showRowStripes="1" showColumnStripes="0"/>
</table>
</file>

<file path=xl/tables/table68.xml><?xml version="1.0" encoding="utf-8"?>
<table xmlns="http://schemas.openxmlformats.org/spreadsheetml/2006/main" id="2437" name="Table_2437" displayName="Table_2437" ref="O447:O451" headerRowCount="0" totalsRowShown="0">
  <tableColumns count="1">
    <tableColumn id="1" name="Column1"/>
  </tableColumns>
  <tableStyleInfo name="키워드분할 최종사본-style 27" showFirstColumn="1" showLastColumn="1" showRowStripes="1" showColumnStripes="0"/>
</table>
</file>

<file path=xl/tables/table69.xml><?xml version="1.0" encoding="utf-8"?>
<table xmlns="http://schemas.openxmlformats.org/spreadsheetml/2006/main" id="2412" name="Table_2412" displayName="Table_2412" ref="H17:L17" header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키워드분할 최종사본-style 2" showFirstColumn="1" showLastColumn="1" showRowStripes="1" showColumnStripes="0"/>
</table>
</file>

<file path=xl/tables/table70.xml><?xml version="1.0" encoding="utf-8"?>
<table xmlns="http://schemas.openxmlformats.org/spreadsheetml/2006/main" id="2411" name="Table_2411" displayName="Table_2411" ref="I12:L12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최종사본-style" showFirstColumn="1" showLastColumn="1" showRowStripes="1" showColumnStripes="0"/>
</table>
</file>

<file path=xl/tables/table71.xml><?xml version="1.0" encoding="utf-8"?>
<table xmlns="http://schemas.openxmlformats.org/spreadsheetml/2006/main" id="2414" name="Table_2414" displayName="Table_2414" ref="K27:L27" headerRowCount="0" totalsRowShown="0">
  <tableColumns count="2">
    <tableColumn id="1" name="Column1"/>
    <tableColumn id="2" name="Column2"/>
  </tableColumns>
  <tableStyleInfo name="키워드분할 최종사본-style 4" showFirstColumn="1" showLastColumn="1" showRowStripes="1" showColumnStripes="0"/>
</table>
</file>

<file path=xl/tables/table72.xml><?xml version="1.0" encoding="utf-8"?>
<table xmlns="http://schemas.openxmlformats.org/spreadsheetml/2006/main" id="2413" name="Table_2413" displayName="Table_2413" ref="H22:L22" header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키워드분할 최종사본-style 3" showFirstColumn="1" showLastColumn="1" showRowStripes="1" showColumnStripes="0"/>
</table>
</file>

<file path=xl/tables/table73.xml><?xml version="1.0" encoding="utf-8"?>
<table xmlns="http://schemas.openxmlformats.org/spreadsheetml/2006/main" id="2415" name="Table_2415" displayName="Table_2415" ref="K32:L32" headerRowCount="0" totalsRowShown="0">
  <tableColumns count="2">
    <tableColumn id="1" name="Column1"/>
    <tableColumn id="2" name="Column2"/>
  </tableColumns>
  <tableStyleInfo name="키워드분할 최종사본-style 5" showFirstColumn="1" showLastColumn="1" showRowStripes="1" showColumnStripes="0"/>
</table>
</file>

<file path=xl/tables/table74.xml><?xml version="1.0" encoding="utf-8"?>
<table xmlns="http://schemas.openxmlformats.org/spreadsheetml/2006/main" id="2421" name="Table_2421" displayName="Table_2421" ref="I132:L132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최종사본-style 11" showFirstColumn="1" showLastColumn="1" showRowStripes="1" showColumnStripes="0"/>
</table>
</file>

<file path=xl/tables/table75.xml><?xml version="1.0" encoding="utf-8"?>
<table xmlns="http://schemas.openxmlformats.org/spreadsheetml/2006/main" id="2420" name="Table_2420" displayName="Table_2420" ref="I127:L127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최종사본-style 10" showFirstColumn="1" showLastColumn="1" showRowStripes="1" showColumnStripes="0"/>
</table>
</file>

<file path=xl/tables/table76.xml><?xml version="1.0" encoding="utf-8"?>
<table xmlns="http://schemas.openxmlformats.org/spreadsheetml/2006/main" id="2423" name="Table_2423" displayName="Table_2423" ref="I187:L190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최종사본-style 13" showFirstColumn="1" showLastColumn="1" showRowStripes="1" showColumnStripes="0"/>
</table>
</file>

<file path=xl/tables/table77.xml><?xml version="1.0" encoding="utf-8"?>
<table xmlns="http://schemas.openxmlformats.org/spreadsheetml/2006/main" id="2422" name="Table_2422" displayName="Table_2422" ref="I137:L137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최종사본-style 12" showFirstColumn="1" showLastColumn="1" showRowStripes="1" showColumnStripes="0"/>
</table>
</file>

<file path=xl/tables/table78.xml><?xml version="1.0" encoding="utf-8"?>
<table xmlns="http://schemas.openxmlformats.org/spreadsheetml/2006/main" id="2425" name="Table_2425" displayName="Table_2425" ref="O272:T276" headerRowCount="0" totalsRowShown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키워드분할 최종사본-style 15" showFirstColumn="1" showLastColumn="1" showRowStripes="1" showColumnStripes="0"/>
</table>
</file>

<file path=xl/tables/table79.xml><?xml version="1.0" encoding="utf-8"?>
<table xmlns="http://schemas.openxmlformats.org/spreadsheetml/2006/main" id="2424" name="Table_2424" displayName="Table_2424" ref="O242:O246" headerRowCount="0" totalsRowShown="0">
  <tableColumns count="1">
    <tableColumn id="1" name="Column1"/>
  </tableColumns>
  <tableStyleInfo name="키워드분할 최종사본-style 14" showFirstColumn="1" showLastColumn="1" showRowStripes="1" showColumnStripes="0"/>
</table>
</file>

<file path=xl/tables/table80.xml><?xml version="1.0" encoding="utf-8"?>
<table xmlns="http://schemas.openxmlformats.org/spreadsheetml/2006/main" id="2417" name="Table_2417" displayName="Table_2417" ref="K42:L42" headerRowCount="0" totalsRowShown="0">
  <tableColumns count="2">
    <tableColumn id="1" name="Column1"/>
    <tableColumn id="2" name="Column2"/>
  </tableColumns>
  <tableStyleInfo name="키워드분할 최종사본-style 7" showFirstColumn="1" showLastColumn="1" showRowStripes="1" showColumnStripes="0"/>
</table>
</file>

<file path=xl/tables/table81.xml><?xml version="1.0" encoding="utf-8"?>
<table xmlns="http://schemas.openxmlformats.org/spreadsheetml/2006/main" id="2416" name="Table_2416" displayName="Table_2416" ref="K37:L37" headerRowCount="0" totalsRowShown="0">
  <tableColumns count="2">
    <tableColumn id="1" name="Column1"/>
    <tableColumn id="2" name="Column2"/>
  </tableColumns>
  <tableStyleInfo name="키워드분할 최종사본-style 6" showFirstColumn="1" showLastColumn="1" showRowStripes="1" showColumnStripes="0"/>
</table>
</file>

<file path=xl/tables/table82.xml><?xml version="1.0" encoding="utf-8"?>
<table xmlns="http://schemas.openxmlformats.org/spreadsheetml/2006/main" id="2419" name="Table_2419" displayName="Table_2419" ref="I122:L122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최종사본-style 9" showFirstColumn="1" showLastColumn="1" showRowStripes="1" showColumnStripes="0"/>
</table>
</file>

<file path=xl/tables/table83.xml><?xml version="1.0" encoding="utf-8"?>
<table xmlns="http://schemas.openxmlformats.org/spreadsheetml/2006/main" id="2418" name="Table_2418" displayName="Table_2418" ref="H87:L121" header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키워드분할 최종사본-style 8" showFirstColumn="1" showLastColumn="1" showRowStripes="1" showColumnStripes="0"/>
</table>
</file>

<file path=xl/tables/table84.xml><?xml version="1.0" encoding="utf-8"?>
<table xmlns="http://schemas.openxmlformats.org/spreadsheetml/2006/main" id="2501" name="Table_2501" displayName="Table_2501" ref="P197:T197" header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키워드분할 사본-style 8" showFirstColumn="1" showLastColumn="1" showRowStripes="1" showColumnStripes="0"/>
</table>
</file>

<file path=xl/tables/table85.xml><?xml version="1.0" encoding="utf-8"?>
<table xmlns="http://schemas.openxmlformats.org/spreadsheetml/2006/main" id="2503" name="Table_2503" displayName="Table_2503" ref="P202:S202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사본-style 10" showFirstColumn="1" showLastColumn="1" showRowStripes="1" showColumnStripes="0"/>
</table>
</file>

<file path=xl/tables/table86.xml><?xml version="1.0" encoding="utf-8"?>
<table xmlns="http://schemas.openxmlformats.org/spreadsheetml/2006/main" id="2502" name="Table_2502" displayName="Table_2502" ref="J202:K202" headerRowCount="0" totalsRowShown="0">
  <tableColumns count="2">
    <tableColumn id="1" name="Column1"/>
    <tableColumn id="2" name="Column2"/>
  </tableColumns>
  <tableStyleInfo name="키워드분할 사본-style 9" showFirstColumn="1" showLastColumn="1" showRowStripes="1" showColumnStripes="0"/>
</table>
</file>

<file path=xl/tables/table87.xml><?xml version="1.0" encoding="utf-8"?>
<table xmlns="http://schemas.openxmlformats.org/spreadsheetml/2006/main" id="2504" name="Table_2504" displayName="Table_2504" ref="P207:S207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사본-style 11" showFirstColumn="1" showLastColumn="1" showRowStripes="1" showColumnStripes="0"/>
</table>
</file>

<file path=xl/tables/table88.xml><?xml version="1.0" encoding="utf-8"?>
<table xmlns="http://schemas.openxmlformats.org/spreadsheetml/2006/main" id="2494" name="Table_2494" displayName="Table_2494" ref="J47:K49" headerRowCount="0" totalsRowShown="0">
  <tableColumns count="2">
    <tableColumn id="1" name="Column1"/>
    <tableColumn id="2" name="Column2"/>
  </tableColumns>
  <tableStyleInfo name="키워드분할 사본-style" showFirstColumn="1" showLastColumn="1" showRowStripes="1" showColumnStripes="0"/>
</table>
</file>

<file path=xl/tables/table89.xml><?xml version="1.0" encoding="utf-8"?>
<table xmlns="http://schemas.openxmlformats.org/spreadsheetml/2006/main" id="2496" name="Table_2496" displayName="Table_2496" ref="L48:L49" headerRowCount="0" totalsRowShown="0">
  <tableColumns count="1">
    <tableColumn id="1" name="Column1"/>
  </tableColumns>
  <tableStyleInfo name="키워드분할 사본-style 3" showFirstColumn="1" showLastColumn="1" showRowStripes="1" showColumnStripes="0"/>
</table>
</file>

<file path=xl/tables/table90.xml><?xml version="1.0" encoding="utf-8"?>
<table xmlns="http://schemas.openxmlformats.org/spreadsheetml/2006/main" id="2495" name="Table_2495" displayName="Table_2495" ref="L47:L47" headerRowCount="0" totalsRowShown="0">
  <tableColumns count="1">
    <tableColumn id="1" name="Column1"/>
  </tableColumns>
  <tableStyleInfo name="키워드분할 사본-style 2" showFirstColumn="1" showLastColumn="1" showRowStripes="1" showColumnStripes="0"/>
</table>
</file>

<file path=xl/tables/table91.xml><?xml version="1.0" encoding="utf-8"?>
<table xmlns="http://schemas.openxmlformats.org/spreadsheetml/2006/main" id="2498" name="Table_2498" displayName="Table_2498" ref="J57:K60" headerRowCount="0" totalsRowShown="0">
  <tableColumns count="2">
    <tableColumn id="1" name="Column1"/>
    <tableColumn id="2" name="Column2"/>
  </tableColumns>
  <tableStyleInfo name="키워드분할 사본-style 5" showFirstColumn="1" showLastColumn="1" showRowStripes="1" showColumnStripes="0"/>
</table>
</file>

<file path=xl/tables/table92.xml><?xml version="1.0" encoding="utf-8"?>
<table xmlns="http://schemas.openxmlformats.org/spreadsheetml/2006/main" id="2497" name="Table_2497" displayName="Table_2497" ref="J52:K53" headerRowCount="0" totalsRowShown="0">
  <tableColumns count="2">
    <tableColumn id="1" name="Column1"/>
    <tableColumn id="2" name="Column2"/>
  </tableColumns>
  <tableStyleInfo name="키워드분할 사본-style 4" showFirstColumn="1" showLastColumn="1" showRowStripes="1" showColumnStripes="0"/>
</table>
</file>

<file path=xl/tables/table93.xml><?xml version="1.0" encoding="utf-8"?>
<table xmlns="http://schemas.openxmlformats.org/spreadsheetml/2006/main" id="2500" name="Table_2500" displayName="Table_2500" ref="P192:S192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사본-style 7" showFirstColumn="1" showLastColumn="1" showRowStripes="1" showColumnStripes="0"/>
</table>
</file>

<file path=xl/tables/table94.xml><?xml version="1.0" encoding="utf-8"?>
<table xmlns="http://schemas.openxmlformats.org/spreadsheetml/2006/main" id="2499" name="Table_2499" displayName="Table_2499" ref="M122:M126" headerRowCount="0" totalsRowShown="0">
  <tableColumns count="1">
    <tableColumn id="1" name="Column1"/>
  </tableColumns>
  <tableStyleInfo name="키워드분할 사본-style 6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table" Target="../tables/table1.xml"></Relationship><Relationship Id="rId2" Type="http://schemas.openxmlformats.org/officeDocument/2006/relationships/table" Target="../tables/table2.xml"></Relationship><Relationship Id="rId3" Type="http://schemas.openxmlformats.org/officeDocument/2006/relationships/table" Target="../tables/table3.xml"></Relationship><Relationship Id="rId4" Type="http://schemas.openxmlformats.org/officeDocument/2006/relationships/table" Target="../tables/table4.xml"></Relationship><Relationship Id="rId5" Type="http://schemas.openxmlformats.org/officeDocument/2006/relationships/table" Target="../tables/table5.xml"></Relationship><Relationship Id="rId6" Type="http://schemas.openxmlformats.org/officeDocument/2006/relationships/table" Target="../tables/table6.xml"></Relationship><Relationship Id="rId7" Type="http://schemas.openxmlformats.org/officeDocument/2006/relationships/table" Target="../tables/table7.xml"></Relationship><Relationship Id="rId8" Type="http://schemas.openxmlformats.org/officeDocument/2006/relationships/table" Target="../tables/table8.xml"></Relationship><Relationship Id="rId9" Type="http://schemas.openxmlformats.org/officeDocument/2006/relationships/table" Target="../tables/table9.xml"></Relationship><Relationship Id="rId10" Type="http://schemas.openxmlformats.org/officeDocument/2006/relationships/table" Target="../tables/table10.xml"></Relationship><Relationship Id="rId11" Type="http://schemas.openxmlformats.org/officeDocument/2006/relationships/table" Target="../tables/table11.xml"></Relationship><Relationship Id="rId12" Type="http://schemas.openxmlformats.org/officeDocument/2006/relationships/table" Target="../tables/table12.xml"></Relationship><Relationship Id="rId13" Type="http://schemas.openxmlformats.org/officeDocument/2006/relationships/table" Target="../tables/table13.xml"></Relationship><Relationship Id="rId14" Type="http://schemas.openxmlformats.org/officeDocument/2006/relationships/table" Target="../tables/table14.xml"></Relationship><Relationship Id="rId15" Type="http://schemas.openxmlformats.org/officeDocument/2006/relationships/table" Target="../tables/table15.xml"></Relationship><Relationship Id="rId16" Type="http://schemas.openxmlformats.org/officeDocument/2006/relationships/table" Target="../tables/table16.xml"></Relationship><Relationship Id="rId17" Type="http://schemas.openxmlformats.org/officeDocument/2006/relationships/table" Target="../tables/table17.xml"></Relationship><Relationship Id="rId18" Type="http://schemas.openxmlformats.org/officeDocument/2006/relationships/table" Target="../tables/table18.xml"></Relationship><Relationship Id="rId19" Type="http://schemas.openxmlformats.org/officeDocument/2006/relationships/table" Target="../tables/table19.xml"></Relationship><Relationship Id="rId20" Type="http://schemas.openxmlformats.org/officeDocument/2006/relationships/table" Target="../tables/table20.xml"></Relationship><Relationship Id="rId21" Type="http://schemas.openxmlformats.org/officeDocument/2006/relationships/table" Target="../tables/table21.xml"></Relationship><Relationship Id="rId22" Type="http://schemas.openxmlformats.org/officeDocument/2006/relationships/table" Target="../tables/table22.xml"></Relationship><Relationship Id="rId23" Type="http://schemas.openxmlformats.org/officeDocument/2006/relationships/table" Target="../tables/table23.xml"></Relationship><Relationship Id="rId24" Type="http://schemas.openxmlformats.org/officeDocument/2006/relationships/table" Target="../tables/table24.xml"></Relationship><Relationship Id="rId25" Type="http://schemas.openxmlformats.org/officeDocument/2006/relationships/table" Target="../tables/table25.xml"></Relationship><Relationship Id="rId26" Type="http://schemas.openxmlformats.org/officeDocument/2006/relationships/table" Target="../tables/table26.xml"></Relationship><Relationship Id="rId27" Type="http://schemas.openxmlformats.org/officeDocument/2006/relationships/table" Target="../tables/table27.xml"></Relationship><Relationship Id="rId28" Type="http://schemas.openxmlformats.org/officeDocument/2006/relationships/table" Target="../tables/table28.xml"></Relationship><Relationship Id="rId29" Type="http://schemas.openxmlformats.org/officeDocument/2006/relationships/table" Target="../tables/table29.xml"></Relationship><Relationship Id="rId30" Type="http://schemas.openxmlformats.org/officeDocument/2006/relationships/table" Target="../tables/table30.xml"></Relationship><Relationship Id="rId31" Type="http://schemas.openxmlformats.org/officeDocument/2006/relationships/table" Target="../tables/table31.xml"></Relationship><Relationship Id="rId32" Type="http://schemas.openxmlformats.org/officeDocument/2006/relationships/table" Target="../tables/table32.xml"></Relationship><Relationship Id="rId33" Type="http://schemas.openxmlformats.org/officeDocument/2006/relationships/table" Target="../tables/table33.xml"></Relationship><Relationship Id="rId34" Type="http://schemas.openxmlformats.org/officeDocument/2006/relationships/table" Target="../tables/table34.xml"></Relationship><Relationship Id="rId35" Type="http://schemas.openxmlformats.org/officeDocument/2006/relationships/table" Target="../tables/table35.xml"></Relationship><Relationship Id="rId36" Type="http://schemas.openxmlformats.org/officeDocument/2006/relationships/table" Target="../tables/table36.xml"></Relationship><Relationship Id="rId37" Type="http://schemas.openxmlformats.org/officeDocument/2006/relationships/table" Target="../tables/table37.xml"></Relationship><Relationship Id="rId38" Type="http://schemas.openxmlformats.org/officeDocument/2006/relationships/table" Target="../tables/table38.xml"></Relationship><Relationship Id="rId39" Type="http://schemas.openxmlformats.org/officeDocument/2006/relationships/table" Target="../tables/table39.xml"></Relationship><Relationship Id="rId40" Type="http://schemas.openxmlformats.org/officeDocument/2006/relationships/table" Target="../tables/table40.xml"></Relationship><Relationship Id="rId41" Type="http://schemas.openxmlformats.org/officeDocument/2006/relationships/table" Target="../tables/table41.xml"></Relationship><Relationship Id="rId42" Type="http://schemas.openxmlformats.org/officeDocument/2006/relationships/table" Target="../tables/table42.xml"></Relationship><Relationship Id="rId43" Type="http://schemas.openxmlformats.org/officeDocument/2006/relationships/table" Target="../tables/table43.xml"></Relationship><Relationship Id="rId44" Type="http://schemas.openxmlformats.org/officeDocument/2006/relationships/table" Target="../tables/table44.xml"></Relationship><Relationship Id="rId45" Type="http://schemas.openxmlformats.org/officeDocument/2006/relationships/table" Target="../tables/table45.xml"></Relationship><Relationship Id="rId46" Type="http://schemas.openxmlformats.org/officeDocument/2006/relationships/table" Target="../tables/table46.xml"></Relationship><Relationship Id="rId47" Type="http://schemas.openxmlformats.org/officeDocument/2006/relationships/table" Target="../tables/table47.xml"></Relationship><Relationship Id="rId48" Type="http://schemas.openxmlformats.org/officeDocument/2006/relationships/table" Target="../tables/table48.xml"></Relationship><Relationship Id="rId49" Type="http://schemas.openxmlformats.org/officeDocument/2006/relationships/table" Target="../tables/table49.xml"></Relationship><Relationship Id="rId50" Type="http://schemas.openxmlformats.org/officeDocument/2006/relationships/table" Target="../tables/table50.xml"></Relationship><Relationship Id="rId51" Type="http://schemas.openxmlformats.org/officeDocument/2006/relationships/table" Target="../tables/table51.xml"></Relationship><Relationship Id="rId52" Type="http://schemas.openxmlformats.org/officeDocument/2006/relationships/table" Target="../tables/table52.xml"></Relationship><Relationship Id="rId53" Type="http://schemas.openxmlformats.org/officeDocument/2006/relationships/table" Target="../tables/table53.xml"></Relationship><Relationship Id="rId54" Type="http://schemas.openxmlformats.org/officeDocument/2006/relationships/table" Target="../tables/table54.xml"></Relationship><Relationship Id="rId55" Type="http://schemas.openxmlformats.org/officeDocument/2006/relationships/table" Target="../tables/table55.xml"></Relationship><Relationship Id="rId56" Type="http://schemas.openxmlformats.org/officeDocument/2006/relationships/table" Target="../tables/table56.xml"></Relationship><Relationship Id="rId57" Type="http://schemas.openxmlformats.org/officeDocument/2006/relationships/table" Target="../tables/table57.xml"></Relationship><Relationship Id="rId58" Type="http://schemas.openxmlformats.org/officeDocument/2006/relationships/table" Target="../tables/table58.xml"></Relationship><Relationship Id="rId59" Type="http://schemas.openxmlformats.org/officeDocument/2006/relationships/table" Target="../tables/table59.xml"></Relationship><Relationship Id="rId60" Type="http://schemas.openxmlformats.org/officeDocument/2006/relationships/table" Target="../tables/table60.xml"></Relationship><Relationship Id="rId61" Type="http://schemas.openxmlformats.org/officeDocument/2006/relationships/table" Target="../tables/table61.xml"></Relationship><Relationship Id="rId62" Type="http://schemas.openxmlformats.org/officeDocument/2006/relationships/table" Target="../tables/table62.xml"></Relationship><Relationship Id="rId63" Type="http://schemas.openxmlformats.org/officeDocument/2006/relationships/table" Target="../tables/table63.xml"></Relationship><Relationship Id="rId64" Type="http://schemas.openxmlformats.org/officeDocument/2006/relationships/table" Target="../tables/table64.xml"></Relationship><Relationship Id="rId65" Type="http://schemas.openxmlformats.org/officeDocument/2006/relationships/table" Target="../tables/table65.xml"></Relationship><Relationship Id="rId66" Type="http://schemas.openxmlformats.org/officeDocument/2006/relationships/table" Target="../tables/table66.xml"></Relationship><Relationship Id="rId67" Type="http://schemas.openxmlformats.org/officeDocument/2006/relationships/table" Target="../tables/table67.xml"></Relationship><Relationship Id="rId68" Type="http://schemas.openxmlformats.org/officeDocument/2006/relationships/table" Target="../tables/table68.xml"></Relationship><Relationship Id="rId69" Type="http://schemas.openxmlformats.org/officeDocument/2006/relationships/table" Target="../tables/table69.xml"></Relationship><Relationship Id="rId70" Type="http://schemas.openxmlformats.org/officeDocument/2006/relationships/table" Target="../tables/table70.xml"></Relationship><Relationship Id="rId71" Type="http://schemas.openxmlformats.org/officeDocument/2006/relationships/table" Target="../tables/table71.xml"></Relationship><Relationship Id="rId72" Type="http://schemas.openxmlformats.org/officeDocument/2006/relationships/table" Target="../tables/table72.xml"></Relationship><Relationship Id="rId73" Type="http://schemas.openxmlformats.org/officeDocument/2006/relationships/table" Target="../tables/table73.xml"></Relationship><Relationship Id="rId74" Type="http://schemas.openxmlformats.org/officeDocument/2006/relationships/table" Target="../tables/table74.xml"></Relationship><Relationship Id="rId75" Type="http://schemas.openxmlformats.org/officeDocument/2006/relationships/table" Target="../tables/table75.xml"></Relationship><Relationship Id="rId76" Type="http://schemas.openxmlformats.org/officeDocument/2006/relationships/table" Target="../tables/table76.xml"></Relationship><Relationship Id="rId77" Type="http://schemas.openxmlformats.org/officeDocument/2006/relationships/table" Target="../tables/table77.xml"></Relationship><Relationship Id="rId78" Type="http://schemas.openxmlformats.org/officeDocument/2006/relationships/table" Target="../tables/table78.xml"></Relationship><Relationship Id="rId79" Type="http://schemas.openxmlformats.org/officeDocument/2006/relationships/table" Target="../tables/table79.xml"></Relationship><Relationship Id="rId80" Type="http://schemas.openxmlformats.org/officeDocument/2006/relationships/table" Target="../tables/table80.xml"></Relationship><Relationship Id="rId81" Type="http://schemas.openxmlformats.org/officeDocument/2006/relationships/table" Target="../tables/table81.xml"></Relationship><Relationship Id="rId82" Type="http://schemas.openxmlformats.org/officeDocument/2006/relationships/table" Target="../tables/table82.xml"></Relationship><Relationship Id="rId83" Type="http://schemas.openxmlformats.org/officeDocument/2006/relationships/table" Target="../tables/table83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table" Target="../tables/table84.xml"></Relationship><Relationship Id="rId2" Type="http://schemas.openxmlformats.org/officeDocument/2006/relationships/table" Target="../tables/table85.xml"></Relationship><Relationship Id="rId3" Type="http://schemas.openxmlformats.org/officeDocument/2006/relationships/table" Target="../tables/table86.xml"></Relationship><Relationship Id="rId4" Type="http://schemas.openxmlformats.org/officeDocument/2006/relationships/table" Target="../tables/table87.xml"></Relationship><Relationship Id="rId5" Type="http://schemas.openxmlformats.org/officeDocument/2006/relationships/table" Target="../tables/table88.xml"></Relationship><Relationship Id="rId6" Type="http://schemas.openxmlformats.org/officeDocument/2006/relationships/table" Target="../tables/table89.xml"></Relationship><Relationship Id="rId7" Type="http://schemas.openxmlformats.org/officeDocument/2006/relationships/table" Target="../tables/table90.xml"></Relationship><Relationship Id="rId8" Type="http://schemas.openxmlformats.org/officeDocument/2006/relationships/table" Target="../tables/table91.xml"></Relationship><Relationship Id="rId9" Type="http://schemas.openxmlformats.org/officeDocument/2006/relationships/table" Target="../tables/table92.xml"></Relationship><Relationship Id="rId10" Type="http://schemas.openxmlformats.org/officeDocument/2006/relationships/table" Target="../tables/table93.xml"></Relationship><Relationship Id="rId11" Type="http://schemas.openxmlformats.org/officeDocument/2006/relationships/table" Target="../tables/table94.xml"></Relationship></Relationships>
</file>

<file path=xl/worksheets/_rels/sheet3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4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8e7cc3"/>
  </sheetPr>
  <dimension ref="A1:AH1486"/>
  <sheetViews>
    <sheetView tabSelected="1" workbookViewId="0">
      <selection activeCell="A1" sqref="A1"/>
    </sheetView>
  </sheetViews>
  <sheetFormatPr defaultColWidth="12.63000000" defaultRowHeight="15.750000" customHeight="1"/>
  <cols>
    <col min="8" max="8" width="28.29071508" customWidth="1" outlineLevel="0"/>
    <col min="10" max="10" width="18.86214338" customWidth="1" outlineLevel="0"/>
    <col min="12" max="12" width="32.29071508" customWidth="1" outlineLevel="0"/>
    <col min="17" max="17" width="20.14785658" customWidth="1" outlineLevel="0"/>
  </cols>
  <sheetData>
    <row r="1" spans="1:34">
      <c r="A1" s="166"/>
      <c r="B1" s="156"/>
      <c r="C1" s="451" t="s">
        <v>101</v>
      </c>
      <c r="D1" s="451" t="s">
        <v>102</v>
      </c>
      <c r="E1" s="452" t="s">
        <v>103</v>
      </c>
      <c r="F1" s="453" t="s">
        <v>104</v>
      </c>
      <c r="G1" s="454" t="s">
        <v>105</v>
      </c>
      <c r="H1" s="156" t="s">
        <v>107</v>
      </c>
      <c r="I1" s="455" t="s">
        <v>108</v>
      </c>
      <c r="J1" s="156" t="s">
        <v>109</v>
      </c>
      <c r="K1" s="455" t="s">
        <v>110</v>
      </c>
      <c r="L1" s="456" t="s">
        <v>111</v>
      </c>
      <c r="M1" s="457" t="s">
        <v>112</v>
      </c>
      <c r="N1" s="457" t="s">
        <v>113</v>
      </c>
      <c r="O1" s="458" t="s">
        <v>114</v>
      </c>
      <c r="P1" s="459" t="s">
        <v>115</v>
      </c>
      <c r="Q1" s="166"/>
      <c r="R1" s="165"/>
      <c r="S1" s="165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</row>
    <row r="2" spans="1:34" ht="15.750000" customHeight="1">
      <c r="A2" s="156" t="s">
        <v>116</v>
      </c>
      <c r="B2" s="88"/>
      <c r="C2" s="241"/>
      <c r="D2" s="241"/>
      <c r="E2" s="158">
        <f>F2*120%</f>
        <v>0</v>
      </c>
      <c r="F2" s="158">
        <f>(D2-C2+1)*G2</f>
        <v>0</v>
      </c>
      <c r="G2" s="159">
        <f>M2*40</f>
        <v>0</v>
      </c>
      <c r="H2" s="277"/>
      <c r="I2" s="65"/>
      <c r="J2" s="277"/>
      <c r="K2" s="65"/>
      <c r="L2" s="277"/>
      <c r="M2" s="231"/>
      <c r="N2" s="163"/>
      <c r="O2" s="13"/>
      <c r="P2" s="13"/>
      <c r="Q2" s="13"/>
      <c r="R2" s="13"/>
      <c r="S2" s="165"/>
      <c r="T2" s="165"/>
      <c r="U2" s="165"/>
      <c r="V2" s="165"/>
      <c r="W2" s="165"/>
      <c r="X2" s="165"/>
      <c r="Y2" s="165"/>
      <c r="Z2" s="166"/>
      <c r="AA2" s="166"/>
      <c r="AB2" s="166"/>
      <c r="AC2" s="166"/>
      <c r="AD2" s="166"/>
      <c r="AE2" s="166"/>
      <c r="AF2" s="166"/>
      <c r="AG2" s="166"/>
      <c r="AH2" s="166"/>
    </row>
    <row r="3" spans="1:34" ht="15.750000" customHeight="1">
      <c r="B3" s="88"/>
      <c r="H3" s="447"/>
      <c r="I3" s="65"/>
      <c r="J3" s="277"/>
      <c r="K3" s="188"/>
      <c r="L3" s="277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6"/>
      <c r="AA3" s="166"/>
      <c r="AB3" s="166"/>
      <c r="AC3" s="166"/>
      <c r="AD3" s="166"/>
      <c r="AE3" s="166"/>
      <c r="AF3" s="166"/>
      <c r="AG3" s="166"/>
      <c r="AH3" s="166"/>
    </row>
    <row r="4" spans="1:34" ht="15.750000" customHeight="1">
      <c r="B4" s="166"/>
      <c r="H4" s="447"/>
      <c r="I4" s="65"/>
      <c r="J4" s="277"/>
      <c r="K4" s="65"/>
      <c r="L4" s="277"/>
      <c r="O4" s="13"/>
      <c r="P4" s="165"/>
      <c r="Q4" s="253"/>
      <c r="R4" s="165"/>
      <c r="S4" s="165"/>
      <c r="T4" s="165"/>
      <c r="U4" s="165"/>
      <c r="V4" s="165"/>
      <c r="W4" s="165"/>
      <c r="X4" s="165"/>
      <c r="Y4" s="165"/>
      <c r="Z4" s="166"/>
      <c r="AA4" s="166"/>
      <c r="AB4" s="166"/>
      <c r="AC4" s="166"/>
      <c r="AD4" s="166"/>
      <c r="AE4" s="166"/>
      <c r="AF4" s="166"/>
      <c r="AG4" s="166"/>
      <c r="AH4" s="166"/>
    </row>
    <row r="5" spans="1:34" ht="15.750000" customHeight="1">
      <c r="B5" s="166"/>
      <c r="H5" s="277"/>
      <c r="I5" s="65"/>
      <c r="J5" s="277"/>
      <c r="K5" s="65"/>
      <c r="L5" s="277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6"/>
      <c r="AA5" s="166"/>
      <c r="AB5" s="166"/>
      <c r="AC5" s="166"/>
      <c r="AD5" s="166"/>
      <c r="AE5" s="166"/>
      <c r="AF5" s="166"/>
      <c r="AG5" s="166"/>
      <c r="AH5" s="166"/>
    </row>
    <row r="6" spans="1:34" ht="15.750000" customHeight="1">
      <c r="B6" s="166"/>
      <c r="H6" s="460"/>
      <c r="I6" s="65"/>
      <c r="J6" s="277"/>
      <c r="K6" s="65"/>
      <c r="L6" s="277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6"/>
      <c r="AA6" s="166"/>
      <c r="AB6" s="166"/>
      <c r="AC6" s="166"/>
      <c r="AD6" s="166"/>
      <c r="AE6" s="166"/>
      <c r="AF6" s="166"/>
      <c r="AG6" s="166"/>
      <c r="AH6" s="166"/>
    </row>
    <row r="7" spans="1:34" ht="15.750000" customHeight="1">
      <c r="A7" s="156" t="s">
        <v>116</v>
      </c>
      <c r="B7" s="88"/>
      <c r="C7" s="241"/>
      <c r="D7" s="241"/>
      <c r="E7" s="158">
        <f>F7*120%</f>
        <v>0</v>
      </c>
      <c r="F7" s="158">
        <f>(D7-C7+1)*G7</f>
        <v>0</v>
      </c>
      <c r="G7" s="159">
        <f>M7*40</f>
        <v>0</v>
      </c>
      <c r="H7" s="277"/>
      <c r="I7" s="65"/>
      <c r="J7" s="277"/>
      <c r="K7" s="188"/>
      <c r="L7" s="277"/>
      <c r="M7" s="231"/>
      <c r="N7" s="163"/>
      <c r="O7" s="13"/>
      <c r="P7" s="13"/>
      <c r="Q7" s="165"/>
      <c r="R7" s="13"/>
      <c r="S7" s="165"/>
      <c r="T7" s="165"/>
      <c r="U7" s="165"/>
      <c r="V7" s="165"/>
      <c r="W7" s="165"/>
      <c r="X7" s="165"/>
      <c r="Y7" s="165"/>
      <c r="Z7" s="166"/>
      <c r="AA7" s="166"/>
      <c r="AB7" s="166"/>
      <c r="AC7" s="166"/>
      <c r="AD7" s="166"/>
      <c r="AE7" s="166"/>
      <c r="AF7" s="166"/>
      <c r="AG7" s="166"/>
      <c r="AH7" s="166"/>
    </row>
    <row r="8" spans="1:34" ht="15.750000" customHeight="1">
      <c r="B8" s="88"/>
      <c r="H8" s="277"/>
      <c r="I8" s="65"/>
      <c r="J8" s="277"/>
      <c r="K8" s="188"/>
      <c r="L8" s="277"/>
      <c r="O8" s="13"/>
      <c r="P8" s="13"/>
      <c r="Q8" s="165"/>
      <c r="R8" s="13"/>
      <c r="S8" s="165"/>
      <c r="T8" s="165"/>
      <c r="U8" s="165"/>
      <c r="V8" s="165"/>
      <c r="W8" s="165"/>
      <c r="X8" s="165"/>
      <c r="Y8" s="165"/>
      <c r="Z8" s="166"/>
      <c r="AA8" s="166"/>
      <c r="AB8" s="166"/>
      <c r="AC8" s="166"/>
      <c r="AD8" s="166"/>
      <c r="AE8" s="166"/>
      <c r="AF8" s="166"/>
      <c r="AG8" s="166"/>
      <c r="AH8" s="166"/>
    </row>
    <row r="9" spans="1:34" ht="15.750000" customHeight="1">
      <c r="B9" s="88"/>
      <c r="H9" s="277"/>
      <c r="I9" s="65"/>
      <c r="J9" s="277"/>
      <c r="K9" s="65"/>
      <c r="L9" s="277"/>
      <c r="O9" s="13"/>
      <c r="P9" s="13"/>
      <c r="Q9" s="165"/>
      <c r="R9" s="13"/>
      <c r="S9" s="165"/>
      <c r="T9" s="165"/>
      <c r="U9" s="165"/>
      <c r="V9" s="165"/>
      <c r="W9" s="165"/>
      <c r="X9" s="165"/>
      <c r="Y9" s="165"/>
      <c r="Z9" s="166"/>
      <c r="AA9" s="166"/>
      <c r="AB9" s="166"/>
      <c r="AC9" s="166"/>
      <c r="AD9" s="166"/>
      <c r="AE9" s="166"/>
      <c r="AF9" s="166"/>
      <c r="AG9" s="166"/>
      <c r="AH9" s="166"/>
    </row>
    <row r="10" spans="1:34" ht="15.750000" customHeight="1">
      <c r="B10" s="166"/>
      <c r="H10" s="277"/>
      <c r="I10" s="65"/>
      <c r="J10" s="277"/>
      <c r="K10" s="65"/>
      <c r="L10" s="277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6"/>
      <c r="AA10" s="166"/>
      <c r="AB10" s="166"/>
      <c r="AC10" s="166"/>
      <c r="AD10" s="166"/>
      <c r="AE10" s="166"/>
      <c r="AF10" s="166"/>
      <c r="AG10" s="166"/>
      <c r="AH10" s="166"/>
    </row>
    <row r="11" spans="1:34" ht="15.750000" customHeight="1">
      <c r="B11" s="166"/>
      <c r="H11" s="460"/>
      <c r="I11" s="65"/>
      <c r="J11" s="277"/>
      <c r="K11" s="65"/>
      <c r="L11" s="277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6"/>
      <c r="AA11" s="166"/>
      <c r="AB11" s="166"/>
      <c r="AC11" s="166"/>
      <c r="AD11" s="166"/>
      <c r="AE11" s="166"/>
      <c r="AF11" s="166"/>
      <c r="AG11" s="166"/>
      <c r="AH11" s="166"/>
    </row>
    <row r="12" spans="1:34" ht="15.750000" customHeight="1">
      <c r="A12" s="156" t="s">
        <v>116</v>
      </c>
      <c r="B12" s="88"/>
      <c r="C12" s="240"/>
      <c r="D12" s="240"/>
      <c r="E12" s="158">
        <f>F12*120%</f>
        <v>0</v>
      </c>
      <c r="F12" s="158">
        <f>(D12-C12+1)*G12</f>
        <v>0</v>
      </c>
      <c r="G12" s="159">
        <f>M12*40</f>
        <v>0</v>
      </c>
      <c r="H12" s="277"/>
      <c r="I12" s="65"/>
      <c r="J12" s="277"/>
      <c r="K12" s="65"/>
      <c r="L12" s="416"/>
      <c r="M12" s="231"/>
      <c r="N12" s="163"/>
      <c r="O12" s="65"/>
      <c r="P12" s="65"/>
      <c r="Q12" s="13"/>
      <c r="R12" s="13"/>
      <c r="S12" s="165"/>
      <c r="T12" s="165"/>
      <c r="U12" s="165"/>
      <c r="V12" s="165"/>
      <c r="W12" s="165"/>
      <c r="X12" s="165"/>
      <c r="Y12" s="165"/>
      <c r="Z12" s="166"/>
      <c r="AA12" s="166"/>
      <c r="AB12" s="166"/>
      <c r="AC12" s="166"/>
      <c r="AD12" s="166"/>
      <c r="AE12" s="166"/>
      <c r="AF12" s="166"/>
      <c r="AG12" s="166"/>
      <c r="AH12" s="166"/>
    </row>
    <row r="13" spans="1:34" ht="15.750000" customHeight="1">
      <c r="B13" s="166"/>
      <c r="H13" s="447"/>
      <c r="I13" s="165"/>
      <c r="J13" s="447"/>
      <c r="K13" s="165"/>
      <c r="L13" s="447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6"/>
      <c r="AA13" s="166"/>
      <c r="AB13" s="166"/>
      <c r="AC13" s="166"/>
      <c r="AD13" s="166"/>
      <c r="AE13" s="166"/>
      <c r="AF13" s="166"/>
      <c r="AG13" s="166"/>
      <c r="AH13" s="166"/>
    </row>
    <row r="14" spans="1:34" ht="15.750000" customHeight="1">
      <c r="B14" s="166"/>
      <c r="H14" s="447"/>
      <c r="I14" s="165"/>
      <c r="J14" s="447"/>
      <c r="K14" s="165"/>
      <c r="L14" s="447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6"/>
      <c r="AA14" s="166"/>
      <c r="AB14" s="166"/>
      <c r="AC14" s="166"/>
      <c r="AD14" s="166"/>
      <c r="AE14" s="166"/>
      <c r="AF14" s="166"/>
      <c r="AG14" s="166"/>
      <c r="AH14" s="166"/>
    </row>
    <row r="15" spans="1:34" ht="15.750000" customHeight="1">
      <c r="B15" s="166"/>
      <c r="H15" s="447"/>
      <c r="I15" s="165"/>
      <c r="J15" s="447"/>
      <c r="K15" s="165"/>
      <c r="L15" s="447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6"/>
      <c r="AA15" s="166"/>
      <c r="AB15" s="166"/>
      <c r="AC15" s="166"/>
      <c r="AD15" s="166"/>
      <c r="AE15" s="166"/>
      <c r="AF15" s="166"/>
      <c r="AG15" s="166"/>
      <c r="AH15" s="166"/>
    </row>
    <row r="16" spans="1:34" ht="15.750000" customHeight="1">
      <c r="B16" s="166"/>
      <c r="H16" s="461"/>
      <c r="I16" s="165"/>
      <c r="J16" s="447"/>
      <c r="K16" s="165"/>
      <c r="L16" s="447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6"/>
      <c r="AA16" s="166"/>
      <c r="AB16" s="166"/>
      <c r="AC16" s="166"/>
      <c r="AD16" s="166"/>
      <c r="AE16" s="166"/>
      <c r="AF16" s="166"/>
      <c r="AG16" s="166"/>
      <c r="AH16" s="166"/>
    </row>
    <row r="17" spans="1:34" ht="15.750000" customHeight="1">
      <c r="A17" s="156" t="s">
        <v>116</v>
      </c>
      <c r="B17" s="88"/>
      <c r="C17" s="241"/>
      <c r="D17" s="240"/>
      <c r="E17" s="158">
        <f>F17*120%</f>
        <v>0</v>
      </c>
      <c r="F17" s="158">
        <f>(D17-C17+1)*G17</f>
        <v>0</v>
      </c>
      <c r="G17" s="159">
        <f>M17*40</f>
        <v>0</v>
      </c>
      <c r="H17" s="277"/>
      <c r="I17" s="65"/>
      <c r="J17" s="277"/>
      <c r="K17" s="65"/>
      <c r="L17" s="462"/>
      <c r="M17" s="231"/>
      <c r="N17" s="163"/>
      <c r="O17" s="65"/>
      <c r="P17" s="65"/>
      <c r="Q17" s="13"/>
      <c r="R17" s="13"/>
      <c r="S17" s="165"/>
      <c r="T17" s="165"/>
      <c r="U17" s="165"/>
      <c r="V17" s="165"/>
      <c r="W17" s="165"/>
      <c r="X17" s="165"/>
      <c r="Y17" s="165"/>
      <c r="Z17" s="166"/>
      <c r="AA17" s="166"/>
      <c r="AB17" s="166"/>
      <c r="AC17" s="166"/>
      <c r="AD17" s="166"/>
      <c r="AE17" s="166"/>
      <c r="AF17" s="166"/>
      <c r="AG17" s="166"/>
      <c r="AH17" s="166"/>
    </row>
    <row r="18" spans="1:34" ht="15.750000" customHeight="1">
      <c r="B18" s="166"/>
      <c r="H18" s="447"/>
      <c r="I18" s="165"/>
      <c r="J18" s="447"/>
      <c r="K18" s="165"/>
      <c r="L18" s="447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6"/>
      <c r="AA18" s="166"/>
      <c r="AB18" s="166"/>
      <c r="AC18" s="166"/>
      <c r="AD18" s="166"/>
      <c r="AE18" s="166"/>
      <c r="AF18" s="166"/>
      <c r="AG18" s="166"/>
      <c r="AH18" s="166"/>
    </row>
    <row r="19" spans="1:34" ht="15.750000" customHeight="1">
      <c r="B19" s="166"/>
      <c r="H19" s="447"/>
      <c r="I19" s="165"/>
      <c r="J19" s="447"/>
      <c r="K19" s="165"/>
      <c r="L19" s="447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6"/>
      <c r="AA19" s="166"/>
      <c r="AB19" s="166"/>
      <c r="AC19" s="166"/>
      <c r="AD19" s="166"/>
      <c r="AE19" s="166"/>
      <c r="AF19" s="166"/>
      <c r="AG19" s="166"/>
      <c r="AH19" s="166"/>
    </row>
    <row r="20" spans="1:34" ht="15.750000" customHeight="1">
      <c r="B20" s="166"/>
      <c r="H20" s="447"/>
      <c r="I20" s="165"/>
      <c r="J20" s="447"/>
      <c r="K20" s="165"/>
      <c r="L20" s="447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6"/>
      <c r="AA20" s="166"/>
      <c r="AB20" s="166"/>
      <c r="AC20" s="166"/>
      <c r="AD20" s="166"/>
      <c r="AE20" s="166"/>
      <c r="AF20" s="166"/>
      <c r="AG20" s="166"/>
      <c r="AH20" s="166"/>
    </row>
    <row r="21" spans="1:34" ht="15.750000" customHeight="1">
      <c r="B21" s="166"/>
      <c r="H21" s="461"/>
      <c r="I21" s="165"/>
      <c r="J21" s="447"/>
      <c r="K21" s="165"/>
      <c r="L21" s="447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6"/>
      <c r="AA21" s="166"/>
      <c r="AB21" s="166"/>
      <c r="AC21" s="166"/>
      <c r="AD21" s="166"/>
      <c r="AE21" s="166"/>
      <c r="AF21" s="166"/>
      <c r="AG21" s="166"/>
      <c r="AH21" s="166"/>
    </row>
    <row r="22" spans="1:34" ht="15.750000" customHeight="1">
      <c r="A22" s="156" t="s">
        <v>116</v>
      </c>
      <c r="B22" s="88"/>
      <c r="C22" s="241"/>
      <c r="D22" s="241"/>
      <c r="E22" s="158">
        <f>F22*120%</f>
        <v>0</v>
      </c>
      <c r="F22" s="158">
        <f>(D22-C22+1)*G22</f>
        <v>0</v>
      </c>
      <c r="G22" s="159">
        <f>M22*40</f>
        <v>0</v>
      </c>
      <c r="H22" s="277"/>
      <c r="I22" s="65"/>
      <c r="J22" s="277"/>
      <c r="K22" s="65"/>
      <c r="L22" s="462"/>
      <c r="M22" s="231"/>
      <c r="N22" s="163"/>
      <c r="O22" s="65"/>
      <c r="P22" s="65"/>
      <c r="Q22" s="13"/>
      <c r="R22" s="13"/>
      <c r="S22" s="165"/>
      <c r="T22" s="165"/>
      <c r="U22" s="165"/>
      <c r="V22" s="165"/>
      <c r="W22" s="165"/>
      <c r="X22" s="165"/>
      <c r="Y22" s="165"/>
      <c r="Z22" s="166"/>
      <c r="AA22" s="166"/>
      <c r="AB22" s="166"/>
      <c r="AC22" s="166"/>
      <c r="AD22" s="166"/>
      <c r="AE22" s="166"/>
      <c r="AF22" s="166"/>
      <c r="AG22" s="166"/>
      <c r="AH22" s="166"/>
    </row>
    <row r="23" spans="1:34" ht="15.750000" customHeight="1">
      <c r="B23" s="166"/>
      <c r="H23" s="447"/>
      <c r="I23" s="165"/>
      <c r="J23" s="447"/>
      <c r="K23" s="165"/>
      <c r="L23" s="447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6"/>
      <c r="AA23" s="166"/>
      <c r="AB23" s="166"/>
      <c r="AC23" s="166"/>
      <c r="AD23" s="166"/>
      <c r="AE23" s="166"/>
      <c r="AF23" s="166"/>
      <c r="AG23" s="166"/>
      <c r="AH23" s="166"/>
    </row>
    <row r="24" spans="1:34" ht="15.750000" customHeight="1">
      <c r="B24" s="166"/>
      <c r="H24" s="447"/>
      <c r="I24" s="165"/>
      <c r="J24" s="447"/>
      <c r="K24" s="165"/>
      <c r="L24" s="447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6"/>
      <c r="AA24" s="166"/>
      <c r="AB24" s="166"/>
      <c r="AC24" s="166"/>
      <c r="AD24" s="166"/>
      <c r="AE24" s="166"/>
      <c r="AF24" s="166"/>
      <c r="AG24" s="166"/>
      <c r="AH24" s="166"/>
    </row>
    <row r="25" spans="1:34" ht="15.750000" customHeight="1">
      <c r="B25" s="166"/>
      <c r="H25" s="447"/>
      <c r="I25" s="165"/>
      <c r="J25" s="447"/>
      <c r="K25" s="165"/>
      <c r="L25" s="447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6"/>
      <c r="AA25" s="166"/>
      <c r="AB25" s="166"/>
      <c r="AC25" s="166"/>
      <c r="AD25" s="166"/>
      <c r="AE25" s="166"/>
      <c r="AF25" s="166"/>
      <c r="AG25" s="166"/>
      <c r="AH25" s="166"/>
    </row>
    <row r="26" spans="1:34" ht="15.750000" customHeight="1">
      <c r="B26" s="166"/>
      <c r="H26" s="461"/>
      <c r="I26" s="165"/>
      <c r="J26" s="447"/>
      <c r="K26" s="165"/>
      <c r="L26" s="447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6"/>
      <c r="AA26" s="166"/>
      <c r="AB26" s="166"/>
      <c r="AC26" s="166"/>
      <c r="AD26" s="166"/>
      <c r="AE26" s="166"/>
      <c r="AF26" s="166"/>
      <c r="AG26" s="166"/>
      <c r="AH26" s="166"/>
    </row>
    <row r="27" spans="1:34" ht="15.750000" customHeight="1">
      <c r="A27" s="156" t="s">
        <v>116</v>
      </c>
      <c r="B27" s="88"/>
      <c r="C27" s="241"/>
      <c r="D27" s="241"/>
      <c r="E27" s="158">
        <f>F27*120%</f>
        <v>0</v>
      </c>
      <c r="F27" s="158">
        <f>(D27-C27+1)*G27</f>
        <v>0</v>
      </c>
      <c r="G27" s="159">
        <f>M27*40</f>
        <v>0</v>
      </c>
      <c r="H27" s="277"/>
      <c r="I27" s="65"/>
      <c r="J27" s="277"/>
      <c r="K27" s="65"/>
      <c r="L27" s="462"/>
      <c r="M27" s="231"/>
      <c r="N27" s="163"/>
      <c r="O27" s="65"/>
      <c r="P27" s="65"/>
      <c r="Q27" s="13"/>
      <c r="R27" s="13"/>
      <c r="S27" s="165"/>
      <c r="T27" s="165"/>
      <c r="U27" s="165"/>
      <c r="V27" s="165"/>
      <c r="W27" s="165"/>
      <c r="X27" s="165"/>
      <c r="Y27" s="165"/>
      <c r="Z27" s="166"/>
      <c r="AA27" s="166"/>
      <c r="AB27" s="166"/>
      <c r="AC27" s="166"/>
      <c r="AD27" s="166"/>
      <c r="AE27" s="166"/>
      <c r="AF27" s="166"/>
      <c r="AG27" s="166"/>
      <c r="AH27" s="166"/>
    </row>
    <row r="28" spans="1:34" ht="15.750000" customHeight="1">
      <c r="B28" s="166"/>
      <c r="H28" s="447"/>
      <c r="I28" s="165"/>
      <c r="J28" s="447"/>
      <c r="K28" s="165"/>
      <c r="L28" s="447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6"/>
      <c r="AA28" s="166"/>
      <c r="AB28" s="166"/>
      <c r="AC28" s="166"/>
      <c r="AD28" s="166"/>
      <c r="AE28" s="166"/>
      <c r="AF28" s="166"/>
      <c r="AG28" s="166"/>
      <c r="AH28" s="166"/>
    </row>
    <row r="29" spans="1:34" ht="15.750000" customHeight="1">
      <c r="B29" s="166"/>
      <c r="H29" s="447"/>
      <c r="I29" s="165"/>
      <c r="J29" s="447"/>
      <c r="K29" s="165"/>
      <c r="L29" s="447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6"/>
      <c r="AA29" s="166"/>
      <c r="AB29" s="166"/>
      <c r="AC29" s="166"/>
      <c r="AD29" s="166"/>
      <c r="AE29" s="166"/>
      <c r="AF29" s="166"/>
      <c r="AG29" s="166"/>
      <c r="AH29" s="166"/>
    </row>
    <row r="30" spans="1:34" ht="15.750000" customHeight="1">
      <c r="B30" s="166"/>
      <c r="H30" s="447"/>
      <c r="I30" s="165"/>
      <c r="J30" s="447"/>
      <c r="K30" s="165"/>
      <c r="L30" s="447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6"/>
      <c r="AA30" s="166"/>
      <c r="AB30" s="166"/>
      <c r="AC30" s="166"/>
      <c r="AD30" s="166"/>
      <c r="AE30" s="166"/>
      <c r="AF30" s="166"/>
      <c r="AG30" s="166"/>
      <c r="AH30" s="166"/>
    </row>
    <row r="31" spans="1:34" ht="15.750000" customHeight="1">
      <c r="B31" s="166"/>
      <c r="H31" s="461"/>
      <c r="I31" s="165"/>
      <c r="J31" s="447"/>
      <c r="K31" s="165"/>
      <c r="L31" s="447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6"/>
      <c r="AA31" s="166"/>
      <c r="AB31" s="166"/>
      <c r="AC31" s="166"/>
      <c r="AD31" s="166"/>
      <c r="AE31" s="166"/>
      <c r="AF31" s="166"/>
      <c r="AG31" s="166"/>
      <c r="AH31" s="166"/>
    </row>
    <row r="32" spans="1:34" ht="15.750000" customHeight="1">
      <c r="A32" s="156" t="s">
        <v>116</v>
      </c>
      <c r="B32" s="88"/>
      <c r="C32" s="241"/>
      <c r="D32" s="241"/>
      <c r="E32" s="158">
        <f>F32*120%</f>
        <v>0</v>
      </c>
      <c r="F32" s="158">
        <f>(D32-C32+1)*G32</f>
        <v>0</v>
      </c>
      <c r="G32" s="159">
        <f>M32*40</f>
        <v>0</v>
      </c>
      <c r="H32" s="277"/>
      <c r="I32" s="65"/>
      <c r="J32" s="277"/>
      <c r="K32" s="65"/>
      <c r="L32" s="416"/>
      <c r="M32" s="231"/>
      <c r="N32" s="163"/>
      <c r="O32" s="65"/>
      <c r="P32" s="65"/>
      <c r="Q32" s="13"/>
      <c r="R32" s="13"/>
      <c r="S32" s="165"/>
      <c r="T32" s="165"/>
      <c r="U32" s="165"/>
      <c r="V32" s="165"/>
      <c r="W32" s="165"/>
      <c r="X32" s="165"/>
      <c r="Y32" s="165"/>
      <c r="Z32" s="166"/>
      <c r="AA32" s="166"/>
      <c r="AB32" s="166"/>
      <c r="AC32" s="166"/>
      <c r="AD32" s="166"/>
      <c r="AE32" s="166"/>
      <c r="AF32" s="166"/>
      <c r="AG32" s="166"/>
      <c r="AH32" s="166"/>
    </row>
    <row r="33" spans="1:34" ht="15.750000" customHeight="1">
      <c r="B33" s="166"/>
      <c r="H33" s="447"/>
      <c r="I33" s="165"/>
      <c r="J33" s="447"/>
      <c r="K33" s="165"/>
      <c r="L33" s="447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6"/>
      <c r="AA33" s="166"/>
      <c r="AB33" s="166"/>
      <c r="AC33" s="166"/>
      <c r="AD33" s="166"/>
      <c r="AE33" s="166"/>
      <c r="AF33" s="166"/>
      <c r="AG33" s="166"/>
      <c r="AH33" s="166"/>
    </row>
    <row r="34" spans="1:34" ht="15.750000" customHeight="1">
      <c r="B34" s="166"/>
      <c r="H34" s="447"/>
      <c r="I34" s="165"/>
      <c r="J34" s="447"/>
      <c r="K34" s="165"/>
      <c r="L34" s="447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6"/>
      <c r="AA34" s="166"/>
      <c r="AB34" s="166"/>
      <c r="AC34" s="166"/>
      <c r="AD34" s="166"/>
      <c r="AE34" s="166"/>
      <c r="AF34" s="166"/>
      <c r="AG34" s="166"/>
      <c r="AH34" s="166"/>
    </row>
    <row r="35" spans="1:34" ht="15.750000" customHeight="1">
      <c r="B35" s="166"/>
      <c r="H35" s="447"/>
      <c r="I35" s="165"/>
      <c r="J35" s="447"/>
      <c r="K35" s="165"/>
      <c r="L35" s="447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6"/>
      <c r="AA35" s="166"/>
      <c r="AB35" s="166"/>
      <c r="AC35" s="166"/>
      <c r="AD35" s="166"/>
      <c r="AE35" s="166"/>
      <c r="AF35" s="166"/>
      <c r="AG35" s="166"/>
      <c r="AH35" s="166"/>
    </row>
    <row r="36" spans="1:34" ht="15.750000" customHeight="1">
      <c r="B36" s="166"/>
      <c r="H36" s="461"/>
      <c r="I36" s="165"/>
      <c r="J36" s="447"/>
      <c r="K36" s="165"/>
      <c r="L36" s="447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6"/>
      <c r="AA36" s="166"/>
      <c r="AB36" s="166"/>
      <c r="AC36" s="166"/>
      <c r="AD36" s="166"/>
      <c r="AE36" s="166"/>
      <c r="AF36" s="166"/>
      <c r="AG36" s="166"/>
      <c r="AH36" s="166"/>
    </row>
    <row r="37" spans="1:34" ht="15.750000" customHeight="1">
      <c r="A37" s="156" t="s">
        <v>116</v>
      </c>
      <c r="B37" s="88"/>
      <c r="C37" s="241"/>
      <c r="D37" s="241"/>
      <c r="E37" s="158">
        <f>F37*120%</f>
        <v>0</v>
      </c>
      <c r="F37" s="158">
        <f>(D37-C37+1)*G37</f>
        <v>0</v>
      </c>
      <c r="G37" s="159">
        <f>M37*40</f>
        <v>0</v>
      </c>
      <c r="H37" s="277"/>
      <c r="I37" s="65"/>
      <c r="J37" s="277"/>
      <c r="K37" s="65"/>
      <c r="L37" s="462"/>
      <c r="M37" s="231"/>
      <c r="N37" s="163"/>
      <c r="O37" s="65"/>
      <c r="P37" s="65"/>
      <c r="Q37" s="13"/>
      <c r="R37" s="13"/>
      <c r="S37" s="165"/>
      <c r="T37" s="165"/>
      <c r="U37" s="165"/>
      <c r="V37" s="165"/>
      <c r="W37" s="165"/>
      <c r="X37" s="165"/>
      <c r="Y37" s="165"/>
      <c r="Z37" s="166"/>
      <c r="AA37" s="166"/>
      <c r="AB37" s="166"/>
      <c r="AC37" s="166"/>
      <c r="AD37" s="166"/>
      <c r="AE37" s="166"/>
      <c r="AF37" s="166"/>
      <c r="AG37" s="166"/>
      <c r="AH37" s="166"/>
    </row>
    <row r="38" spans="1:34" ht="15.750000" customHeight="1">
      <c r="B38" s="166"/>
      <c r="H38" s="447"/>
      <c r="I38" s="165"/>
      <c r="J38" s="447"/>
      <c r="K38" s="165"/>
      <c r="L38" s="447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6"/>
      <c r="AA38" s="166"/>
      <c r="AB38" s="166"/>
      <c r="AC38" s="166"/>
      <c r="AD38" s="166"/>
      <c r="AE38" s="166"/>
      <c r="AF38" s="166"/>
      <c r="AG38" s="166"/>
      <c r="AH38" s="166"/>
    </row>
    <row r="39" spans="1:34" ht="15.750000" customHeight="1">
      <c r="B39" s="166"/>
      <c r="H39" s="447"/>
      <c r="I39" s="165"/>
      <c r="J39" s="447"/>
      <c r="K39" s="165"/>
      <c r="L39" s="447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6"/>
      <c r="AA39" s="166"/>
      <c r="AB39" s="166"/>
      <c r="AC39" s="166"/>
      <c r="AD39" s="166"/>
      <c r="AE39" s="166"/>
      <c r="AF39" s="166"/>
      <c r="AG39" s="166"/>
      <c r="AH39" s="166"/>
    </row>
    <row r="40" spans="1:34" ht="15.750000" customHeight="1">
      <c r="B40" s="166"/>
      <c r="H40" s="447"/>
      <c r="I40" s="165"/>
      <c r="J40" s="447"/>
      <c r="K40" s="165"/>
      <c r="L40" s="447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6"/>
      <c r="AA40" s="166"/>
      <c r="AB40" s="166"/>
      <c r="AC40" s="166"/>
      <c r="AD40" s="166"/>
      <c r="AE40" s="166"/>
      <c r="AF40" s="166"/>
      <c r="AG40" s="166"/>
      <c r="AH40" s="166"/>
    </row>
    <row r="41" spans="1:34" ht="15.750000" customHeight="1">
      <c r="B41" s="166"/>
      <c r="H41" s="461"/>
      <c r="I41" s="165"/>
      <c r="J41" s="447"/>
      <c r="K41" s="165"/>
      <c r="L41" s="447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6"/>
      <c r="AA41" s="166"/>
      <c r="AB41" s="166"/>
      <c r="AC41" s="166"/>
      <c r="AD41" s="166"/>
      <c r="AE41" s="166"/>
      <c r="AF41" s="166"/>
      <c r="AG41" s="166"/>
      <c r="AH41" s="166"/>
    </row>
    <row r="42" spans="1:34" ht="15.750000" customHeight="1">
      <c r="A42" s="156" t="s">
        <v>116</v>
      </c>
      <c r="B42" s="88"/>
      <c r="C42" s="241"/>
      <c r="D42" s="241"/>
      <c r="E42" s="158">
        <f>F42*120%</f>
        <v>0</v>
      </c>
      <c r="F42" s="158">
        <f>(D42-C42+1)*G42</f>
        <v>0</v>
      </c>
      <c r="G42" s="159">
        <f>M42*40</f>
        <v>0</v>
      </c>
      <c r="H42" s="277"/>
      <c r="I42" s="65"/>
      <c r="J42" s="277"/>
      <c r="K42" s="65"/>
      <c r="L42" s="462"/>
      <c r="M42" s="231"/>
      <c r="N42" s="163"/>
      <c r="O42" s="65"/>
      <c r="P42" s="65"/>
      <c r="Q42" s="13"/>
      <c r="R42" s="13"/>
      <c r="S42" s="165"/>
      <c r="T42" s="165"/>
      <c r="U42" s="165"/>
      <c r="V42" s="165"/>
      <c r="W42" s="165"/>
      <c r="X42" s="165"/>
      <c r="Y42" s="165"/>
      <c r="Z42" s="166"/>
      <c r="AA42" s="166"/>
      <c r="AB42" s="166"/>
      <c r="AC42" s="166"/>
      <c r="AD42" s="166"/>
      <c r="AE42" s="166"/>
      <c r="AF42" s="166"/>
      <c r="AG42" s="166"/>
      <c r="AH42" s="166"/>
    </row>
    <row r="43" spans="1:34" ht="15.750000" customHeight="1">
      <c r="B43" s="166"/>
      <c r="H43" s="447"/>
      <c r="I43" s="165"/>
      <c r="J43" s="447"/>
      <c r="K43" s="165"/>
      <c r="L43" s="447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6"/>
      <c r="AA43" s="166"/>
      <c r="AB43" s="166"/>
      <c r="AC43" s="166"/>
      <c r="AD43" s="166"/>
      <c r="AE43" s="166"/>
      <c r="AF43" s="166"/>
      <c r="AG43" s="166"/>
      <c r="AH43" s="166"/>
    </row>
    <row r="44" spans="1:34" ht="15.750000" customHeight="1">
      <c r="B44" s="166"/>
      <c r="H44" s="447"/>
      <c r="I44" s="165"/>
      <c r="J44" s="447"/>
      <c r="K44" s="165"/>
      <c r="L44" s="447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6"/>
      <c r="AA44" s="166"/>
      <c r="AB44" s="166"/>
      <c r="AC44" s="166"/>
      <c r="AD44" s="166"/>
      <c r="AE44" s="166"/>
      <c r="AF44" s="166"/>
      <c r="AG44" s="166"/>
      <c r="AH44" s="166"/>
    </row>
    <row r="45" spans="1:34" ht="15.750000" customHeight="1">
      <c r="B45" s="166"/>
      <c r="H45" s="447"/>
      <c r="I45" s="165"/>
      <c r="J45" s="447"/>
      <c r="K45" s="165"/>
      <c r="L45" s="447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6"/>
      <c r="AA45" s="166"/>
      <c r="AB45" s="166"/>
      <c r="AC45" s="166"/>
      <c r="AD45" s="166"/>
      <c r="AE45" s="166"/>
      <c r="AF45" s="166"/>
      <c r="AG45" s="166"/>
      <c r="AH45" s="166"/>
    </row>
    <row r="46" spans="1:34" ht="15.750000" customHeight="1">
      <c r="B46" s="166"/>
      <c r="H46" s="461"/>
      <c r="I46" s="165"/>
      <c r="J46" s="447"/>
      <c r="K46" s="165"/>
      <c r="L46" s="447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6"/>
      <c r="AA46" s="166"/>
      <c r="AB46" s="166"/>
      <c r="AC46" s="166"/>
      <c r="AD46" s="166"/>
      <c r="AE46" s="166"/>
      <c r="AF46" s="166"/>
      <c r="AG46" s="166"/>
      <c r="AH46" s="166"/>
    </row>
    <row r="47" spans="1:34" ht="15.750000" customHeight="1">
      <c r="A47" s="156" t="s">
        <v>116</v>
      </c>
      <c r="B47" s="88"/>
      <c r="C47" s="241"/>
      <c r="D47" s="241"/>
      <c r="E47" s="158">
        <f>F47*120%</f>
        <v>0</v>
      </c>
      <c r="F47" s="158">
        <f>(D47-C47+1)*G47</f>
        <v>0</v>
      </c>
      <c r="G47" s="159">
        <f>M47*40</f>
        <v>0</v>
      </c>
      <c r="H47" s="277"/>
      <c r="I47" s="65"/>
      <c r="J47" s="277"/>
      <c r="K47" s="65"/>
      <c r="L47" s="462"/>
      <c r="M47" s="231"/>
      <c r="N47" s="163"/>
      <c r="O47" s="65"/>
      <c r="P47" s="65"/>
      <c r="Q47" s="13"/>
      <c r="R47" s="13"/>
      <c r="S47" s="165"/>
      <c r="T47" s="165"/>
      <c r="U47" s="165"/>
      <c r="V47" s="165"/>
      <c r="W47" s="165"/>
      <c r="X47" s="165"/>
      <c r="Y47" s="165"/>
      <c r="Z47" s="166"/>
      <c r="AA47" s="166"/>
      <c r="AB47" s="166"/>
      <c r="AC47" s="166"/>
      <c r="AD47" s="166"/>
      <c r="AE47" s="166"/>
      <c r="AF47" s="166"/>
      <c r="AG47" s="166"/>
      <c r="AH47" s="166"/>
    </row>
    <row r="48" spans="1:34" ht="15.750000" customHeight="1">
      <c r="B48" s="166"/>
      <c r="H48" s="447"/>
      <c r="I48" s="165"/>
      <c r="J48" s="447"/>
      <c r="K48" s="165"/>
      <c r="L48" s="447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6"/>
      <c r="AA48" s="166"/>
      <c r="AB48" s="166"/>
      <c r="AC48" s="166"/>
      <c r="AD48" s="166"/>
      <c r="AE48" s="166"/>
      <c r="AF48" s="166"/>
      <c r="AG48" s="166"/>
      <c r="AH48" s="166"/>
    </row>
    <row r="49" spans="1:34" ht="15.750000" customHeight="1">
      <c r="B49" s="166"/>
      <c r="H49" s="447"/>
      <c r="I49" s="165"/>
      <c r="J49" s="447"/>
      <c r="K49" s="165"/>
      <c r="L49" s="447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6"/>
      <c r="AA49" s="166"/>
      <c r="AB49" s="166"/>
      <c r="AC49" s="166"/>
      <c r="AD49" s="166"/>
      <c r="AE49" s="166"/>
      <c r="AF49" s="166"/>
      <c r="AG49" s="166"/>
      <c r="AH49" s="166"/>
    </row>
    <row r="50" spans="1:34" ht="15.750000" customHeight="1">
      <c r="B50" s="166"/>
      <c r="H50" s="447"/>
      <c r="I50" s="165"/>
      <c r="J50" s="447"/>
      <c r="K50" s="165"/>
      <c r="L50" s="447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6"/>
      <c r="AA50" s="166"/>
      <c r="AB50" s="166"/>
      <c r="AC50" s="166"/>
      <c r="AD50" s="166"/>
      <c r="AE50" s="166"/>
      <c r="AF50" s="166"/>
      <c r="AG50" s="166"/>
      <c r="AH50" s="166"/>
    </row>
    <row r="51" spans="1:34" ht="15.750000" customHeight="1">
      <c r="B51" s="166"/>
      <c r="H51" s="461"/>
      <c r="I51" s="165"/>
      <c r="J51" s="447"/>
      <c r="K51" s="165"/>
      <c r="L51" s="447"/>
      <c r="O51" s="165"/>
      <c r="P51" s="165"/>
      <c r="Q51" s="165"/>
      <c r="R51" s="13"/>
      <c r="S51" s="165"/>
      <c r="T51" s="165"/>
      <c r="U51" s="165"/>
      <c r="V51" s="165"/>
      <c r="W51" s="165"/>
      <c r="X51" s="165"/>
      <c r="Y51" s="165"/>
      <c r="Z51" s="166"/>
      <c r="AA51" s="166"/>
      <c r="AB51" s="166"/>
      <c r="AC51" s="166"/>
      <c r="AD51" s="166"/>
      <c r="AE51" s="166"/>
      <c r="AF51" s="166"/>
      <c r="AG51" s="166"/>
      <c r="AH51" s="166"/>
    </row>
    <row r="52" spans="1:34" ht="15.750000" customHeight="1">
      <c r="A52" s="156" t="s">
        <v>116</v>
      </c>
      <c r="B52" s="88"/>
      <c r="C52" s="241"/>
      <c r="D52" s="241"/>
      <c r="E52" s="158">
        <f>F52*120%</f>
        <v>0</v>
      </c>
      <c r="F52" s="158">
        <f>(D52-C52+1)*G52</f>
        <v>0</v>
      </c>
      <c r="G52" s="159">
        <f>M52*40</f>
        <v>0</v>
      </c>
      <c r="H52" s="463"/>
      <c r="I52" s="65"/>
      <c r="J52" s="277"/>
      <c r="K52" s="65"/>
      <c r="L52" s="277"/>
      <c r="M52" s="231"/>
      <c r="N52" s="163"/>
      <c r="O52" s="13"/>
      <c r="P52" s="13"/>
      <c r="Q52" s="13"/>
      <c r="R52" s="13"/>
      <c r="S52" s="165"/>
      <c r="T52" s="165"/>
      <c r="U52" s="165"/>
      <c r="V52" s="165"/>
      <c r="W52" s="165"/>
      <c r="X52" s="165"/>
      <c r="Y52" s="165"/>
      <c r="Z52" s="166"/>
      <c r="AA52" s="166"/>
      <c r="AB52" s="166"/>
      <c r="AC52" s="166"/>
      <c r="AD52" s="166"/>
      <c r="AE52" s="166"/>
      <c r="AF52" s="166"/>
      <c r="AG52" s="166"/>
      <c r="AH52" s="166"/>
    </row>
    <row r="53" spans="1:34" ht="15.750000" customHeight="1">
      <c r="B53" s="88"/>
      <c r="H53" s="447"/>
      <c r="I53" s="65"/>
      <c r="J53" s="277"/>
      <c r="K53" s="65"/>
      <c r="L53" s="277"/>
      <c r="O53" s="13"/>
      <c r="P53" s="13"/>
      <c r="Q53" s="13"/>
      <c r="R53" s="13"/>
      <c r="S53" s="165"/>
      <c r="T53" s="165"/>
      <c r="U53" s="165"/>
      <c r="V53" s="165"/>
      <c r="W53" s="165"/>
      <c r="X53" s="165"/>
      <c r="Y53" s="165"/>
      <c r="Z53" s="166"/>
      <c r="AA53" s="166"/>
      <c r="AB53" s="166"/>
      <c r="AC53" s="166"/>
      <c r="AD53" s="166"/>
      <c r="AE53" s="166"/>
      <c r="AF53" s="166"/>
      <c r="AG53" s="166"/>
      <c r="AH53" s="166"/>
    </row>
    <row r="54" spans="1:34" ht="15.750000" customHeight="1">
      <c r="B54" s="88"/>
      <c r="H54" s="447"/>
      <c r="I54" s="65"/>
      <c r="J54" s="277"/>
      <c r="K54" s="188"/>
      <c r="L54" s="277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6"/>
      <c r="AA54" s="166"/>
      <c r="AB54" s="166"/>
      <c r="AC54" s="166"/>
      <c r="AD54" s="166"/>
      <c r="AE54" s="166"/>
      <c r="AF54" s="166"/>
      <c r="AG54" s="166"/>
      <c r="AH54" s="166"/>
    </row>
    <row r="55" spans="1:34" ht="15.750000" customHeight="1">
      <c r="B55" s="166"/>
      <c r="H55" s="277"/>
      <c r="I55" s="65"/>
      <c r="J55" s="277"/>
      <c r="K55" s="65"/>
      <c r="L55" s="277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6"/>
      <c r="AA55" s="166"/>
      <c r="AB55" s="166"/>
      <c r="AC55" s="166"/>
      <c r="AD55" s="166"/>
      <c r="AE55" s="166"/>
      <c r="AF55" s="166"/>
      <c r="AG55" s="166"/>
      <c r="AH55" s="166"/>
    </row>
    <row r="56" spans="1:34" ht="15.750000" customHeight="1">
      <c r="B56" s="166"/>
      <c r="H56" s="460"/>
      <c r="I56" s="65"/>
      <c r="J56" s="277"/>
      <c r="K56" s="65"/>
      <c r="L56" s="277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6"/>
      <c r="AA56" s="166"/>
      <c r="AB56" s="166"/>
      <c r="AC56" s="166"/>
      <c r="AD56" s="166"/>
      <c r="AE56" s="166"/>
      <c r="AF56" s="166"/>
      <c r="AG56" s="166"/>
      <c r="AH56" s="166"/>
    </row>
    <row r="57" spans="1:34" ht="15.750000" customHeight="1">
      <c r="A57" s="156" t="s">
        <v>116</v>
      </c>
      <c r="B57" s="88"/>
      <c r="C57" s="241"/>
      <c r="D57" s="241"/>
      <c r="E57" s="158">
        <f>F57*120%</f>
        <v>0</v>
      </c>
      <c r="F57" s="158">
        <f>(D57-C57+1)*G57</f>
        <v>0</v>
      </c>
      <c r="G57" s="159">
        <f>M57*40</f>
        <v>0</v>
      </c>
      <c r="H57" s="277"/>
      <c r="I57" s="65"/>
      <c r="J57" s="277"/>
      <c r="K57" s="65"/>
      <c r="L57" s="277"/>
      <c r="M57" s="231"/>
      <c r="N57" s="163"/>
      <c r="O57" s="13"/>
      <c r="P57" s="13"/>
      <c r="Q57" s="13"/>
      <c r="R57" s="13"/>
      <c r="S57" s="165"/>
      <c r="T57" s="165"/>
      <c r="U57" s="165"/>
      <c r="V57" s="165"/>
      <c r="W57" s="165"/>
      <c r="X57" s="165"/>
      <c r="Y57" s="165"/>
      <c r="Z57" s="166"/>
      <c r="AA57" s="166"/>
      <c r="AB57" s="166"/>
      <c r="AC57" s="166"/>
      <c r="AD57" s="166"/>
      <c r="AE57" s="166"/>
      <c r="AF57" s="166"/>
      <c r="AG57" s="166"/>
      <c r="AH57" s="166"/>
    </row>
    <row r="58" spans="1:34" ht="15.750000" customHeight="1">
      <c r="B58" s="88"/>
      <c r="H58" s="447"/>
      <c r="I58" s="65"/>
      <c r="J58" s="277"/>
      <c r="K58" s="188"/>
      <c r="L58" s="277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6"/>
      <c r="AA58" s="166"/>
      <c r="AB58" s="166"/>
      <c r="AC58" s="166"/>
      <c r="AD58" s="166"/>
      <c r="AE58" s="166"/>
      <c r="AF58" s="166"/>
      <c r="AG58" s="166"/>
      <c r="AH58" s="166"/>
    </row>
    <row r="59" spans="1:34" ht="15.750000" customHeight="1">
      <c r="B59" s="88"/>
      <c r="H59" s="447"/>
      <c r="I59" s="65"/>
      <c r="J59" s="277"/>
      <c r="K59" s="188"/>
      <c r="L59" s="277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6"/>
      <c r="AA59" s="166"/>
      <c r="AB59" s="166"/>
      <c r="AC59" s="166"/>
      <c r="AD59" s="166"/>
      <c r="AE59" s="166"/>
      <c r="AF59" s="166"/>
      <c r="AG59" s="166"/>
      <c r="AH59" s="166"/>
    </row>
    <row r="60" spans="1:34" ht="15.750000" customHeight="1">
      <c r="B60" s="166"/>
      <c r="H60" s="277"/>
      <c r="I60" s="65"/>
      <c r="J60" s="277"/>
      <c r="K60" s="65"/>
      <c r="L60" s="277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6"/>
      <c r="AA60" s="166"/>
      <c r="AB60" s="166"/>
      <c r="AC60" s="166"/>
      <c r="AD60" s="166"/>
      <c r="AE60" s="166"/>
      <c r="AF60" s="166"/>
      <c r="AG60" s="166"/>
      <c r="AH60" s="166"/>
    </row>
    <row r="61" spans="1:34" ht="15.750000" customHeight="1">
      <c r="B61" s="166"/>
      <c r="H61" s="460"/>
      <c r="I61" s="65"/>
      <c r="J61" s="277"/>
      <c r="K61" s="65"/>
      <c r="L61" s="277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6"/>
      <c r="AA61" s="166"/>
      <c r="AB61" s="166"/>
      <c r="AC61" s="166"/>
      <c r="AD61" s="166"/>
      <c r="AE61" s="166"/>
      <c r="AF61" s="166"/>
      <c r="AG61" s="166"/>
      <c r="AH61" s="166"/>
    </row>
    <row r="62" spans="1:34" ht="15.750000" customHeight="1">
      <c r="A62" s="156" t="s">
        <v>116</v>
      </c>
      <c r="B62" s="88"/>
      <c r="C62" s="241"/>
      <c r="D62" s="241"/>
      <c r="E62" s="158">
        <f>F62*120%</f>
        <v>0</v>
      </c>
      <c r="F62" s="158">
        <f>(D62-C62+1)*G62</f>
        <v>0</v>
      </c>
      <c r="G62" s="159">
        <f>M62*40</f>
        <v>0</v>
      </c>
      <c r="H62" s="277"/>
      <c r="I62" s="65"/>
      <c r="J62" s="277"/>
      <c r="K62" s="65"/>
      <c r="L62" s="277"/>
      <c r="M62" s="231"/>
      <c r="N62" s="163"/>
      <c r="O62" s="13"/>
      <c r="P62" s="13"/>
      <c r="Q62" s="13"/>
      <c r="R62" s="13"/>
      <c r="S62" s="165"/>
      <c r="T62" s="165"/>
      <c r="U62" s="165"/>
      <c r="V62" s="165"/>
      <c r="W62" s="165"/>
      <c r="X62" s="165"/>
      <c r="Y62" s="165"/>
      <c r="Z62" s="166"/>
      <c r="AA62" s="166"/>
      <c r="AB62" s="166"/>
      <c r="AC62" s="166"/>
      <c r="AD62" s="166"/>
      <c r="AE62" s="166"/>
      <c r="AF62" s="166"/>
      <c r="AG62" s="166"/>
      <c r="AH62" s="166"/>
    </row>
    <row r="63" spans="1:34" ht="15.750000" customHeight="1">
      <c r="B63" s="88"/>
      <c r="H63" s="447"/>
      <c r="I63" s="65"/>
      <c r="J63" s="277"/>
      <c r="K63" s="188"/>
      <c r="L63" s="277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6"/>
      <c r="AA63" s="166"/>
      <c r="AB63" s="166"/>
      <c r="AC63" s="166"/>
      <c r="AD63" s="166"/>
      <c r="AE63" s="166"/>
      <c r="AF63" s="166"/>
      <c r="AG63" s="166"/>
      <c r="AH63" s="166"/>
    </row>
    <row r="64" spans="1:34" ht="15.750000" customHeight="1">
      <c r="B64" s="88"/>
      <c r="H64" s="447"/>
      <c r="I64" s="65"/>
      <c r="J64" s="277"/>
      <c r="K64" s="188"/>
      <c r="L64" s="277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6"/>
      <c r="AA64" s="166"/>
      <c r="AB64" s="166"/>
      <c r="AC64" s="166"/>
      <c r="AD64" s="166"/>
      <c r="AE64" s="166"/>
      <c r="AF64" s="166"/>
      <c r="AG64" s="166"/>
      <c r="AH64" s="166"/>
    </row>
    <row r="65" spans="1:34" ht="15.750000" customHeight="1">
      <c r="B65" s="166"/>
      <c r="H65" s="277"/>
      <c r="I65" s="65"/>
      <c r="J65" s="277"/>
      <c r="K65" s="65"/>
      <c r="L65" s="277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6"/>
      <c r="AA65" s="166"/>
      <c r="AB65" s="166"/>
      <c r="AC65" s="166"/>
      <c r="AD65" s="166"/>
      <c r="AE65" s="166"/>
      <c r="AF65" s="166"/>
      <c r="AG65" s="166"/>
      <c r="AH65" s="166"/>
    </row>
    <row r="66" spans="1:34" ht="15.750000" customHeight="1">
      <c r="B66" s="166"/>
      <c r="H66" s="460"/>
      <c r="I66" s="65"/>
      <c r="J66" s="277"/>
      <c r="K66" s="65"/>
      <c r="L66" s="277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6"/>
      <c r="AA66" s="166"/>
      <c r="AB66" s="166"/>
      <c r="AC66" s="166"/>
      <c r="AD66" s="166"/>
      <c r="AE66" s="166"/>
      <c r="AF66" s="166"/>
      <c r="AG66" s="166"/>
      <c r="AH66" s="166"/>
    </row>
    <row r="67" spans="1:34" ht="15.750000" customHeight="1">
      <c r="A67" s="156" t="s">
        <v>116</v>
      </c>
      <c r="B67" s="88"/>
      <c r="C67" s="241"/>
      <c r="D67" s="241"/>
      <c r="E67" s="158">
        <f>F67*120%</f>
        <v>0</v>
      </c>
      <c r="F67" s="158">
        <f>(D67-C67+1)*G67</f>
        <v>0</v>
      </c>
      <c r="G67" s="159">
        <f>M67*40</f>
        <v>0</v>
      </c>
      <c r="H67" s="277"/>
      <c r="I67" s="65"/>
      <c r="J67" s="277"/>
      <c r="K67" s="65"/>
      <c r="L67" s="277"/>
      <c r="M67" s="231"/>
      <c r="N67" s="163"/>
      <c r="O67" s="13"/>
      <c r="P67" s="13"/>
      <c r="Q67" s="13"/>
      <c r="R67" s="13"/>
      <c r="S67" s="165"/>
      <c r="T67" s="165"/>
      <c r="U67" s="165"/>
      <c r="V67" s="165"/>
      <c r="W67" s="165"/>
      <c r="X67" s="165"/>
      <c r="Y67" s="165"/>
      <c r="Z67" s="166"/>
      <c r="AA67" s="166"/>
      <c r="AB67" s="166"/>
      <c r="AC67" s="166"/>
      <c r="AD67" s="166"/>
      <c r="AE67" s="166"/>
      <c r="AF67" s="166"/>
      <c r="AG67" s="166"/>
      <c r="AH67" s="166"/>
    </row>
    <row r="68" spans="1:34" ht="15.750000" customHeight="1">
      <c r="B68" s="88"/>
      <c r="H68" s="447"/>
      <c r="I68" s="65"/>
      <c r="J68" s="277"/>
      <c r="K68" s="188"/>
      <c r="L68" s="277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6"/>
      <c r="AA68" s="166"/>
      <c r="AB68" s="166"/>
      <c r="AC68" s="166"/>
      <c r="AD68" s="166"/>
      <c r="AE68" s="166"/>
      <c r="AF68" s="166"/>
      <c r="AG68" s="166"/>
      <c r="AH68" s="166"/>
    </row>
    <row r="69" spans="1:34" ht="15.750000" customHeight="1">
      <c r="B69" s="88"/>
      <c r="H69" s="447"/>
      <c r="I69" s="65"/>
      <c r="J69" s="277"/>
      <c r="K69" s="188"/>
      <c r="L69" s="277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6"/>
      <c r="AA69" s="166"/>
      <c r="AB69" s="166"/>
      <c r="AC69" s="166"/>
      <c r="AD69" s="166"/>
      <c r="AE69" s="166"/>
      <c r="AF69" s="166"/>
      <c r="AG69" s="166"/>
      <c r="AH69" s="166"/>
    </row>
    <row r="70" spans="1:34" ht="15.750000" customHeight="1">
      <c r="B70" s="166"/>
      <c r="H70" s="277"/>
      <c r="I70" s="65"/>
      <c r="J70" s="277"/>
      <c r="K70" s="65"/>
      <c r="L70" s="277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6"/>
      <c r="AA70" s="166"/>
      <c r="AB70" s="166"/>
      <c r="AC70" s="166"/>
      <c r="AD70" s="166"/>
      <c r="AE70" s="166"/>
      <c r="AF70" s="166"/>
      <c r="AG70" s="166"/>
      <c r="AH70" s="166"/>
    </row>
    <row r="71" spans="1:34" ht="15.750000" customHeight="1">
      <c r="B71" s="166"/>
      <c r="H71" s="460"/>
      <c r="I71" s="65"/>
      <c r="J71" s="277"/>
      <c r="K71" s="65"/>
      <c r="L71" s="277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6"/>
      <c r="AA71" s="166"/>
      <c r="AB71" s="166"/>
      <c r="AC71" s="166"/>
      <c r="AD71" s="166"/>
      <c r="AE71" s="166"/>
      <c r="AF71" s="166"/>
      <c r="AG71" s="166"/>
      <c r="AH71" s="166"/>
    </row>
    <row r="72" spans="1:34" ht="15.750000" customHeight="1">
      <c r="A72" s="156" t="s">
        <v>116</v>
      </c>
      <c r="B72" s="88"/>
      <c r="C72" s="241"/>
      <c r="D72" s="241"/>
      <c r="E72" s="158">
        <f>F72*120%</f>
        <v>0</v>
      </c>
      <c r="F72" s="158">
        <f>(D72-C72+1)*G72</f>
        <v>0</v>
      </c>
      <c r="G72" s="159">
        <f>M72*40</f>
        <v>0</v>
      </c>
      <c r="H72" s="277"/>
      <c r="I72" s="65"/>
      <c r="J72" s="277"/>
      <c r="K72" s="65"/>
      <c r="L72" s="464"/>
      <c r="M72" s="231"/>
      <c r="N72" s="163"/>
      <c r="O72" s="13"/>
      <c r="P72" s="13"/>
      <c r="Q72" s="13"/>
      <c r="R72" s="13"/>
      <c r="S72" s="165"/>
      <c r="T72" s="165"/>
      <c r="U72" s="165"/>
      <c r="V72" s="165"/>
      <c r="W72" s="165"/>
      <c r="X72" s="165"/>
      <c r="Y72" s="165"/>
      <c r="Z72" s="166"/>
      <c r="AA72" s="166"/>
      <c r="AB72" s="166"/>
      <c r="AC72" s="166"/>
      <c r="AD72" s="166"/>
      <c r="AE72" s="166"/>
      <c r="AF72" s="166"/>
      <c r="AG72" s="166"/>
      <c r="AH72" s="166"/>
    </row>
    <row r="73" spans="1:34" ht="15.750000" customHeight="1">
      <c r="B73" s="88"/>
      <c r="H73" s="447"/>
      <c r="I73" s="65"/>
      <c r="J73" s="277"/>
      <c r="K73" s="188"/>
      <c r="L73" s="277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6"/>
      <c r="AA73" s="166"/>
      <c r="AB73" s="166"/>
      <c r="AC73" s="166"/>
      <c r="AD73" s="166"/>
      <c r="AE73" s="166"/>
      <c r="AF73" s="166"/>
      <c r="AG73" s="166"/>
      <c r="AH73" s="166"/>
    </row>
    <row r="74" spans="1:34" ht="15.750000" customHeight="1">
      <c r="B74" s="88"/>
      <c r="H74" s="447"/>
      <c r="I74" s="65"/>
      <c r="J74" s="277"/>
      <c r="K74" s="188"/>
      <c r="L74" s="277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6"/>
      <c r="AA74" s="166"/>
      <c r="AB74" s="166"/>
      <c r="AC74" s="166"/>
      <c r="AD74" s="166"/>
      <c r="AE74" s="166"/>
      <c r="AF74" s="166"/>
      <c r="AG74" s="166"/>
      <c r="AH74" s="166"/>
    </row>
    <row r="75" spans="1:34" ht="15.750000" customHeight="1">
      <c r="B75" s="166"/>
      <c r="H75" s="277"/>
      <c r="I75" s="65"/>
      <c r="J75" s="277"/>
      <c r="K75" s="65"/>
      <c r="L75" s="277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6"/>
      <c r="AA75" s="166"/>
      <c r="AB75" s="166"/>
      <c r="AC75" s="166"/>
      <c r="AD75" s="166"/>
      <c r="AE75" s="166"/>
      <c r="AF75" s="166"/>
      <c r="AG75" s="166"/>
      <c r="AH75" s="166"/>
    </row>
    <row r="76" spans="1:34" ht="15.750000" customHeight="1">
      <c r="B76" s="166"/>
      <c r="H76" s="460"/>
      <c r="I76" s="65"/>
      <c r="J76" s="277"/>
      <c r="K76" s="65"/>
      <c r="L76" s="277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6"/>
      <c r="AA76" s="166"/>
      <c r="AB76" s="166"/>
      <c r="AC76" s="166"/>
      <c r="AD76" s="166"/>
      <c r="AE76" s="166"/>
      <c r="AF76" s="166"/>
      <c r="AG76" s="166"/>
      <c r="AH76" s="166"/>
    </row>
    <row r="77" spans="1:34" ht="15.750000" customHeight="1">
      <c r="A77" s="156" t="s">
        <v>116</v>
      </c>
      <c r="B77" s="88"/>
      <c r="C77" s="241"/>
      <c r="D77" s="241"/>
      <c r="E77" s="158">
        <f>F77*120%</f>
        <v>0</v>
      </c>
      <c r="F77" s="158">
        <f>(D77-C77+1)*G77</f>
        <v>0</v>
      </c>
      <c r="G77" s="159">
        <f>M77*40</f>
        <v>0</v>
      </c>
      <c r="H77" s="277"/>
      <c r="I77" s="65"/>
      <c r="J77" s="277"/>
      <c r="K77" s="65"/>
      <c r="L77" s="277"/>
      <c r="M77" s="231"/>
      <c r="N77" s="163"/>
      <c r="O77" s="13"/>
      <c r="P77" s="13"/>
      <c r="Q77" s="13"/>
      <c r="R77" s="13"/>
      <c r="S77" s="165"/>
      <c r="T77" s="165"/>
      <c r="U77" s="165"/>
      <c r="V77" s="165"/>
      <c r="W77" s="165"/>
      <c r="X77" s="165"/>
      <c r="Y77" s="165"/>
      <c r="Z77" s="166"/>
      <c r="AA77" s="166"/>
      <c r="AB77" s="166"/>
      <c r="AC77" s="166"/>
      <c r="AD77" s="166"/>
      <c r="AE77" s="166"/>
      <c r="AF77" s="166"/>
      <c r="AG77" s="166"/>
      <c r="AH77" s="166"/>
    </row>
    <row r="78" spans="1:34" ht="15.750000" customHeight="1">
      <c r="B78" s="88"/>
      <c r="H78" s="447"/>
      <c r="I78" s="65"/>
      <c r="J78" s="277"/>
      <c r="K78" s="188"/>
      <c r="L78" s="277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6"/>
      <c r="AA78" s="166"/>
      <c r="AB78" s="166"/>
      <c r="AC78" s="166"/>
      <c r="AD78" s="166"/>
      <c r="AE78" s="166"/>
      <c r="AF78" s="166"/>
      <c r="AG78" s="166"/>
      <c r="AH78" s="166"/>
    </row>
    <row r="79" spans="1:34" ht="15.750000" customHeight="1">
      <c r="B79" s="88"/>
      <c r="H79" s="447"/>
      <c r="I79" s="65"/>
      <c r="J79" s="277"/>
      <c r="K79" s="188"/>
      <c r="L79" s="277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6"/>
      <c r="AA79" s="166"/>
      <c r="AB79" s="166"/>
      <c r="AC79" s="166"/>
      <c r="AD79" s="166"/>
      <c r="AE79" s="166"/>
      <c r="AF79" s="166"/>
      <c r="AG79" s="166"/>
      <c r="AH79" s="166"/>
    </row>
    <row r="80" spans="1:34" ht="15.750000" customHeight="1">
      <c r="B80" s="166"/>
      <c r="H80" s="277"/>
      <c r="I80" s="65"/>
      <c r="J80" s="277"/>
      <c r="K80" s="65"/>
      <c r="L80" s="277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6"/>
      <c r="AA80" s="166"/>
      <c r="AB80" s="166"/>
      <c r="AC80" s="166"/>
      <c r="AD80" s="166"/>
      <c r="AE80" s="166"/>
      <c r="AF80" s="166"/>
      <c r="AG80" s="166"/>
      <c r="AH80" s="166"/>
    </row>
    <row r="81" spans="1:34" ht="15.750000" customHeight="1">
      <c r="B81" s="166"/>
      <c r="H81" s="460"/>
      <c r="I81" s="65"/>
      <c r="J81" s="277"/>
      <c r="K81" s="65"/>
      <c r="L81" s="277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6"/>
      <c r="AA81" s="166"/>
      <c r="AB81" s="166"/>
      <c r="AC81" s="166"/>
      <c r="AD81" s="166"/>
      <c r="AE81" s="166"/>
      <c r="AF81" s="166"/>
      <c r="AG81" s="166"/>
      <c r="AH81" s="166"/>
    </row>
    <row r="82" spans="1:34" ht="15.750000" customHeight="1">
      <c r="A82" s="156" t="s">
        <v>116</v>
      </c>
      <c r="B82" s="88"/>
      <c r="C82" s="241"/>
      <c r="D82" s="241"/>
      <c r="E82" s="158">
        <f>F82*120%</f>
        <v>0</v>
      </c>
      <c r="F82" s="158">
        <f>(D82-C82+1)*G82</f>
        <v>0</v>
      </c>
      <c r="G82" s="159">
        <f>M82*40</f>
        <v>0</v>
      </c>
      <c r="H82" s="277"/>
      <c r="I82" s="65"/>
      <c r="J82" s="277"/>
      <c r="K82" s="65"/>
      <c r="L82" s="277"/>
      <c r="M82" s="231"/>
      <c r="N82" s="163"/>
      <c r="O82" s="13"/>
      <c r="P82" s="13"/>
      <c r="Q82" s="13"/>
      <c r="R82" s="13"/>
      <c r="S82" s="165"/>
      <c r="T82" s="165"/>
      <c r="U82" s="165"/>
      <c r="V82" s="165"/>
      <c r="W82" s="165"/>
      <c r="X82" s="165"/>
      <c r="Y82" s="165"/>
      <c r="Z82" s="166"/>
      <c r="AA82" s="166"/>
      <c r="AB82" s="166"/>
      <c r="AC82" s="166"/>
      <c r="AD82" s="166"/>
      <c r="AE82" s="166"/>
      <c r="AF82" s="166"/>
      <c r="AG82" s="166"/>
      <c r="AH82" s="166"/>
    </row>
    <row r="83" spans="1:34" ht="15.750000" customHeight="1">
      <c r="B83" s="88"/>
      <c r="H83" s="447"/>
      <c r="I83" s="65"/>
      <c r="J83" s="277"/>
      <c r="K83" s="188"/>
      <c r="L83" s="277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6"/>
      <c r="AA83" s="166"/>
      <c r="AB83" s="166"/>
      <c r="AC83" s="166"/>
      <c r="AD83" s="166"/>
      <c r="AE83" s="166"/>
      <c r="AF83" s="166"/>
      <c r="AG83" s="166"/>
      <c r="AH83" s="166"/>
    </row>
    <row r="84" spans="1:34" ht="15.750000" customHeight="1">
      <c r="B84" s="88"/>
      <c r="H84" s="447"/>
      <c r="I84" s="65"/>
      <c r="J84" s="277"/>
      <c r="K84" s="188"/>
      <c r="L84" s="277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6"/>
      <c r="AA84" s="166"/>
      <c r="AB84" s="166"/>
      <c r="AC84" s="166"/>
      <c r="AD84" s="166"/>
      <c r="AE84" s="166"/>
      <c r="AF84" s="166"/>
      <c r="AG84" s="166"/>
      <c r="AH84" s="166"/>
    </row>
    <row r="85" spans="1:34" ht="15.750000" customHeight="1">
      <c r="B85" s="166"/>
      <c r="H85" s="277"/>
      <c r="I85" s="65"/>
      <c r="J85" s="277"/>
      <c r="K85" s="65"/>
      <c r="L85" s="277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6"/>
      <c r="AA85" s="166"/>
      <c r="AB85" s="166"/>
      <c r="AC85" s="166"/>
      <c r="AD85" s="166"/>
      <c r="AE85" s="166"/>
      <c r="AF85" s="166"/>
      <c r="AG85" s="166"/>
      <c r="AH85" s="166"/>
    </row>
    <row r="86" spans="1:34" ht="15.750000" customHeight="1">
      <c r="B86" s="166"/>
      <c r="H86" s="460"/>
      <c r="I86" s="65"/>
      <c r="J86" s="277"/>
      <c r="K86" s="65"/>
      <c r="L86" s="277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6"/>
      <c r="AA86" s="166"/>
      <c r="AB86" s="166"/>
      <c r="AC86" s="166"/>
      <c r="AD86" s="166"/>
      <c r="AE86" s="166"/>
      <c r="AF86" s="166"/>
      <c r="AG86" s="166"/>
      <c r="AH86" s="166"/>
    </row>
    <row r="87" spans="1:34" ht="15.750000" customHeight="1">
      <c r="A87" s="156" t="s">
        <v>116</v>
      </c>
      <c r="B87" s="88"/>
      <c r="C87" s="241"/>
      <c r="D87" s="241"/>
      <c r="E87" s="158">
        <f>F87*120%</f>
        <v>0</v>
      </c>
      <c r="F87" s="158">
        <f>(D87-C87+1)*G87</f>
        <v>0</v>
      </c>
      <c r="G87" s="159">
        <f>M87*40</f>
        <v>0</v>
      </c>
      <c r="H87" s="277"/>
      <c r="I87" s="65"/>
      <c r="J87" s="277"/>
      <c r="K87" s="65"/>
      <c r="L87" s="277"/>
      <c r="M87" s="231"/>
      <c r="N87" s="163"/>
      <c r="O87" s="13"/>
      <c r="P87" s="13"/>
      <c r="Q87" s="13"/>
      <c r="R87" s="13"/>
      <c r="S87" s="165"/>
      <c r="T87" s="165"/>
      <c r="U87" s="165"/>
      <c r="V87" s="165"/>
      <c r="W87" s="165"/>
      <c r="X87" s="165"/>
      <c r="Y87" s="165"/>
      <c r="Z87" s="166"/>
      <c r="AA87" s="166"/>
      <c r="AB87" s="166"/>
      <c r="AC87" s="166"/>
      <c r="AD87" s="166"/>
      <c r="AE87" s="166"/>
      <c r="AF87" s="166"/>
      <c r="AG87" s="166"/>
      <c r="AH87" s="166"/>
    </row>
    <row r="88" spans="1:34" ht="15.750000" customHeight="1">
      <c r="B88" s="88"/>
      <c r="H88" s="447"/>
      <c r="I88" s="65"/>
      <c r="J88" s="277"/>
      <c r="K88" s="188"/>
      <c r="L88" s="277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6"/>
      <c r="AA88" s="166"/>
      <c r="AB88" s="166"/>
      <c r="AC88" s="166"/>
      <c r="AD88" s="166"/>
      <c r="AE88" s="166"/>
      <c r="AF88" s="166"/>
      <c r="AG88" s="166"/>
      <c r="AH88" s="166"/>
    </row>
    <row r="89" spans="1:34" ht="15.750000" customHeight="1">
      <c r="B89" s="88"/>
      <c r="H89" s="447"/>
      <c r="I89" s="65"/>
      <c r="J89" s="277"/>
      <c r="K89" s="188"/>
      <c r="L89" s="277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6"/>
      <c r="AA89" s="166"/>
      <c r="AB89" s="166"/>
      <c r="AC89" s="166"/>
      <c r="AD89" s="166"/>
      <c r="AE89" s="166"/>
      <c r="AF89" s="166"/>
      <c r="AG89" s="166"/>
      <c r="AH89" s="166"/>
    </row>
    <row r="90" spans="1:34" ht="15.750000" customHeight="1">
      <c r="B90" s="166"/>
      <c r="H90" s="277"/>
      <c r="I90" s="65"/>
      <c r="J90" s="277"/>
      <c r="K90" s="65"/>
      <c r="L90" s="277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6"/>
      <c r="AA90" s="166"/>
      <c r="AB90" s="166"/>
      <c r="AC90" s="166"/>
      <c r="AD90" s="166"/>
      <c r="AE90" s="166"/>
      <c r="AF90" s="166"/>
      <c r="AG90" s="166"/>
      <c r="AH90" s="166"/>
    </row>
    <row r="91" spans="1:34" ht="15.750000" customHeight="1">
      <c r="B91" s="166"/>
      <c r="H91" s="460"/>
      <c r="I91" s="65"/>
      <c r="J91" s="277"/>
      <c r="K91" s="65"/>
      <c r="L91" s="277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6"/>
      <c r="AA91" s="166"/>
      <c r="AB91" s="166"/>
      <c r="AC91" s="166"/>
      <c r="AD91" s="166"/>
      <c r="AE91" s="166"/>
      <c r="AF91" s="166"/>
      <c r="AG91" s="166"/>
      <c r="AH91" s="166"/>
    </row>
    <row r="92" spans="1:34" ht="15.750000" customHeight="1">
      <c r="A92" s="156" t="s">
        <v>116</v>
      </c>
      <c r="B92" s="88"/>
      <c r="C92" s="240"/>
      <c r="D92" s="240"/>
      <c r="E92" s="158">
        <f>F92*120%</f>
        <v>0</v>
      </c>
      <c r="F92" s="158">
        <f>(D92-C92+1)*G92</f>
        <v>0</v>
      </c>
      <c r="G92" s="159">
        <f>M92*40</f>
        <v>0</v>
      </c>
      <c r="H92" s="277"/>
      <c r="I92" s="65"/>
      <c r="J92" s="277"/>
      <c r="K92" s="188"/>
      <c r="L92" s="277"/>
      <c r="M92" s="231"/>
      <c r="N92" s="163"/>
      <c r="O92" s="13"/>
      <c r="P92" s="13"/>
      <c r="Q92" s="165"/>
      <c r="R92" s="13"/>
      <c r="S92" s="165"/>
      <c r="T92" s="165"/>
      <c r="U92" s="165"/>
      <c r="V92" s="165"/>
      <c r="W92" s="165"/>
      <c r="X92" s="165"/>
      <c r="Y92" s="165"/>
      <c r="Z92" s="166"/>
      <c r="AA92" s="166"/>
      <c r="AB92" s="166"/>
      <c r="AC92" s="166"/>
      <c r="AD92" s="166"/>
      <c r="AE92" s="166"/>
      <c r="AF92" s="166"/>
      <c r="AG92" s="166"/>
      <c r="AH92" s="166"/>
    </row>
    <row r="93" spans="1:34" ht="15.750000" customHeight="1">
      <c r="B93" s="88"/>
      <c r="H93" s="447"/>
      <c r="I93" s="65"/>
      <c r="J93" s="277"/>
      <c r="K93" s="188"/>
      <c r="L93" s="277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6"/>
      <c r="AA93" s="166"/>
      <c r="AB93" s="166"/>
      <c r="AC93" s="166"/>
      <c r="AD93" s="166"/>
      <c r="AE93" s="166"/>
      <c r="AF93" s="166"/>
      <c r="AG93" s="166"/>
      <c r="AH93" s="166"/>
    </row>
    <row r="94" spans="1:34" ht="15.750000" customHeight="1">
      <c r="B94" s="166"/>
      <c r="H94" s="447"/>
      <c r="I94" s="65"/>
      <c r="J94" s="277"/>
      <c r="K94" s="65"/>
      <c r="L94" s="277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6"/>
      <c r="AA94" s="166"/>
      <c r="AB94" s="166"/>
      <c r="AC94" s="166"/>
      <c r="AD94" s="166"/>
      <c r="AE94" s="166"/>
      <c r="AF94" s="166"/>
      <c r="AG94" s="166"/>
      <c r="AH94" s="166"/>
    </row>
    <row r="95" spans="1:34" ht="15.750000" customHeight="1">
      <c r="B95" s="166"/>
      <c r="H95" s="277"/>
      <c r="I95" s="65"/>
      <c r="J95" s="277"/>
      <c r="K95" s="65"/>
      <c r="L95" s="277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6"/>
      <c r="AA95" s="166"/>
      <c r="AB95" s="166"/>
      <c r="AC95" s="166"/>
      <c r="AD95" s="166"/>
      <c r="AE95" s="166"/>
      <c r="AF95" s="166"/>
      <c r="AG95" s="166"/>
      <c r="AH95" s="166"/>
    </row>
    <row r="96" spans="1:34" ht="15.750000" customHeight="1">
      <c r="B96" s="166"/>
      <c r="H96" s="460"/>
      <c r="I96" s="65"/>
      <c r="J96" s="277"/>
      <c r="K96" s="65"/>
      <c r="L96" s="277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6"/>
      <c r="AA96" s="166"/>
      <c r="AB96" s="166"/>
      <c r="AC96" s="166"/>
      <c r="AD96" s="166"/>
      <c r="AE96" s="166"/>
      <c r="AF96" s="166"/>
      <c r="AG96" s="166"/>
      <c r="AH96" s="166"/>
    </row>
    <row r="97" spans="1:34" ht="15.750000" customHeight="1">
      <c r="A97" s="156" t="s">
        <v>116</v>
      </c>
      <c r="B97" s="88"/>
      <c r="C97" s="241"/>
      <c r="D97" s="241"/>
      <c r="E97" s="158">
        <f>F97*120%</f>
        <v>0</v>
      </c>
      <c r="F97" s="158">
        <f>(D97-C97+1)*G97</f>
        <v>0</v>
      </c>
      <c r="G97" s="159">
        <f>M97*40</f>
        <v>0</v>
      </c>
      <c r="H97" s="277"/>
      <c r="I97" s="65"/>
      <c r="J97" s="277"/>
      <c r="K97" s="65"/>
      <c r="L97" s="277"/>
      <c r="M97" s="231"/>
      <c r="N97" s="163"/>
      <c r="O97" s="13"/>
      <c r="P97" s="13"/>
      <c r="Q97" s="13"/>
      <c r="R97" s="13"/>
      <c r="S97" s="165"/>
      <c r="T97" s="165"/>
      <c r="U97" s="165"/>
      <c r="V97" s="165"/>
      <c r="W97" s="165"/>
      <c r="X97" s="165"/>
      <c r="Y97" s="165"/>
      <c r="Z97" s="166"/>
      <c r="AA97" s="166"/>
      <c r="AB97" s="166"/>
      <c r="AC97" s="166"/>
      <c r="AD97" s="166"/>
      <c r="AE97" s="166"/>
      <c r="AF97" s="166"/>
      <c r="AG97" s="166"/>
      <c r="AH97" s="166"/>
    </row>
    <row r="98" spans="1:34" ht="15.750000" customHeight="1">
      <c r="B98" s="88"/>
      <c r="H98" s="447"/>
      <c r="I98" s="65"/>
      <c r="J98" s="277"/>
      <c r="K98" s="188"/>
      <c r="L98" s="277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6"/>
      <c r="AA98" s="166"/>
      <c r="AB98" s="166"/>
      <c r="AC98" s="166"/>
      <c r="AD98" s="166"/>
      <c r="AE98" s="166"/>
      <c r="AF98" s="166"/>
      <c r="AG98" s="166"/>
      <c r="AH98" s="166"/>
    </row>
    <row r="99" spans="1:34" ht="15.750000" customHeight="1">
      <c r="B99" s="166"/>
      <c r="H99" s="447"/>
      <c r="I99" s="65"/>
      <c r="J99" s="277"/>
      <c r="K99" s="65"/>
      <c r="L99" s="277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6"/>
      <c r="AA99" s="166"/>
      <c r="AB99" s="166"/>
      <c r="AC99" s="166"/>
      <c r="AD99" s="166"/>
      <c r="AE99" s="166"/>
      <c r="AF99" s="166"/>
      <c r="AG99" s="166"/>
      <c r="AH99" s="166"/>
    </row>
    <row r="100" spans="1:34" ht="15.750000" customHeight="1">
      <c r="B100" s="166"/>
      <c r="H100" s="277"/>
      <c r="I100" s="65"/>
      <c r="J100" s="277"/>
      <c r="K100" s="65"/>
      <c r="L100" s="277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6"/>
      <c r="AA100" s="166"/>
      <c r="AB100" s="166"/>
      <c r="AC100" s="166"/>
      <c r="AD100" s="166"/>
      <c r="AE100" s="166"/>
      <c r="AF100" s="166"/>
      <c r="AG100" s="166"/>
      <c r="AH100" s="166"/>
    </row>
    <row r="101" spans="1:34" ht="15.750000" customHeight="1">
      <c r="B101" s="166"/>
      <c r="H101" s="460"/>
      <c r="I101" s="65"/>
      <c r="J101" s="277"/>
      <c r="K101" s="65"/>
      <c r="L101" s="277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6"/>
      <c r="AA101" s="166"/>
      <c r="AB101" s="166"/>
      <c r="AC101" s="166"/>
      <c r="AD101" s="166"/>
      <c r="AE101" s="166"/>
      <c r="AF101" s="166"/>
      <c r="AG101" s="166"/>
      <c r="AH101" s="166"/>
    </row>
    <row r="102" spans="1:34" ht="15.750000" customHeight="1">
      <c r="A102" s="156" t="s">
        <v>116</v>
      </c>
      <c r="B102" s="88"/>
      <c r="C102" s="240"/>
      <c r="D102" s="240"/>
      <c r="E102" s="158">
        <f>F102*120%</f>
        <v>0</v>
      </c>
      <c r="F102" s="158">
        <f>(D102-C102+1)*G102</f>
        <v>0</v>
      </c>
      <c r="G102" s="159">
        <f>M102*40</f>
        <v>0</v>
      </c>
      <c r="H102" s="277"/>
      <c r="I102" s="65"/>
      <c r="J102" s="277"/>
      <c r="K102" s="65"/>
      <c r="L102" s="277"/>
      <c r="M102" s="231"/>
      <c r="N102" s="163"/>
      <c r="O102" s="13"/>
      <c r="P102" s="13"/>
      <c r="Q102" s="13"/>
      <c r="R102" s="13"/>
      <c r="S102" s="165"/>
      <c r="T102" s="165"/>
      <c r="U102" s="165"/>
      <c r="V102" s="165"/>
      <c r="W102" s="165"/>
      <c r="X102" s="165"/>
      <c r="Y102" s="165"/>
      <c r="Z102" s="166"/>
      <c r="AA102" s="166"/>
      <c r="AB102" s="166"/>
      <c r="AC102" s="166"/>
      <c r="AD102" s="166"/>
      <c r="AE102" s="166"/>
      <c r="AF102" s="166"/>
      <c r="AG102" s="166"/>
      <c r="AH102" s="166"/>
    </row>
    <row r="103" spans="1:34" ht="15.750000" customHeight="1">
      <c r="B103" s="88"/>
      <c r="H103" s="447"/>
      <c r="I103" s="65"/>
      <c r="J103" s="277"/>
      <c r="K103" s="188"/>
      <c r="L103" s="277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6"/>
      <c r="AA103" s="166"/>
      <c r="AB103" s="166"/>
      <c r="AC103" s="166"/>
      <c r="AD103" s="166"/>
      <c r="AE103" s="166"/>
      <c r="AF103" s="166"/>
      <c r="AG103" s="166"/>
      <c r="AH103" s="166"/>
    </row>
    <row r="104" spans="1:34" ht="15.750000" customHeight="1">
      <c r="B104" s="166"/>
      <c r="H104" s="447"/>
      <c r="I104" s="65"/>
      <c r="J104" s="277"/>
      <c r="K104" s="65"/>
      <c r="L104" s="277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6"/>
      <c r="AA104" s="166"/>
      <c r="AB104" s="166"/>
      <c r="AC104" s="166"/>
      <c r="AD104" s="166"/>
      <c r="AE104" s="166"/>
      <c r="AF104" s="166"/>
      <c r="AG104" s="166"/>
      <c r="AH104" s="166"/>
    </row>
    <row r="105" spans="1:34" ht="15.750000" customHeight="1">
      <c r="B105" s="166"/>
      <c r="H105" s="277"/>
      <c r="I105" s="65"/>
      <c r="J105" s="277"/>
      <c r="K105" s="65"/>
      <c r="L105" s="277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6"/>
      <c r="AA105" s="166"/>
      <c r="AB105" s="166"/>
      <c r="AC105" s="166"/>
      <c r="AD105" s="166"/>
      <c r="AE105" s="166"/>
      <c r="AF105" s="166"/>
      <c r="AG105" s="166"/>
      <c r="AH105" s="166"/>
    </row>
    <row r="106" spans="1:34" ht="15.750000" customHeight="1">
      <c r="B106" s="166"/>
      <c r="H106" s="460"/>
      <c r="I106" s="65"/>
      <c r="J106" s="277"/>
      <c r="K106" s="65"/>
      <c r="L106" s="277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6"/>
      <c r="AA106" s="166"/>
      <c r="AB106" s="166"/>
      <c r="AC106" s="166"/>
      <c r="AD106" s="166"/>
      <c r="AE106" s="166"/>
      <c r="AF106" s="166"/>
      <c r="AG106" s="166"/>
      <c r="AH106" s="166"/>
    </row>
    <row r="107" spans="1:34" ht="15.750000" customHeight="1">
      <c r="A107" s="156" t="s">
        <v>116</v>
      </c>
      <c r="B107" s="88"/>
      <c r="C107" s="241"/>
      <c r="D107" s="241"/>
      <c r="E107" s="158">
        <f>F107*120%</f>
        <v>0</v>
      </c>
      <c r="F107" s="158">
        <f>(D107-C107+1)*G107</f>
        <v>0</v>
      </c>
      <c r="G107" s="159">
        <f>M107*40</f>
        <v>0</v>
      </c>
      <c r="H107" s="277"/>
      <c r="I107" s="65"/>
      <c r="J107" s="277"/>
      <c r="K107" s="65"/>
      <c r="L107" s="277"/>
      <c r="M107" s="231"/>
      <c r="N107" s="163"/>
      <c r="O107" s="13"/>
      <c r="P107" s="13"/>
      <c r="Q107" s="13"/>
      <c r="R107" s="13"/>
      <c r="S107" s="165"/>
      <c r="T107" s="165"/>
      <c r="U107" s="165"/>
      <c r="V107" s="165"/>
      <c r="W107" s="165"/>
      <c r="X107" s="165"/>
      <c r="Y107" s="165"/>
      <c r="Z107" s="166"/>
      <c r="AA107" s="166"/>
      <c r="AB107" s="166"/>
      <c r="AC107" s="166"/>
      <c r="AD107" s="166"/>
      <c r="AE107" s="166"/>
      <c r="AF107" s="166"/>
      <c r="AG107" s="166"/>
      <c r="AH107" s="166"/>
    </row>
    <row r="108" spans="1:34" ht="15.750000" customHeight="1">
      <c r="B108" s="88"/>
      <c r="H108" s="447"/>
      <c r="I108" s="65"/>
      <c r="J108" s="277"/>
      <c r="K108" s="188"/>
      <c r="L108" s="277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6"/>
      <c r="AA108" s="166"/>
      <c r="AB108" s="166"/>
      <c r="AC108" s="166"/>
      <c r="AD108" s="166"/>
      <c r="AE108" s="166"/>
      <c r="AF108" s="166"/>
      <c r="AG108" s="166"/>
      <c r="AH108" s="166"/>
    </row>
    <row r="109" spans="1:34" ht="15.750000" customHeight="1">
      <c r="B109" s="166"/>
      <c r="H109" s="447"/>
      <c r="I109" s="65"/>
      <c r="J109" s="277"/>
      <c r="K109" s="65"/>
      <c r="L109" s="277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6"/>
      <c r="AA109" s="166"/>
      <c r="AB109" s="166"/>
      <c r="AC109" s="166"/>
      <c r="AD109" s="166"/>
      <c r="AE109" s="166"/>
      <c r="AF109" s="166"/>
      <c r="AG109" s="166"/>
      <c r="AH109" s="166"/>
    </row>
    <row r="110" spans="1:34" ht="15.750000" customHeight="1">
      <c r="B110" s="166"/>
      <c r="H110" s="277"/>
      <c r="I110" s="65"/>
      <c r="J110" s="277"/>
      <c r="K110" s="65"/>
      <c r="L110" s="277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6"/>
      <c r="AA110" s="166"/>
      <c r="AB110" s="166"/>
      <c r="AC110" s="166"/>
      <c r="AD110" s="166"/>
      <c r="AE110" s="166"/>
      <c r="AF110" s="166"/>
      <c r="AG110" s="166"/>
      <c r="AH110" s="166"/>
    </row>
    <row r="111" spans="1:34" ht="15.750000" customHeight="1">
      <c r="B111" s="166"/>
      <c r="H111" s="460"/>
      <c r="I111" s="65"/>
      <c r="J111" s="277"/>
      <c r="K111" s="65"/>
      <c r="L111" s="277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6"/>
      <c r="AA111" s="166"/>
      <c r="AB111" s="166"/>
      <c r="AC111" s="166"/>
      <c r="AD111" s="166"/>
      <c r="AE111" s="166"/>
      <c r="AF111" s="166"/>
      <c r="AG111" s="166"/>
      <c r="AH111" s="166"/>
    </row>
    <row r="112" spans="1:34" ht="15.750000" customHeight="1">
      <c r="A112" s="156" t="s">
        <v>116</v>
      </c>
      <c r="B112" s="88"/>
      <c r="C112" s="240"/>
      <c r="D112" s="240"/>
      <c r="E112" s="158">
        <f>F112*120%</f>
        <v>0</v>
      </c>
      <c r="F112" s="158">
        <f>(D112-C112+1)*G112</f>
        <v>0</v>
      </c>
      <c r="G112" s="159">
        <f>M112*40</f>
        <v>0</v>
      </c>
      <c r="H112" s="277"/>
      <c r="I112" s="65"/>
      <c r="J112" s="277"/>
      <c r="K112" s="65"/>
      <c r="L112" s="277"/>
      <c r="M112" s="231"/>
      <c r="N112" s="163"/>
      <c r="O112" s="13"/>
      <c r="P112" s="13"/>
      <c r="Q112" s="13"/>
      <c r="R112" s="13"/>
      <c r="S112" s="165"/>
      <c r="T112" s="165"/>
      <c r="U112" s="165"/>
      <c r="V112" s="165"/>
      <c r="W112" s="165"/>
      <c r="X112" s="165"/>
      <c r="Y112" s="165"/>
      <c r="Z112" s="166"/>
      <c r="AA112" s="166"/>
      <c r="AB112" s="166"/>
      <c r="AC112" s="166"/>
      <c r="AD112" s="166"/>
      <c r="AE112" s="166"/>
      <c r="AF112" s="166"/>
      <c r="AG112" s="166"/>
      <c r="AH112" s="166"/>
    </row>
    <row r="113" spans="1:34" ht="15.750000" customHeight="1">
      <c r="B113" s="88"/>
      <c r="H113" s="447"/>
      <c r="I113" s="65"/>
      <c r="J113" s="277"/>
      <c r="K113" s="162"/>
      <c r="L113" s="277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6"/>
      <c r="AA113" s="166"/>
      <c r="AB113" s="166"/>
      <c r="AC113" s="166"/>
      <c r="AD113" s="166"/>
      <c r="AE113" s="166"/>
      <c r="AF113" s="166"/>
      <c r="AG113" s="166"/>
      <c r="AH113" s="166"/>
    </row>
    <row r="114" spans="1:34" ht="15.750000" customHeight="1">
      <c r="B114" s="166"/>
      <c r="H114" s="447"/>
      <c r="I114" s="65"/>
      <c r="J114" s="277"/>
      <c r="K114" s="65"/>
      <c r="L114" s="277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6"/>
      <c r="AA114" s="166"/>
      <c r="AB114" s="166"/>
      <c r="AC114" s="166"/>
      <c r="AD114" s="166"/>
      <c r="AE114" s="166"/>
      <c r="AF114" s="166"/>
      <c r="AG114" s="166"/>
      <c r="AH114" s="166"/>
    </row>
    <row r="115" spans="1:34" ht="15.750000" customHeight="1">
      <c r="B115" s="166"/>
      <c r="H115" s="277"/>
      <c r="I115" s="65"/>
      <c r="J115" s="277"/>
      <c r="K115" s="65"/>
      <c r="L115" s="277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6"/>
      <c r="AA115" s="166"/>
      <c r="AB115" s="166"/>
      <c r="AC115" s="166"/>
      <c r="AD115" s="166"/>
      <c r="AE115" s="166"/>
      <c r="AF115" s="166"/>
      <c r="AG115" s="166"/>
      <c r="AH115" s="166"/>
    </row>
    <row r="116" spans="1:34" ht="15.750000" customHeight="1">
      <c r="B116" s="166"/>
      <c r="H116" s="460"/>
      <c r="I116" s="65"/>
      <c r="J116" s="277"/>
      <c r="K116" s="65"/>
      <c r="L116" s="277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6"/>
      <c r="AA116" s="166"/>
      <c r="AB116" s="166"/>
      <c r="AC116" s="166"/>
      <c r="AD116" s="166"/>
      <c r="AE116" s="166"/>
      <c r="AF116" s="166"/>
      <c r="AG116" s="166"/>
      <c r="AH116" s="166"/>
    </row>
    <row r="117" spans="1:34" ht="15.750000" customHeight="1">
      <c r="A117" s="156" t="s">
        <v>116</v>
      </c>
      <c r="B117" s="88"/>
      <c r="C117" s="241"/>
      <c r="D117" s="241"/>
      <c r="E117" s="158">
        <f>F117*120%</f>
        <v>0</v>
      </c>
      <c r="F117" s="158">
        <f>(D117-C117+1)*G117</f>
        <v>0</v>
      </c>
      <c r="G117" s="159">
        <f>M117*40</f>
        <v>0</v>
      </c>
      <c r="H117" s="277"/>
      <c r="I117" s="65"/>
      <c r="J117" s="277"/>
      <c r="K117" s="65"/>
      <c r="L117" s="277"/>
      <c r="M117" s="231"/>
      <c r="N117" s="163"/>
      <c r="O117" s="165"/>
      <c r="P117" s="165"/>
      <c r="Q117" s="13"/>
      <c r="R117" s="13"/>
      <c r="S117" s="13"/>
      <c r="T117" s="13"/>
      <c r="U117" s="165"/>
      <c r="V117" s="165"/>
      <c r="W117" s="165"/>
      <c r="X117" s="165"/>
      <c r="Y117" s="165"/>
      <c r="Z117" s="166"/>
      <c r="AA117" s="166"/>
      <c r="AB117" s="166"/>
      <c r="AC117" s="166"/>
      <c r="AD117" s="166"/>
      <c r="AE117" s="166"/>
      <c r="AF117" s="166"/>
      <c r="AG117" s="166"/>
      <c r="AH117" s="166"/>
    </row>
    <row r="118" spans="1:34" ht="15.750000" customHeight="1">
      <c r="B118" s="166"/>
      <c r="H118" s="277"/>
      <c r="I118" s="65"/>
      <c r="J118" s="277"/>
      <c r="K118" s="65"/>
      <c r="L118" s="277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6"/>
      <c r="AA118" s="166"/>
      <c r="AB118" s="166"/>
      <c r="AC118" s="166"/>
      <c r="AD118" s="166"/>
      <c r="AE118" s="166"/>
      <c r="AF118" s="166"/>
      <c r="AG118" s="166"/>
      <c r="AH118" s="166"/>
    </row>
    <row r="119" spans="1:34" ht="15.750000" customHeight="1">
      <c r="B119" s="166"/>
      <c r="H119" s="277"/>
      <c r="I119" s="65"/>
      <c r="J119" s="277"/>
      <c r="K119" s="65"/>
      <c r="L119" s="277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6"/>
      <c r="AA119" s="166"/>
      <c r="AB119" s="166"/>
      <c r="AC119" s="166"/>
      <c r="AD119" s="166"/>
      <c r="AE119" s="166"/>
      <c r="AF119" s="166"/>
      <c r="AG119" s="166"/>
      <c r="AH119" s="166"/>
    </row>
    <row r="120" spans="1:34" ht="15.750000" customHeight="1">
      <c r="B120" s="166"/>
      <c r="H120" s="277"/>
      <c r="I120" s="65"/>
      <c r="J120" s="277"/>
      <c r="K120" s="65"/>
      <c r="L120" s="277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6"/>
      <c r="AA120" s="166"/>
      <c r="AB120" s="166"/>
      <c r="AC120" s="166"/>
      <c r="AD120" s="166"/>
      <c r="AE120" s="166"/>
      <c r="AF120" s="166"/>
      <c r="AG120" s="166"/>
      <c r="AH120" s="166"/>
    </row>
    <row r="121" spans="1:34" ht="15.750000" customHeight="1">
      <c r="B121" s="166"/>
      <c r="H121" s="460"/>
      <c r="I121" s="65"/>
      <c r="J121" s="277"/>
      <c r="K121" s="65"/>
      <c r="L121" s="277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6"/>
      <c r="AA121" s="166"/>
      <c r="AB121" s="166"/>
      <c r="AC121" s="166"/>
      <c r="AD121" s="166"/>
      <c r="AE121" s="166"/>
      <c r="AF121" s="166"/>
      <c r="AG121" s="166"/>
      <c r="AH121" s="166"/>
    </row>
    <row r="122" spans="1:34" ht="15.750000" customHeight="1">
      <c r="A122" s="156" t="s">
        <v>116</v>
      </c>
      <c r="B122" s="88"/>
      <c r="C122" s="241"/>
      <c r="D122" s="241"/>
      <c r="E122" s="158">
        <f>F122*120%</f>
        <v>0</v>
      </c>
      <c r="F122" s="158">
        <f>(D122-C122+1)*G122</f>
        <v>0</v>
      </c>
      <c r="G122" s="159">
        <f>M122*40</f>
        <v>0</v>
      </c>
      <c r="H122" s="277"/>
      <c r="I122" s="65"/>
      <c r="J122" s="277"/>
      <c r="K122" s="65"/>
      <c r="L122" s="277"/>
      <c r="M122" s="231"/>
      <c r="N122" s="163"/>
      <c r="O122" s="165"/>
      <c r="P122" s="165"/>
      <c r="Q122" s="13"/>
      <c r="R122" s="13"/>
      <c r="S122" s="13"/>
      <c r="T122" s="13"/>
      <c r="U122" s="165"/>
      <c r="V122" s="165"/>
      <c r="W122" s="165"/>
      <c r="X122" s="165"/>
      <c r="Y122" s="165"/>
      <c r="Z122" s="166"/>
      <c r="AA122" s="166"/>
      <c r="AB122" s="166"/>
      <c r="AC122" s="166"/>
      <c r="AD122" s="166"/>
      <c r="AE122" s="166"/>
      <c r="AF122" s="166"/>
      <c r="AG122" s="166"/>
      <c r="AH122" s="166"/>
    </row>
    <row r="123" spans="1:34" ht="15.750000" customHeight="1">
      <c r="B123" s="88"/>
      <c r="H123" s="277"/>
      <c r="I123" s="65"/>
      <c r="J123" s="277"/>
      <c r="K123" s="188"/>
      <c r="L123" s="277"/>
      <c r="O123" s="165"/>
      <c r="P123" s="165"/>
      <c r="Q123" s="13"/>
      <c r="R123" s="13"/>
      <c r="S123" s="13"/>
      <c r="T123" s="13"/>
      <c r="U123" s="165"/>
      <c r="V123" s="165"/>
      <c r="W123" s="165"/>
      <c r="X123" s="165"/>
      <c r="Y123" s="165"/>
      <c r="Z123" s="166"/>
      <c r="AA123" s="166"/>
      <c r="AB123" s="166"/>
      <c r="AC123" s="166"/>
      <c r="AD123" s="166"/>
      <c r="AE123" s="166"/>
      <c r="AF123" s="166"/>
      <c r="AG123" s="166"/>
      <c r="AH123" s="166"/>
    </row>
    <row r="124" spans="1:34" ht="15.750000" customHeight="1">
      <c r="B124" s="88"/>
      <c r="H124" s="277"/>
      <c r="I124" s="65"/>
      <c r="J124" s="277"/>
      <c r="K124" s="188"/>
      <c r="L124" s="277"/>
      <c r="O124" s="165"/>
      <c r="P124" s="165"/>
      <c r="Q124" s="13"/>
      <c r="R124" s="13"/>
      <c r="S124" s="13"/>
      <c r="T124" s="13"/>
      <c r="U124" s="165"/>
      <c r="V124" s="165"/>
      <c r="W124" s="165"/>
      <c r="X124" s="165"/>
      <c r="Y124" s="165"/>
      <c r="Z124" s="166"/>
      <c r="AA124" s="166"/>
      <c r="AB124" s="166"/>
      <c r="AC124" s="166"/>
      <c r="AD124" s="166"/>
      <c r="AE124" s="166"/>
      <c r="AF124" s="166"/>
      <c r="AG124" s="166"/>
      <c r="AH124" s="166"/>
    </row>
    <row r="125" spans="1:34" ht="15.750000" customHeight="1">
      <c r="B125" s="166"/>
      <c r="H125" s="277"/>
      <c r="I125" s="65"/>
      <c r="J125" s="277"/>
      <c r="K125" s="65"/>
      <c r="L125" s="277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6"/>
      <c r="AA125" s="166"/>
      <c r="AB125" s="166"/>
      <c r="AC125" s="166"/>
      <c r="AD125" s="166"/>
      <c r="AE125" s="166"/>
      <c r="AF125" s="166"/>
      <c r="AG125" s="166"/>
      <c r="AH125" s="166"/>
    </row>
    <row r="126" spans="1:34" ht="15.750000" customHeight="1">
      <c r="B126" s="166"/>
      <c r="H126" s="460"/>
      <c r="I126" s="65"/>
      <c r="J126" s="277"/>
      <c r="K126" s="65"/>
      <c r="L126" s="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6"/>
      <c r="AA126" s="166"/>
      <c r="AB126" s="166"/>
      <c r="AC126" s="166"/>
      <c r="AD126" s="166"/>
      <c r="AE126" s="166"/>
      <c r="AF126" s="166"/>
      <c r="AG126" s="166"/>
      <c r="AH126" s="166"/>
    </row>
    <row r="127" spans="1:34" ht="15.750000" customHeight="1">
      <c r="A127" s="156" t="s">
        <v>116</v>
      </c>
      <c r="B127" s="88"/>
      <c r="C127" s="240"/>
      <c r="D127" s="240"/>
      <c r="E127" s="158">
        <f>F127*120%</f>
        <v>0</v>
      </c>
      <c r="F127" s="158">
        <f>(D127-C127+1)*G127</f>
        <v>0</v>
      </c>
      <c r="G127" s="159">
        <f>M127*40</f>
        <v>0</v>
      </c>
      <c r="H127" s="277"/>
      <c r="I127" s="65"/>
      <c r="J127" s="421"/>
      <c r="K127" s="188"/>
      <c r="L127" s="277"/>
      <c r="M127" s="231"/>
      <c r="N127" s="163"/>
      <c r="O127" s="165"/>
      <c r="P127" s="165"/>
      <c r="Q127" s="13"/>
      <c r="R127" s="13"/>
      <c r="S127" s="13"/>
      <c r="T127" s="13"/>
      <c r="U127" s="165"/>
      <c r="V127" s="165"/>
      <c r="W127" s="165"/>
      <c r="X127" s="165"/>
      <c r="Y127" s="165"/>
      <c r="Z127" s="166"/>
      <c r="AA127" s="166"/>
      <c r="AB127" s="166"/>
      <c r="AC127" s="166"/>
      <c r="AD127" s="166"/>
      <c r="AE127" s="166"/>
      <c r="AF127" s="166"/>
      <c r="AG127" s="166"/>
      <c r="AH127" s="166"/>
    </row>
    <row r="128" spans="1:34" ht="15.750000" customHeight="1">
      <c r="B128" s="88"/>
      <c r="H128" s="277"/>
      <c r="I128" s="65"/>
      <c r="J128" s="421"/>
      <c r="K128" s="188"/>
      <c r="L128" s="277"/>
      <c r="O128" s="165"/>
      <c r="P128" s="165"/>
      <c r="Q128" s="13"/>
      <c r="R128" s="13"/>
      <c r="S128" s="13"/>
      <c r="T128" s="13"/>
      <c r="U128" s="165"/>
      <c r="V128" s="165"/>
      <c r="W128" s="165"/>
      <c r="X128" s="165"/>
      <c r="Y128" s="165"/>
      <c r="Z128" s="166"/>
      <c r="AA128" s="166"/>
      <c r="AB128" s="166"/>
      <c r="AC128" s="166"/>
      <c r="AD128" s="166"/>
      <c r="AE128" s="166"/>
      <c r="AF128" s="166"/>
      <c r="AG128" s="166"/>
      <c r="AH128" s="166"/>
    </row>
    <row r="129" spans="1:34" ht="15.750000" customHeight="1">
      <c r="B129" s="88"/>
      <c r="H129" s="277"/>
      <c r="I129" s="65"/>
      <c r="J129" s="421"/>
      <c r="K129" s="188"/>
      <c r="L129" s="277"/>
      <c r="O129" s="165"/>
      <c r="P129" s="165"/>
      <c r="Q129" s="13"/>
      <c r="R129" s="13"/>
      <c r="S129" s="13"/>
      <c r="T129" s="13"/>
      <c r="U129" s="165"/>
      <c r="V129" s="165"/>
      <c r="W129" s="165"/>
      <c r="X129" s="165"/>
      <c r="Y129" s="165"/>
      <c r="Z129" s="166"/>
      <c r="AA129" s="166"/>
      <c r="AB129" s="166"/>
      <c r="AC129" s="166"/>
      <c r="AD129" s="166"/>
      <c r="AE129" s="166"/>
      <c r="AF129" s="166"/>
      <c r="AG129" s="166"/>
      <c r="AH129" s="166"/>
    </row>
    <row r="130" spans="1:34" ht="15.750000" customHeight="1">
      <c r="B130" s="88"/>
      <c r="H130" s="277"/>
      <c r="I130" s="65"/>
      <c r="J130" s="421"/>
      <c r="K130" s="65"/>
      <c r="L130" s="277"/>
      <c r="O130" s="165"/>
      <c r="P130" s="165"/>
      <c r="Q130" s="13"/>
      <c r="R130" s="13"/>
      <c r="S130" s="13"/>
      <c r="T130" s="13"/>
      <c r="U130" s="165"/>
      <c r="V130" s="165"/>
      <c r="W130" s="165"/>
      <c r="X130" s="165"/>
      <c r="Y130" s="165"/>
      <c r="Z130" s="166"/>
      <c r="AA130" s="166"/>
      <c r="AB130" s="166"/>
      <c r="AC130" s="166"/>
      <c r="AD130" s="166"/>
      <c r="AE130" s="166"/>
      <c r="AF130" s="166"/>
      <c r="AG130" s="166"/>
      <c r="AH130" s="166"/>
    </row>
    <row r="131" spans="1:34" ht="15.750000" customHeight="1">
      <c r="B131" s="1"/>
      <c r="H131" s="169"/>
      <c r="I131" s="65"/>
      <c r="J131" s="65"/>
      <c r="K131" s="65"/>
      <c r="L131" s="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6"/>
      <c r="AA131" s="166"/>
      <c r="AB131" s="166"/>
      <c r="AC131" s="166"/>
      <c r="AD131" s="166"/>
      <c r="AE131" s="166"/>
      <c r="AF131" s="166"/>
      <c r="AG131" s="166"/>
      <c r="AH131" s="166"/>
    </row>
    <row r="132" spans="1:34" ht="15.750000" customHeight="1">
      <c r="A132" s="156" t="s">
        <v>116</v>
      </c>
      <c r="B132" s="88"/>
      <c r="C132" s="241"/>
      <c r="D132" s="241"/>
      <c r="E132" s="158">
        <f>F132*120%</f>
        <v>0</v>
      </c>
      <c r="F132" s="158">
        <f>(D132-C132+1)*G132</f>
        <v>0</v>
      </c>
      <c r="G132" s="159">
        <f>M132*40</f>
        <v>0</v>
      </c>
      <c r="H132" s="277"/>
      <c r="I132" s="65"/>
      <c r="J132" s="277"/>
      <c r="K132" s="65"/>
      <c r="L132" s="277"/>
      <c r="M132" s="231"/>
      <c r="N132" s="163"/>
      <c r="O132" s="165"/>
      <c r="P132" s="165"/>
      <c r="Q132" s="13"/>
      <c r="R132" s="13"/>
      <c r="S132" s="13"/>
      <c r="T132" s="13"/>
      <c r="U132" s="165"/>
      <c r="V132" s="165"/>
      <c r="W132" s="165"/>
      <c r="X132" s="165"/>
      <c r="Y132" s="165"/>
      <c r="Z132" s="166"/>
      <c r="AA132" s="166"/>
      <c r="AB132" s="166"/>
      <c r="AC132" s="166"/>
      <c r="AD132" s="166"/>
      <c r="AE132" s="166"/>
      <c r="AF132" s="166"/>
      <c r="AG132" s="166"/>
      <c r="AH132" s="166"/>
    </row>
    <row r="133" spans="1:34" ht="15.750000" customHeight="1">
      <c r="B133" s="166"/>
      <c r="H133" s="277"/>
      <c r="I133" s="65"/>
      <c r="J133" s="277"/>
      <c r="K133" s="65"/>
      <c r="L133" s="277"/>
      <c r="O133" s="165"/>
      <c r="P133" s="165"/>
      <c r="Q133" s="13"/>
      <c r="R133" s="13"/>
      <c r="S133" s="165"/>
      <c r="T133" s="165"/>
      <c r="U133" s="165"/>
      <c r="V133" s="165"/>
      <c r="W133" s="165"/>
      <c r="X133" s="165"/>
      <c r="Y133" s="165"/>
      <c r="Z133" s="166"/>
      <c r="AA133" s="166"/>
      <c r="AB133" s="166"/>
      <c r="AC133" s="166"/>
      <c r="AD133" s="166"/>
      <c r="AE133" s="166"/>
      <c r="AF133" s="166"/>
      <c r="AG133" s="166"/>
      <c r="AH133" s="166"/>
    </row>
    <row r="134" spans="1:34" ht="15.750000" customHeight="1">
      <c r="B134" s="166"/>
      <c r="H134" s="277"/>
      <c r="I134" s="65"/>
      <c r="J134" s="277"/>
      <c r="K134" s="65"/>
      <c r="L134" s="277"/>
      <c r="O134" s="165"/>
      <c r="P134" s="165"/>
      <c r="Q134" s="13"/>
      <c r="R134" s="13"/>
      <c r="S134" s="165"/>
      <c r="T134" s="165"/>
      <c r="U134" s="165"/>
      <c r="V134" s="165"/>
      <c r="W134" s="165"/>
      <c r="X134" s="165"/>
      <c r="Y134" s="165"/>
      <c r="Z134" s="166"/>
      <c r="AA134" s="166"/>
      <c r="AB134" s="166"/>
      <c r="AC134" s="166"/>
      <c r="AD134" s="166"/>
      <c r="AE134" s="166"/>
      <c r="AF134" s="166"/>
      <c r="AG134" s="166"/>
      <c r="AH134" s="166"/>
    </row>
    <row r="135" spans="1:34" ht="15.750000" customHeight="1">
      <c r="B135" s="166"/>
      <c r="H135" s="277"/>
      <c r="I135" s="65"/>
      <c r="J135" s="277"/>
      <c r="K135" s="65"/>
      <c r="L135" s="277"/>
      <c r="O135" s="165"/>
      <c r="P135" s="165"/>
      <c r="Q135" s="13"/>
      <c r="R135" s="13"/>
      <c r="S135" s="165"/>
      <c r="T135" s="165"/>
      <c r="U135" s="165"/>
      <c r="V135" s="165"/>
      <c r="W135" s="165"/>
      <c r="X135" s="165"/>
      <c r="Y135" s="165"/>
      <c r="Z135" s="166"/>
      <c r="AA135" s="166"/>
      <c r="AB135" s="166"/>
      <c r="AC135" s="166"/>
      <c r="AD135" s="166"/>
      <c r="AE135" s="166"/>
      <c r="AF135" s="166"/>
      <c r="AG135" s="166"/>
      <c r="AH135" s="166"/>
    </row>
    <row r="136" spans="1:34" ht="15.750000" customHeight="1">
      <c r="B136" s="166"/>
      <c r="H136" s="460"/>
      <c r="I136" s="65"/>
      <c r="J136" s="277"/>
      <c r="K136" s="65"/>
      <c r="L136" s="277"/>
      <c r="O136" s="165"/>
      <c r="P136" s="165"/>
      <c r="Q136" s="13"/>
      <c r="R136" s="13"/>
      <c r="S136" s="165"/>
      <c r="T136" s="165"/>
      <c r="U136" s="165"/>
      <c r="V136" s="165"/>
      <c r="W136" s="165"/>
      <c r="X136" s="165"/>
      <c r="Y136" s="165"/>
      <c r="Z136" s="166"/>
      <c r="AA136" s="166"/>
      <c r="AB136" s="166"/>
      <c r="AC136" s="166"/>
      <c r="AD136" s="166"/>
      <c r="AE136" s="166"/>
      <c r="AF136" s="166"/>
      <c r="AG136" s="166"/>
      <c r="AH136" s="166"/>
    </row>
    <row r="137" spans="1:34" ht="15.750000" customHeight="1">
      <c r="A137" s="156" t="s">
        <v>116</v>
      </c>
      <c r="B137" s="88"/>
      <c r="C137" s="241"/>
      <c r="D137" s="241"/>
      <c r="E137" s="158">
        <f>F137*120%</f>
        <v>0</v>
      </c>
      <c r="F137" s="158">
        <f>(D137-C137+1)*G137</f>
        <v>0</v>
      </c>
      <c r="G137" s="159">
        <f>M137*40</f>
        <v>0</v>
      </c>
      <c r="H137" s="277"/>
      <c r="I137" s="65"/>
      <c r="J137" s="277"/>
      <c r="K137" s="65"/>
      <c r="L137" s="277"/>
      <c r="M137" s="231"/>
      <c r="N137" s="163"/>
      <c r="O137" s="165"/>
      <c r="P137" s="165"/>
      <c r="Q137" s="13"/>
      <c r="R137" s="13"/>
      <c r="S137" s="13"/>
      <c r="T137" s="13"/>
      <c r="U137" s="165"/>
      <c r="V137" s="165"/>
      <c r="W137" s="165"/>
      <c r="X137" s="165"/>
      <c r="Y137" s="165"/>
      <c r="Z137" s="166"/>
      <c r="AA137" s="166"/>
      <c r="AB137" s="166"/>
      <c r="AC137" s="166"/>
      <c r="AD137" s="166"/>
      <c r="AE137" s="166"/>
      <c r="AF137" s="166"/>
      <c r="AG137" s="166"/>
      <c r="AH137" s="166"/>
    </row>
    <row r="138" spans="1:34" ht="15.750000" customHeight="1">
      <c r="B138" s="166"/>
      <c r="H138" s="277"/>
      <c r="I138" s="65"/>
      <c r="J138" s="277"/>
      <c r="K138" s="65"/>
      <c r="L138" s="277"/>
      <c r="O138" s="165"/>
      <c r="P138" s="165"/>
      <c r="Q138" s="13"/>
      <c r="R138" s="13"/>
      <c r="S138" s="165"/>
      <c r="T138" s="165"/>
      <c r="U138" s="165"/>
      <c r="V138" s="165"/>
      <c r="W138" s="165"/>
      <c r="X138" s="165"/>
      <c r="Y138" s="165"/>
      <c r="Z138" s="166"/>
      <c r="AA138" s="166"/>
      <c r="AB138" s="166"/>
      <c r="AC138" s="166"/>
      <c r="AD138" s="166"/>
      <c r="AE138" s="166"/>
      <c r="AF138" s="166"/>
      <c r="AG138" s="166"/>
      <c r="AH138" s="166"/>
    </row>
    <row r="139" spans="1:34" ht="15.750000" customHeight="1">
      <c r="B139" s="166"/>
      <c r="H139" s="277"/>
      <c r="I139" s="65"/>
      <c r="J139" s="277"/>
      <c r="K139" s="65"/>
      <c r="L139" s="277"/>
      <c r="O139" s="165"/>
      <c r="P139" s="165"/>
      <c r="Q139" s="13"/>
      <c r="R139" s="13"/>
      <c r="S139" s="165"/>
      <c r="T139" s="165"/>
      <c r="U139" s="165"/>
      <c r="V139" s="165"/>
      <c r="W139" s="165"/>
      <c r="X139" s="165"/>
      <c r="Y139" s="165"/>
      <c r="Z139" s="166"/>
      <c r="AA139" s="166"/>
      <c r="AB139" s="166"/>
      <c r="AC139" s="166"/>
      <c r="AD139" s="166"/>
      <c r="AE139" s="166"/>
      <c r="AF139" s="166"/>
      <c r="AG139" s="166"/>
      <c r="AH139" s="166"/>
    </row>
    <row r="140" spans="1:34" ht="15.750000" customHeight="1">
      <c r="B140" s="166"/>
      <c r="H140" s="277"/>
      <c r="I140" s="65"/>
      <c r="J140" s="277"/>
      <c r="K140" s="65"/>
      <c r="L140" s="277"/>
      <c r="O140" s="165"/>
      <c r="P140" s="165"/>
      <c r="Q140" s="13"/>
      <c r="R140" s="13"/>
      <c r="S140" s="165"/>
      <c r="T140" s="165"/>
      <c r="U140" s="165"/>
      <c r="V140" s="165"/>
      <c r="W140" s="165"/>
      <c r="X140" s="165"/>
      <c r="Y140" s="165"/>
      <c r="Z140" s="166"/>
      <c r="AA140" s="166"/>
      <c r="AB140" s="166"/>
      <c r="AC140" s="166"/>
      <c r="AD140" s="166"/>
      <c r="AE140" s="166"/>
      <c r="AF140" s="166"/>
      <c r="AG140" s="166"/>
      <c r="AH140" s="166"/>
    </row>
    <row r="141" spans="1:34" ht="15.750000" customHeight="1">
      <c r="B141" s="166"/>
      <c r="H141" s="460"/>
      <c r="I141" s="65"/>
      <c r="J141" s="277"/>
      <c r="K141" s="65"/>
      <c r="L141" s="277"/>
      <c r="O141" s="165"/>
      <c r="P141" s="165"/>
      <c r="Q141" s="13"/>
      <c r="R141" s="13"/>
      <c r="S141" s="165"/>
      <c r="T141" s="165"/>
      <c r="U141" s="165"/>
      <c r="V141" s="165"/>
      <c r="W141" s="165"/>
      <c r="X141" s="165"/>
      <c r="Y141" s="165"/>
      <c r="Z141" s="166"/>
      <c r="AA141" s="166"/>
      <c r="AB141" s="166"/>
      <c r="AC141" s="166"/>
      <c r="AD141" s="166"/>
      <c r="AE141" s="166"/>
      <c r="AF141" s="166"/>
      <c r="AG141" s="166"/>
      <c r="AH141" s="166"/>
    </row>
    <row r="142" spans="1:34" ht="15.750000" customHeight="1">
      <c r="A142" s="156" t="s">
        <v>116</v>
      </c>
      <c r="B142" s="88"/>
      <c r="C142" s="241"/>
      <c r="D142" s="241"/>
      <c r="E142" s="158">
        <f>F142*120%</f>
        <v>0</v>
      </c>
      <c r="F142" s="158">
        <f>(D142-C142+1)*G142</f>
        <v>0</v>
      </c>
      <c r="G142" s="159">
        <f>M142*40</f>
        <v>0</v>
      </c>
      <c r="H142" s="162"/>
      <c r="I142" s="65"/>
      <c r="J142" s="277"/>
      <c r="K142" s="65"/>
      <c r="L142" s="277"/>
      <c r="M142" s="231"/>
      <c r="N142" s="163"/>
      <c r="O142" s="165"/>
      <c r="P142" s="13"/>
      <c r="Q142" s="13"/>
      <c r="R142" s="13"/>
      <c r="S142" s="165"/>
      <c r="T142" s="13"/>
      <c r="U142" s="165"/>
      <c r="V142" s="165"/>
      <c r="W142" s="165"/>
      <c r="X142" s="165"/>
      <c r="Y142" s="165"/>
      <c r="Z142" s="166"/>
      <c r="AA142" s="166"/>
      <c r="AB142" s="166"/>
      <c r="AC142" s="166"/>
      <c r="AD142" s="166"/>
      <c r="AE142" s="166"/>
      <c r="AF142" s="166"/>
      <c r="AG142" s="166"/>
      <c r="AH142" s="166"/>
    </row>
    <row r="143" spans="1:34" ht="15.750000" customHeight="1">
      <c r="B143" s="88"/>
      <c r="H143" s="162"/>
      <c r="I143" s="65"/>
      <c r="J143" s="277"/>
      <c r="K143" s="65"/>
      <c r="L143" s="277"/>
      <c r="O143" s="165"/>
      <c r="P143" s="13"/>
      <c r="Q143" s="13"/>
      <c r="R143" s="13"/>
      <c r="S143" s="165"/>
      <c r="T143" s="13"/>
      <c r="U143" s="165"/>
      <c r="V143" s="165"/>
      <c r="W143" s="165"/>
      <c r="X143" s="165"/>
      <c r="Y143" s="165"/>
      <c r="Z143" s="166"/>
      <c r="AA143" s="166"/>
      <c r="AB143" s="166"/>
      <c r="AC143" s="166"/>
      <c r="AD143" s="166"/>
      <c r="AE143" s="166"/>
      <c r="AF143" s="166"/>
      <c r="AG143" s="166"/>
      <c r="AH143" s="166"/>
    </row>
    <row r="144" spans="1:34" ht="15.750000" customHeight="1">
      <c r="B144" s="88"/>
      <c r="H144" s="162"/>
      <c r="I144" s="65"/>
      <c r="J144" s="277"/>
      <c r="K144" s="188"/>
      <c r="L144" s="277"/>
      <c r="O144" s="165"/>
      <c r="P144" s="13"/>
      <c r="Q144" s="13"/>
      <c r="R144" s="13"/>
      <c r="S144" s="165"/>
      <c r="T144" s="13"/>
      <c r="U144" s="165"/>
      <c r="V144" s="165"/>
      <c r="W144" s="165"/>
      <c r="X144" s="165"/>
      <c r="Y144" s="165"/>
      <c r="Z144" s="166"/>
      <c r="AA144" s="166"/>
      <c r="AB144" s="166"/>
      <c r="AC144" s="166"/>
      <c r="AD144" s="166"/>
      <c r="AE144" s="166"/>
      <c r="AF144" s="166"/>
      <c r="AG144" s="166"/>
      <c r="AH144" s="166"/>
    </row>
    <row r="145" spans="1:34" ht="15.750000" customHeight="1">
      <c r="B145" s="88"/>
      <c r="H145" s="162"/>
      <c r="I145" s="65"/>
      <c r="J145" s="277"/>
      <c r="K145" s="188"/>
      <c r="L145" s="277"/>
      <c r="O145" s="165"/>
      <c r="P145" s="13"/>
      <c r="Q145" s="13"/>
      <c r="R145" s="13"/>
      <c r="S145" s="165"/>
      <c r="T145" s="13"/>
      <c r="U145" s="165"/>
      <c r="V145" s="165"/>
      <c r="W145" s="165"/>
      <c r="X145" s="165"/>
      <c r="Y145" s="165"/>
      <c r="Z145" s="166"/>
      <c r="AA145" s="166"/>
      <c r="AB145" s="166"/>
      <c r="AC145" s="166"/>
      <c r="AD145" s="166"/>
      <c r="AE145" s="166"/>
      <c r="AF145" s="166"/>
      <c r="AG145" s="166"/>
      <c r="AH145" s="166"/>
    </row>
    <row r="146" spans="1:34" ht="15.750000" customHeight="1">
      <c r="B146" s="166"/>
      <c r="H146" s="220"/>
      <c r="I146" s="65"/>
      <c r="J146" s="162"/>
      <c r="K146" s="65"/>
      <c r="L146" s="277"/>
      <c r="O146" s="165"/>
      <c r="P146" s="13"/>
      <c r="Q146" s="13"/>
      <c r="R146" s="13"/>
      <c r="S146" s="165"/>
      <c r="T146" s="13"/>
      <c r="U146" s="165"/>
      <c r="V146" s="165"/>
      <c r="W146" s="165"/>
      <c r="X146" s="165"/>
      <c r="Y146" s="165"/>
      <c r="Z146" s="166"/>
      <c r="AA146" s="166"/>
      <c r="AB146" s="166"/>
      <c r="AC146" s="166"/>
      <c r="AD146" s="166"/>
      <c r="AE146" s="166"/>
      <c r="AF146" s="166"/>
      <c r="AG146" s="166"/>
      <c r="AH146" s="166"/>
    </row>
    <row r="147" spans="1:34" ht="15.750000" customHeight="1">
      <c r="A147" s="156" t="s">
        <v>116</v>
      </c>
      <c r="B147" s="88"/>
      <c r="C147" s="241"/>
      <c r="D147" s="241"/>
      <c r="E147" s="158">
        <f>F147*120%</f>
        <v>0</v>
      </c>
      <c r="F147" s="158">
        <f>(D147-C147+1)*G147</f>
        <v>0</v>
      </c>
      <c r="G147" s="159">
        <f>M147*40</f>
        <v>0</v>
      </c>
      <c r="H147" s="162"/>
      <c r="I147" s="65"/>
      <c r="J147" s="277"/>
      <c r="K147" s="65"/>
      <c r="L147" s="277"/>
      <c r="M147" s="231"/>
      <c r="N147" s="163"/>
      <c r="O147" s="165"/>
      <c r="P147" s="13"/>
      <c r="Q147" s="13"/>
      <c r="R147" s="13"/>
      <c r="S147" s="165"/>
      <c r="T147" s="13"/>
      <c r="U147" s="165"/>
      <c r="V147" s="165"/>
      <c r="W147" s="165"/>
      <c r="X147" s="165"/>
      <c r="Y147" s="165"/>
      <c r="Z147" s="166"/>
      <c r="AA147" s="166"/>
      <c r="AB147" s="166"/>
      <c r="AC147" s="166"/>
      <c r="AD147" s="166"/>
      <c r="AE147" s="166"/>
      <c r="AF147" s="166"/>
      <c r="AG147" s="166"/>
      <c r="AH147" s="166"/>
    </row>
    <row r="148" spans="1:34" ht="15.750000" customHeight="1">
      <c r="B148" s="88"/>
      <c r="H148" s="162"/>
      <c r="I148" s="65"/>
      <c r="J148" s="277"/>
      <c r="K148" s="65"/>
      <c r="L148" s="277"/>
      <c r="O148" s="165"/>
      <c r="P148" s="13"/>
      <c r="Q148" s="13"/>
      <c r="R148" s="13"/>
      <c r="S148" s="165"/>
      <c r="T148" s="13"/>
      <c r="U148" s="165"/>
      <c r="V148" s="165"/>
      <c r="W148" s="165"/>
      <c r="X148" s="165"/>
      <c r="Y148" s="165"/>
      <c r="Z148" s="166"/>
      <c r="AA148" s="166"/>
      <c r="AB148" s="166"/>
      <c r="AC148" s="166"/>
      <c r="AD148" s="166"/>
      <c r="AE148" s="166"/>
      <c r="AF148" s="166"/>
      <c r="AG148" s="166"/>
      <c r="AH148" s="166"/>
    </row>
    <row r="149" spans="1:34" ht="15.750000" customHeight="1">
      <c r="B149" s="88"/>
      <c r="H149" s="162"/>
      <c r="I149" s="65"/>
      <c r="J149" s="162"/>
      <c r="K149" s="188"/>
      <c r="L149" s="277"/>
      <c r="O149" s="165"/>
      <c r="P149" s="13"/>
      <c r="Q149" s="13"/>
      <c r="R149" s="13"/>
      <c r="S149" s="165"/>
      <c r="T149" s="13"/>
      <c r="U149" s="165"/>
      <c r="V149" s="165"/>
      <c r="W149" s="165"/>
      <c r="X149" s="165"/>
      <c r="Y149" s="165"/>
      <c r="Z149" s="166"/>
      <c r="AA149" s="166"/>
      <c r="AB149" s="166"/>
      <c r="AC149" s="166"/>
      <c r="AD149" s="166"/>
      <c r="AE149" s="166"/>
      <c r="AF149" s="166"/>
      <c r="AG149" s="166"/>
      <c r="AH149" s="166"/>
    </row>
    <row r="150" spans="1:34" ht="15.750000" customHeight="1">
      <c r="B150" s="88"/>
      <c r="H150" s="162"/>
      <c r="I150" s="65"/>
      <c r="J150" s="162"/>
      <c r="K150" s="188"/>
      <c r="L150" s="277"/>
      <c r="O150" s="165"/>
      <c r="P150" s="13"/>
      <c r="Q150" s="13"/>
      <c r="R150" s="13"/>
      <c r="S150" s="165"/>
      <c r="T150" s="13"/>
      <c r="U150" s="165"/>
      <c r="V150" s="165"/>
      <c r="W150" s="165"/>
      <c r="X150" s="165"/>
      <c r="Y150" s="165"/>
      <c r="Z150" s="166"/>
      <c r="AA150" s="166"/>
      <c r="AB150" s="166"/>
      <c r="AC150" s="166"/>
      <c r="AD150" s="166"/>
      <c r="AE150" s="166"/>
      <c r="AF150" s="166"/>
      <c r="AG150" s="166"/>
      <c r="AH150" s="166"/>
    </row>
    <row r="151" spans="1:34" ht="15.750000" customHeight="1">
      <c r="B151" s="166"/>
      <c r="H151" s="220"/>
      <c r="I151" s="65"/>
      <c r="J151" s="162"/>
      <c r="K151" s="65"/>
      <c r="L151" s="277"/>
      <c r="O151" s="165"/>
      <c r="P151" s="13"/>
      <c r="Q151" s="13"/>
      <c r="R151" s="13"/>
      <c r="S151" s="165"/>
      <c r="T151" s="13"/>
      <c r="U151" s="165"/>
      <c r="V151" s="165"/>
      <c r="W151" s="165"/>
      <c r="X151" s="165"/>
      <c r="Y151" s="165"/>
      <c r="Z151" s="166"/>
      <c r="AA151" s="166"/>
      <c r="AB151" s="166"/>
      <c r="AC151" s="166"/>
      <c r="AD151" s="166"/>
      <c r="AE151" s="166"/>
      <c r="AF151" s="166"/>
      <c r="AG151" s="166"/>
      <c r="AH151" s="166"/>
    </row>
    <row r="152" spans="1:34" ht="15.750000" customHeight="1">
      <c r="A152" s="156" t="s">
        <v>116</v>
      </c>
      <c r="B152" s="88"/>
      <c r="C152" s="241"/>
      <c r="D152" s="241"/>
      <c r="E152" s="158">
        <f>F152*120%</f>
        <v>0</v>
      </c>
      <c r="F152" s="158">
        <f>(D152-C152+1)*G152</f>
        <v>0</v>
      </c>
      <c r="G152" s="159">
        <f>M152*40</f>
        <v>0</v>
      </c>
      <c r="H152" s="162"/>
      <c r="I152" s="65"/>
      <c r="J152" s="277"/>
      <c r="K152" s="65"/>
      <c r="L152" s="277"/>
      <c r="M152" s="231"/>
      <c r="N152" s="163"/>
      <c r="O152" s="165"/>
      <c r="P152" s="13"/>
      <c r="Q152" s="13"/>
      <c r="R152" s="13"/>
      <c r="S152" s="165"/>
      <c r="T152" s="13"/>
      <c r="U152" s="165"/>
      <c r="V152" s="165"/>
      <c r="W152" s="165"/>
      <c r="X152" s="165"/>
      <c r="Y152" s="165"/>
      <c r="Z152" s="166"/>
      <c r="AA152" s="166"/>
      <c r="AB152" s="166"/>
      <c r="AC152" s="166"/>
      <c r="AD152" s="166"/>
      <c r="AE152" s="166"/>
      <c r="AF152" s="166"/>
      <c r="AG152" s="166"/>
      <c r="AH152" s="166"/>
    </row>
    <row r="153" spans="1:34" ht="15.750000" customHeight="1">
      <c r="B153" s="88"/>
      <c r="H153" s="162"/>
      <c r="I153" s="65"/>
      <c r="J153" s="277"/>
      <c r="K153" s="65"/>
      <c r="L153" s="277"/>
      <c r="O153" s="165"/>
      <c r="P153" s="13"/>
      <c r="Q153" s="13"/>
      <c r="R153" s="13"/>
      <c r="S153" s="165"/>
      <c r="T153" s="13"/>
      <c r="U153" s="165"/>
      <c r="V153" s="165"/>
      <c r="W153" s="165"/>
      <c r="X153" s="165"/>
      <c r="Y153" s="165"/>
      <c r="Z153" s="166"/>
      <c r="AA153" s="166"/>
      <c r="AB153" s="166"/>
      <c r="AC153" s="166"/>
      <c r="AD153" s="166"/>
      <c r="AE153" s="166"/>
      <c r="AF153" s="166"/>
      <c r="AG153" s="166"/>
      <c r="AH153" s="166"/>
    </row>
    <row r="154" spans="1:34" ht="15.750000" customHeight="1">
      <c r="B154" s="88"/>
      <c r="H154" s="162"/>
      <c r="I154" s="65"/>
      <c r="J154" s="162"/>
      <c r="K154" s="188"/>
      <c r="L154" s="277"/>
      <c r="O154" s="165"/>
      <c r="P154" s="13"/>
      <c r="Q154" s="13"/>
      <c r="R154" s="13"/>
      <c r="S154" s="165"/>
      <c r="T154" s="13"/>
      <c r="U154" s="165"/>
      <c r="V154" s="165"/>
      <c r="W154" s="165"/>
      <c r="X154" s="165"/>
      <c r="Y154" s="165"/>
      <c r="Z154" s="166"/>
      <c r="AA154" s="166"/>
      <c r="AB154" s="166"/>
      <c r="AC154" s="166"/>
      <c r="AD154" s="166"/>
      <c r="AE154" s="166"/>
      <c r="AF154" s="166"/>
      <c r="AG154" s="166"/>
      <c r="AH154" s="166"/>
    </row>
    <row r="155" spans="1:34" ht="15.750000" customHeight="1">
      <c r="B155" s="88"/>
      <c r="H155" s="162"/>
      <c r="I155" s="65"/>
      <c r="J155" s="162"/>
      <c r="K155" s="188"/>
      <c r="L155" s="277"/>
      <c r="O155" s="165"/>
      <c r="P155" s="13"/>
      <c r="Q155" s="13"/>
      <c r="R155" s="13"/>
      <c r="S155" s="165"/>
      <c r="T155" s="13"/>
      <c r="U155" s="165"/>
      <c r="V155" s="165"/>
      <c r="W155" s="165"/>
      <c r="X155" s="165"/>
      <c r="Y155" s="165"/>
      <c r="Z155" s="166"/>
      <c r="AA155" s="166"/>
      <c r="AB155" s="166"/>
      <c r="AC155" s="166"/>
      <c r="AD155" s="166"/>
      <c r="AE155" s="166"/>
      <c r="AF155" s="166"/>
      <c r="AG155" s="166"/>
      <c r="AH155" s="166"/>
    </row>
    <row r="156" spans="1:34" ht="15.750000" customHeight="1">
      <c r="B156" s="166"/>
      <c r="H156" s="220"/>
      <c r="I156" s="65"/>
      <c r="J156" s="162"/>
      <c r="K156" s="65"/>
      <c r="L156" s="277"/>
      <c r="O156" s="165"/>
      <c r="P156" s="13"/>
      <c r="Q156" s="13"/>
      <c r="R156" s="13"/>
      <c r="S156" s="165"/>
      <c r="T156" s="13"/>
      <c r="U156" s="165"/>
      <c r="V156" s="165"/>
      <c r="W156" s="165"/>
      <c r="X156" s="165"/>
      <c r="Y156" s="165"/>
      <c r="Z156" s="166"/>
      <c r="AA156" s="166"/>
      <c r="AB156" s="166"/>
      <c r="AC156" s="166"/>
      <c r="AD156" s="166"/>
      <c r="AE156" s="166"/>
      <c r="AF156" s="166"/>
      <c r="AG156" s="166"/>
      <c r="AH156" s="166"/>
    </row>
    <row r="157" spans="1:34" ht="15.750000" customHeight="1">
      <c r="A157" s="156" t="s">
        <v>116</v>
      </c>
      <c r="B157" s="88"/>
      <c r="C157" s="241"/>
      <c r="D157" s="241"/>
      <c r="E157" s="158">
        <f>F157*120%</f>
        <v>0</v>
      </c>
      <c r="F157" s="158">
        <f>(D157-C157+1)*G157</f>
        <v>0</v>
      </c>
      <c r="G157" s="159">
        <f>M157*40</f>
        <v>0</v>
      </c>
      <c r="H157" s="162"/>
      <c r="I157" s="65"/>
      <c r="J157" s="277"/>
      <c r="K157" s="65"/>
      <c r="L157" s="277"/>
      <c r="M157" s="231"/>
      <c r="N157" s="163"/>
      <c r="O157" s="165"/>
      <c r="P157" s="13"/>
      <c r="Q157" s="13"/>
      <c r="R157" s="13"/>
      <c r="S157" s="165"/>
      <c r="T157" s="13"/>
      <c r="U157" s="165"/>
      <c r="V157" s="165"/>
      <c r="W157" s="165"/>
      <c r="X157" s="165"/>
      <c r="Y157" s="165"/>
      <c r="Z157" s="166"/>
      <c r="AA157" s="166"/>
      <c r="AB157" s="166"/>
      <c r="AC157" s="166"/>
      <c r="AD157" s="166"/>
      <c r="AE157" s="166"/>
      <c r="AF157" s="166"/>
      <c r="AG157" s="166"/>
      <c r="AH157" s="166"/>
    </row>
    <row r="158" spans="1:34" ht="15.750000" customHeight="1">
      <c r="B158" s="88"/>
      <c r="H158" s="162"/>
      <c r="I158" s="65"/>
      <c r="J158" s="277"/>
      <c r="K158" s="65"/>
      <c r="L158" s="277"/>
      <c r="O158" s="165"/>
      <c r="P158" s="13"/>
      <c r="Q158" s="13"/>
      <c r="R158" s="13"/>
      <c r="S158" s="165"/>
      <c r="T158" s="13"/>
      <c r="U158" s="165"/>
      <c r="V158" s="165"/>
      <c r="W158" s="165"/>
      <c r="X158" s="165"/>
      <c r="Y158" s="165"/>
      <c r="Z158" s="166"/>
      <c r="AA158" s="166"/>
      <c r="AB158" s="166"/>
      <c r="AC158" s="166"/>
      <c r="AD158" s="166"/>
      <c r="AE158" s="166"/>
      <c r="AF158" s="166"/>
      <c r="AG158" s="166"/>
      <c r="AH158" s="166"/>
    </row>
    <row r="159" spans="1:34" ht="15.750000" customHeight="1">
      <c r="B159" s="88"/>
      <c r="H159" s="162"/>
      <c r="I159" s="65"/>
      <c r="J159" s="162"/>
      <c r="K159" s="188"/>
      <c r="L159" s="277"/>
      <c r="O159" s="165"/>
      <c r="P159" s="13"/>
      <c r="Q159" s="13"/>
      <c r="R159" s="13"/>
      <c r="S159" s="165"/>
      <c r="T159" s="13"/>
      <c r="U159" s="165"/>
      <c r="V159" s="165"/>
      <c r="W159" s="165"/>
      <c r="X159" s="165"/>
      <c r="Y159" s="165"/>
      <c r="Z159" s="166"/>
      <c r="AA159" s="166"/>
      <c r="AB159" s="166"/>
      <c r="AC159" s="166"/>
      <c r="AD159" s="166"/>
      <c r="AE159" s="166"/>
      <c r="AF159" s="166"/>
      <c r="AG159" s="166"/>
      <c r="AH159" s="166"/>
    </row>
    <row r="160" spans="1:34" ht="15.750000" customHeight="1">
      <c r="B160" s="88"/>
      <c r="H160" s="162"/>
      <c r="I160" s="65"/>
      <c r="J160" s="162"/>
      <c r="K160" s="188"/>
      <c r="L160" s="277"/>
      <c r="O160" s="165"/>
      <c r="P160" s="13"/>
      <c r="Q160" s="13"/>
      <c r="R160" s="13"/>
      <c r="S160" s="165"/>
      <c r="T160" s="13"/>
      <c r="U160" s="165"/>
      <c r="V160" s="165"/>
      <c r="W160" s="165"/>
      <c r="X160" s="165"/>
      <c r="Y160" s="165"/>
      <c r="Z160" s="166"/>
      <c r="AA160" s="166"/>
      <c r="AB160" s="166"/>
      <c r="AC160" s="166"/>
      <c r="AD160" s="166"/>
      <c r="AE160" s="166"/>
      <c r="AF160" s="166"/>
      <c r="AG160" s="166"/>
      <c r="AH160" s="166"/>
    </row>
    <row r="161" spans="1:34" ht="15.750000" customHeight="1">
      <c r="B161" s="166"/>
      <c r="H161" s="220"/>
      <c r="I161" s="65"/>
      <c r="J161" s="162"/>
      <c r="K161" s="65"/>
      <c r="L161" s="277"/>
      <c r="O161" s="165"/>
      <c r="P161" s="13"/>
      <c r="Q161" s="13"/>
      <c r="R161" s="13"/>
      <c r="S161" s="165"/>
      <c r="T161" s="13"/>
      <c r="U161" s="165"/>
      <c r="V161" s="165"/>
      <c r="W161" s="165"/>
      <c r="X161" s="165"/>
      <c r="Y161" s="165"/>
      <c r="Z161" s="166"/>
      <c r="AA161" s="166"/>
      <c r="AB161" s="166"/>
      <c r="AC161" s="166"/>
      <c r="AD161" s="166"/>
      <c r="AE161" s="166"/>
      <c r="AF161" s="166"/>
      <c r="AG161" s="166"/>
      <c r="AH161" s="166"/>
    </row>
    <row r="162" spans="1:34" ht="15.750000" customHeight="1">
      <c r="A162" s="156" t="s">
        <v>116</v>
      </c>
      <c r="B162" s="88"/>
      <c r="C162" s="241"/>
      <c r="D162" s="241"/>
      <c r="E162" s="158">
        <f>F162*120%</f>
        <v>0</v>
      </c>
      <c r="F162" s="158">
        <f>(D162-C162+1)*G162</f>
        <v>0</v>
      </c>
      <c r="G162" s="159">
        <f>M162*40</f>
        <v>0</v>
      </c>
      <c r="H162" s="162"/>
      <c r="I162" s="65"/>
      <c r="J162" s="277"/>
      <c r="K162" s="65"/>
      <c r="L162" s="277"/>
      <c r="M162" s="231"/>
      <c r="N162" s="163"/>
      <c r="O162" s="165"/>
      <c r="P162" s="13"/>
      <c r="Q162" s="13"/>
      <c r="R162" s="13"/>
      <c r="S162" s="165"/>
      <c r="T162" s="13"/>
      <c r="U162" s="165"/>
      <c r="V162" s="165"/>
      <c r="W162" s="165"/>
      <c r="X162" s="165"/>
      <c r="Y162" s="165"/>
      <c r="Z162" s="166"/>
      <c r="AA162" s="166"/>
      <c r="AB162" s="166"/>
      <c r="AC162" s="166"/>
      <c r="AD162" s="166"/>
      <c r="AE162" s="166"/>
      <c r="AF162" s="166"/>
      <c r="AG162" s="166"/>
      <c r="AH162" s="166"/>
    </row>
    <row r="163" spans="1:34" ht="15.750000" customHeight="1">
      <c r="B163" s="88"/>
      <c r="H163" s="162"/>
      <c r="I163" s="65"/>
      <c r="J163" s="277"/>
      <c r="K163" s="65"/>
      <c r="L163" s="277"/>
      <c r="O163" s="165"/>
      <c r="P163" s="13"/>
      <c r="Q163" s="13"/>
      <c r="R163" s="13"/>
      <c r="S163" s="165"/>
      <c r="T163" s="13"/>
      <c r="U163" s="165"/>
      <c r="V163" s="165"/>
      <c r="W163" s="165"/>
      <c r="X163" s="165"/>
      <c r="Y163" s="165"/>
      <c r="Z163" s="166"/>
      <c r="AA163" s="166"/>
      <c r="AB163" s="166"/>
      <c r="AC163" s="166"/>
      <c r="AD163" s="166"/>
      <c r="AE163" s="166"/>
      <c r="AF163" s="166"/>
      <c r="AG163" s="166"/>
      <c r="AH163" s="166"/>
    </row>
    <row r="164" spans="1:34" ht="15.750000" customHeight="1">
      <c r="B164" s="88"/>
      <c r="H164" s="162"/>
      <c r="I164" s="65"/>
      <c r="J164" s="162"/>
      <c r="K164" s="188"/>
      <c r="L164" s="277"/>
      <c r="O164" s="165"/>
      <c r="P164" s="13"/>
      <c r="Q164" s="13"/>
      <c r="R164" s="13"/>
      <c r="S164" s="165"/>
      <c r="T164" s="13"/>
      <c r="U164" s="165"/>
      <c r="V164" s="165"/>
      <c r="W164" s="165"/>
      <c r="X164" s="165"/>
      <c r="Y164" s="165"/>
      <c r="Z164" s="166"/>
      <c r="AA164" s="166"/>
      <c r="AB164" s="166"/>
      <c r="AC164" s="166"/>
      <c r="AD164" s="166"/>
      <c r="AE164" s="166"/>
      <c r="AF164" s="166"/>
      <c r="AG164" s="166"/>
      <c r="AH164" s="166"/>
    </row>
    <row r="165" spans="1:34" ht="15.750000" customHeight="1">
      <c r="B165" s="88"/>
      <c r="H165" s="162"/>
      <c r="I165" s="65"/>
      <c r="J165" s="162"/>
      <c r="K165" s="188"/>
      <c r="L165" s="277"/>
      <c r="O165" s="165"/>
      <c r="P165" s="13"/>
      <c r="Q165" s="13"/>
      <c r="R165" s="13"/>
      <c r="S165" s="165"/>
      <c r="T165" s="13"/>
      <c r="U165" s="165"/>
      <c r="V165" s="165"/>
      <c r="W165" s="165"/>
      <c r="X165" s="165"/>
      <c r="Y165" s="165"/>
      <c r="Z165" s="166"/>
      <c r="AA165" s="166"/>
      <c r="AB165" s="166"/>
      <c r="AC165" s="166"/>
      <c r="AD165" s="166"/>
      <c r="AE165" s="166"/>
      <c r="AF165" s="166"/>
      <c r="AG165" s="166"/>
      <c r="AH165" s="166"/>
    </row>
    <row r="166" spans="1:34" ht="15.750000" customHeight="1">
      <c r="B166" s="166"/>
      <c r="H166" s="220"/>
      <c r="I166" s="65"/>
      <c r="J166" s="162"/>
      <c r="K166" s="65"/>
      <c r="L166" s="277"/>
      <c r="O166" s="165"/>
      <c r="P166" s="13"/>
      <c r="Q166" s="13"/>
      <c r="R166" s="13"/>
      <c r="S166" s="165"/>
      <c r="T166" s="13"/>
      <c r="U166" s="165"/>
      <c r="V166" s="165"/>
      <c r="W166" s="165"/>
      <c r="X166" s="165"/>
      <c r="Y166" s="165"/>
      <c r="Z166" s="166"/>
      <c r="AA166" s="166"/>
      <c r="AB166" s="166"/>
      <c r="AC166" s="166"/>
      <c r="AD166" s="166"/>
      <c r="AE166" s="166"/>
      <c r="AF166" s="166"/>
      <c r="AG166" s="166"/>
      <c r="AH166" s="166"/>
    </row>
    <row r="167" spans="1:34" ht="15.750000" customHeight="1">
      <c r="A167" s="156" t="s">
        <v>116</v>
      </c>
      <c r="B167" s="88"/>
      <c r="C167" s="241"/>
      <c r="D167" s="241"/>
      <c r="E167" s="158">
        <f>F167*120%</f>
        <v>0</v>
      </c>
      <c r="F167" s="158">
        <f>(D167-C167+1)*G167</f>
        <v>0</v>
      </c>
      <c r="G167" s="159">
        <f>M167*40</f>
        <v>0</v>
      </c>
      <c r="H167" s="162"/>
      <c r="I167" s="65"/>
      <c r="J167" s="277"/>
      <c r="K167" s="65"/>
      <c r="L167" s="277"/>
      <c r="M167" s="231"/>
      <c r="N167" s="163"/>
      <c r="O167" s="165"/>
      <c r="P167" s="13"/>
      <c r="Q167" s="13"/>
      <c r="R167" s="13"/>
      <c r="S167" s="165"/>
      <c r="T167" s="13"/>
      <c r="U167" s="165"/>
      <c r="V167" s="165"/>
      <c r="W167" s="165"/>
      <c r="X167" s="165"/>
      <c r="Y167" s="165"/>
      <c r="Z167" s="166"/>
      <c r="AA167" s="166"/>
      <c r="AB167" s="166"/>
      <c r="AC167" s="166"/>
      <c r="AD167" s="166"/>
      <c r="AE167" s="166"/>
      <c r="AF167" s="166"/>
      <c r="AG167" s="166"/>
      <c r="AH167" s="166"/>
    </row>
    <row r="168" spans="1:34" ht="15.750000" customHeight="1">
      <c r="B168" s="88"/>
      <c r="H168" s="162"/>
      <c r="I168" s="65"/>
      <c r="J168" s="277"/>
      <c r="K168" s="65"/>
      <c r="L168" s="277"/>
      <c r="O168" s="165"/>
      <c r="P168" s="13"/>
      <c r="Q168" s="13"/>
      <c r="R168" s="13"/>
      <c r="S168" s="165"/>
      <c r="T168" s="13"/>
      <c r="U168" s="165"/>
      <c r="V168" s="165"/>
      <c r="W168" s="165"/>
      <c r="X168" s="165"/>
      <c r="Y168" s="165"/>
      <c r="Z168" s="166"/>
      <c r="AA168" s="166"/>
      <c r="AB168" s="166"/>
      <c r="AC168" s="166"/>
      <c r="AD168" s="166"/>
      <c r="AE168" s="166"/>
      <c r="AF168" s="166"/>
      <c r="AG168" s="166"/>
      <c r="AH168" s="166"/>
    </row>
    <row r="169" spans="1:34" ht="15.750000" customHeight="1">
      <c r="B169" s="88"/>
      <c r="H169" s="162"/>
      <c r="I169" s="65"/>
      <c r="J169" s="162"/>
      <c r="K169" s="188"/>
      <c r="L169" s="277"/>
      <c r="O169" s="165"/>
      <c r="P169" s="13"/>
      <c r="Q169" s="13"/>
      <c r="R169" s="13"/>
      <c r="S169" s="165"/>
      <c r="T169" s="13"/>
      <c r="U169" s="165"/>
      <c r="V169" s="165"/>
      <c r="W169" s="165"/>
      <c r="X169" s="165"/>
      <c r="Y169" s="165"/>
      <c r="Z169" s="166"/>
      <c r="AA169" s="166"/>
      <c r="AB169" s="166"/>
      <c r="AC169" s="166"/>
      <c r="AD169" s="166"/>
      <c r="AE169" s="166"/>
      <c r="AF169" s="166"/>
      <c r="AG169" s="166"/>
      <c r="AH169" s="166"/>
    </row>
    <row r="170" spans="1:34" ht="15.750000" customHeight="1">
      <c r="B170" s="88"/>
      <c r="H170" s="162"/>
      <c r="I170" s="65"/>
      <c r="J170" s="162"/>
      <c r="K170" s="188"/>
      <c r="L170" s="277"/>
      <c r="O170" s="165"/>
      <c r="P170" s="13"/>
      <c r="Q170" s="13"/>
      <c r="R170" s="13"/>
      <c r="S170" s="165"/>
      <c r="T170" s="13"/>
      <c r="U170" s="165"/>
      <c r="V170" s="165"/>
      <c r="W170" s="165"/>
      <c r="X170" s="165"/>
      <c r="Y170" s="165"/>
      <c r="Z170" s="166"/>
      <c r="AA170" s="166"/>
      <c r="AB170" s="166"/>
      <c r="AC170" s="166"/>
      <c r="AD170" s="166"/>
      <c r="AE170" s="166"/>
      <c r="AF170" s="166"/>
      <c r="AG170" s="166"/>
      <c r="AH170" s="166"/>
    </row>
    <row r="171" spans="1:34" ht="15.750000" customHeight="1">
      <c r="B171" s="166"/>
      <c r="H171" s="220"/>
      <c r="I171" s="65"/>
      <c r="J171" s="162"/>
      <c r="K171" s="65"/>
      <c r="L171" s="277"/>
      <c r="O171" s="165"/>
      <c r="P171" s="13"/>
      <c r="Q171" s="13"/>
      <c r="R171" s="13"/>
      <c r="S171" s="165"/>
      <c r="T171" s="13"/>
      <c r="U171" s="165"/>
      <c r="V171" s="165"/>
      <c r="W171" s="165"/>
      <c r="X171" s="165"/>
      <c r="Y171" s="165"/>
      <c r="Z171" s="166"/>
      <c r="AA171" s="166"/>
      <c r="AB171" s="166"/>
      <c r="AC171" s="166"/>
      <c r="AD171" s="166"/>
      <c r="AE171" s="166"/>
      <c r="AF171" s="166"/>
      <c r="AG171" s="166"/>
      <c r="AH171" s="166"/>
    </row>
    <row r="172" spans="1:34" ht="15.750000" customHeight="1">
      <c r="A172" s="156" t="s">
        <v>116</v>
      </c>
      <c r="B172" s="88"/>
      <c r="C172" s="241"/>
      <c r="D172" s="241"/>
      <c r="E172" s="158">
        <f>F172*120%</f>
        <v>0</v>
      </c>
      <c r="F172" s="158">
        <f>(D172-C172+1)*G172</f>
        <v>0</v>
      </c>
      <c r="G172" s="159">
        <f>M172*40</f>
        <v>0</v>
      </c>
      <c r="H172" s="277"/>
      <c r="I172" s="65"/>
      <c r="J172" s="277"/>
      <c r="K172" s="65"/>
      <c r="L172" s="277"/>
      <c r="M172" s="231"/>
      <c r="N172" s="163"/>
      <c r="O172" s="13"/>
      <c r="P172" s="65"/>
      <c r="Q172" s="13"/>
      <c r="R172" s="13"/>
      <c r="S172" s="65"/>
      <c r="T172" s="13"/>
      <c r="U172" s="65"/>
      <c r="V172" s="65"/>
      <c r="W172" s="65"/>
      <c r="X172" s="65"/>
      <c r="Y172" s="65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0000" customHeight="1">
      <c r="B173" s="1"/>
      <c r="H173" s="65"/>
      <c r="I173" s="65"/>
      <c r="J173" s="65"/>
      <c r="K173" s="65"/>
      <c r="L173" s="65"/>
      <c r="O173" s="13"/>
      <c r="P173" s="65"/>
      <c r="Q173" s="13"/>
      <c r="R173" s="13"/>
      <c r="S173" s="65"/>
      <c r="T173" s="65"/>
      <c r="U173" s="65"/>
      <c r="V173" s="65"/>
      <c r="W173" s="65"/>
      <c r="X173" s="65"/>
      <c r="Y173" s="65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0000" customHeight="1">
      <c r="B174" s="1"/>
      <c r="H174" s="65"/>
      <c r="I174" s="65"/>
      <c r="J174" s="65"/>
      <c r="K174" s="65"/>
      <c r="L174" s="65"/>
      <c r="O174" s="13"/>
      <c r="P174" s="65"/>
      <c r="Q174" s="13"/>
      <c r="R174" s="13"/>
      <c r="S174" s="65"/>
      <c r="T174" s="65"/>
      <c r="U174" s="65"/>
      <c r="V174" s="65"/>
      <c r="W174" s="65"/>
      <c r="X174" s="65"/>
      <c r="Y174" s="65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0000" customHeight="1">
      <c r="B175" s="1"/>
      <c r="H175" s="65"/>
      <c r="I175" s="65"/>
      <c r="J175" s="65"/>
      <c r="K175" s="65"/>
      <c r="L175" s="65"/>
      <c r="O175" s="13"/>
      <c r="P175" s="65"/>
      <c r="Q175" s="13"/>
      <c r="R175" s="13"/>
      <c r="S175" s="65"/>
      <c r="T175" s="65"/>
      <c r="U175" s="65"/>
      <c r="V175" s="65"/>
      <c r="W175" s="65"/>
      <c r="X175" s="65"/>
      <c r="Y175" s="65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0000" customHeight="1">
      <c r="B176" s="1"/>
      <c r="H176" s="169"/>
      <c r="I176" s="65"/>
      <c r="J176" s="65"/>
      <c r="K176" s="65"/>
      <c r="L176" s="65"/>
      <c r="O176" s="13"/>
      <c r="P176" s="65"/>
      <c r="Q176" s="13"/>
      <c r="R176" s="13"/>
      <c r="S176" s="65"/>
      <c r="T176" s="65"/>
      <c r="U176" s="65"/>
      <c r="V176" s="65"/>
      <c r="W176" s="65"/>
      <c r="X176" s="65"/>
      <c r="Y176" s="65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0000" customHeight="1">
      <c r="A177" s="156" t="s">
        <v>116</v>
      </c>
      <c r="B177" s="88"/>
      <c r="C177" s="241"/>
      <c r="D177" s="241"/>
      <c r="E177" s="158">
        <f>F177*120%</f>
        <v>0</v>
      </c>
      <c r="F177" s="158">
        <f>(D177-C177+1)*G177</f>
        <v>0</v>
      </c>
      <c r="G177" s="159">
        <f>M177*40</f>
        <v>0</v>
      </c>
      <c r="H177" s="277"/>
      <c r="I177" s="65"/>
      <c r="J177" s="277"/>
      <c r="K177" s="65"/>
      <c r="L177" s="277"/>
      <c r="M177" s="231"/>
      <c r="N177" s="163"/>
      <c r="O177" s="65"/>
      <c r="P177" s="65"/>
      <c r="Q177" s="13"/>
      <c r="R177" s="13"/>
      <c r="S177" s="65"/>
      <c r="T177" s="65"/>
      <c r="U177" s="65"/>
      <c r="V177" s="65"/>
      <c r="W177" s="65"/>
      <c r="X177" s="65"/>
      <c r="Y177" s="65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0000" customHeight="1">
      <c r="B178" s="88"/>
      <c r="H178" s="65"/>
      <c r="I178" s="65"/>
      <c r="J178" s="65"/>
      <c r="K178" s="65"/>
      <c r="L178" s="65"/>
      <c r="O178" s="65"/>
      <c r="P178" s="65"/>
      <c r="Q178" s="13"/>
      <c r="R178" s="13"/>
      <c r="S178" s="65"/>
      <c r="T178" s="65"/>
      <c r="U178" s="65"/>
      <c r="V178" s="65"/>
      <c r="W178" s="65"/>
      <c r="X178" s="65"/>
      <c r="Y178" s="65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0000" customHeight="1">
      <c r="B179" s="88"/>
      <c r="H179" s="65"/>
      <c r="I179" s="65"/>
      <c r="J179" s="65"/>
      <c r="K179" s="65"/>
      <c r="L179" s="65"/>
      <c r="O179" s="65"/>
      <c r="P179" s="65"/>
      <c r="Q179" s="13"/>
      <c r="R179" s="13"/>
      <c r="S179" s="65"/>
      <c r="T179" s="65"/>
      <c r="U179" s="65"/>
      <c r="V179" s="65"/>
      <c r="W179" s="65"/>
      <c r="X179" s="65"/>
      <c r="Y179" s="65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0000" customHeight="1">
      <c r="B180" s="88"/>
      <c r="H180" s="65"/>
      <c r="I180" s="65"/>
      <c r="J180" s="65"/>
      <c r="K180" s="65"/>
      <c r="L180" s="65"/>
      <c r="O180" s="65"/>
      <c r="P180" s="65"/>
      <c r="Q180" s="13"/>
      <c r="R180" s="13"/>
      <c r="S180" s="65"/>
      <c r="T180" s="65"/>
      <c r="U180" s="65"/>
      <c r="V180" s="65"/>
      <c r="W180" s="65"/>
      <c r="X180" s="65"/>
      <c r="Y180" s="65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0000" customHeight="1">
      <c r="B181" s="88"/>
      <c r="H181" s="169"/>
      <c r="I181" s="65"/>
      <c r="J181" s="65"/>
      <c r="K181" s="65"/>
      <c r="L181" s="65"/>
      <c r="O181" s="65"/>
      <c r="P181" s="65"/>
      <c r="Q181" s="13"/>
      <c r="R181" s="13"/>
      <c r="S181" s="65"/>
      <c r="T181" s="65"/>
      <c r="U181" s="65"/>
      <c r="V181" s="65"/>
      <c r="W181" s="65"/>
      <c r="X181" s="65"/>
      <c r="Y181" s="65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0000" customHeight="1">
      <c r="A182" s="156" t="s">
        <v>116</v>
      </c>
      <c r="B182" s="88"/>
      <c r="C182" s="241"/>
      <c r="D182" s="241"/>
      <c r="E182" s="158">
        <f>F182*120%</f>
        <v>0</v>
      </c>
      <c r="F182" s="158">
        <f>(D182-C182+1)*G182</f>
        <v>0</v>
      </c>
      <c r="G182" s="159">
        <f>M182*40</f>
        <v>0</v>
      </c>
      <c r="H182" s="277"/>
      <c r="I182" s="65"/>
      <c r="J182" s="277"/>
      <c r="K182" s="65"/>
      <c r="L182" s="277"/>
      <c r="M182" s="231"/>
      <c r="N182" s="163"/>
      <c r="O182" s="65"/>
      <c r="P182" s="65"/>
      <c r="Q182" s="13"/>
      <c r="R182" s="13"/>
      <c r="S182" s="65"/>
      <c r="T182" s="13"/>
      <c r="U182" s="165"/>
      <c r="V182" s="165"/>
      <c r="W182" s="165"/>
      <c r="X182" s="165"/>
      <c r="Y182" s="165"/>
      <c r="Z182" s="166"/>
      <c r="AA182" s="166"/>
      <c r="AB182" s="166"/>
      <c r="AC182" s="166"/>
      <c r="AD182" s="166"/>
      <c r="AE182" s="166"/>
      <c r="AF182" s="166"/>
      <c r="AG182" s="166"/>
      <c r="AH182" s="166"/>
    </row>
    <row r="183" spans="1:34" ht="15.750000" customHeight="1">
      <c r="B183" s="88"/>
      <c r="H183" s="277"/>
      <c r="I183" s="65"/>
      <c r="J183" s="277"/>
      <c r="K183" s="65"/>
      <c r="L183" s="277"/>
      <c r="O183" s="65"/>
      <c r="P183" s="65"/>
      <c r="Q183" s="13"/>
      <c r="R183" s="13"/>
      <c r="S183" s="65"/>
      <c r="T183" s="65"/>
      <c r="U183" s="165"/>
      <c r="V183" s="165"/>
      <c r="W183" s="165"/>
      <c r="X183" s="165"/>
      <c r="Y183" s="165"/>
      <c r="Z183" s="166"/>
      <c r="AA183" s="166"/>
      <c r="AB183" s="166"/>
      <c r="AC183" s="166"/>
      <c r="AD183" s="166"/>
      <c r="AE183" s="166"/>
      <c r="AF183" s="166"/>
      <c r="AG183" s="166"/>
      <c r="AH183" s="166"/>
    </row>
    <row r="184" spans="1:34" ht="15.750000" customHeight="1">
      <c r="B184" s="88"/>
      <c r="H184" s="277"/>
      <c r="I184" s="65"/>
      <c r="J184" s="277"/>
      <c r="K184" s="65"/>
      <c r="L184" s="277"/>
      <c r="O184" s="65"/>
      <c r="P184" s="65"/>
      <c r="Q184" s="13"/>
      <c r="R184" s="13"/>
      <c r="S184" s="65"/>
      <c r="T184" s="65"/>
      <c r="U184" s="165"/>
      <c r="V184" s="165"/>
      <c r="W184" s="165"/>
      <c r="X184" s="165"/>
      <c r="Y184" s="165"/>
      <c r="Z184" s="166"/>
      <c r="AA184" s="166"/>
      <c r="AB184" s="166"/>
      <c r="AC184" s="166"/>
      <c r="AD184" s="166"/>
      <c r="AE184" s="166"/>
      <c r="AF184" s="166"/>
      <c r="AG184" s="166"/>
      <c r="AH184" s="166"/>
    </row>
    <row r="185" spans="1:34" ht="15.750000" customHeight="1">
      <c r="B185" s="88"/>
      <c r="H185" s="277"/>
      <c r="I185" s="65"/>
      <c r="J185" s="277"/>
      <c r="K185" s="65"/>
      <c r="L185" s="277"/>
      <c r="O185" s="65"/>
      <c r="P185" s="65"/>
      <c r="Q185" s="13"/>
      <c r="R185" s="13"/>
      <c r="S185" s="65"/>
      <c r="T185" s="65"/>
      <c r="U185" s="165"/>
      <c r="V185" s="165"/>
      <c r="W185" s="165"/>
      <c r="X185" s="165"/>
      <c r="Y185" s="165"/>
      <c r="Z185" s="166"/>
      <c r="AA185" s="166"/>
      <c r="AB185" s="166"/>
      <c r="AC185" s="166"/>
      <c r="AD185" s="166"/>
      <c r="AE185" s="166"/>
      <c r="AF185" s="166"/>
      <c r="AG185" s="166"/>
      <c r="AH185" s="166"/>
    </row>
    <row r="186" spans="1:34" ht="15.750000" customHeight="1">
      <c r="B186" s="88"/>
      <c r="H186" s="460"/>
      <c r="I186" s="65"/>
      <c r="J186" s="277"/>
      <c r="K186" s="65"/>
      <c r="L186" s="277"/>
      <c r="O186" s="65"/>
      <c r="P186" s="65"/>
      <c r="Q186" s="13"/>
      <c r="R186" s="13"/>
      <c r="S186" s="65"/>
      <c r="T186" s="65"/>
      <c r="U186" s="165"/>
      <c r="V186" s="165"/>
      <c r="W186" s="165"/>
      <c r="X186" s="165"/>
      <c r="Y186" s="165"/>
      <c r="Z186" s="166"/>
      <c r="AA186" s="166"/>
      <c r="AB186" s="166"/>
      <c r="AC186" s="166"/>
      <c r="AD186" s="166"/>
      <c r="AE186" s="166"/>
      <c r="AF186" s="166"/>
      <c r="AG186" s="166"/>
      <c r="AH186" s="166"/>
    </row>
    <row r="187" spans="1:34" ht="15.750000" customHeight="1">
      <c r="A187" s="156" t="s">
        <v>116</v>
      </c>
      <c r="B187" s="88"/>
      <c r="C187" s="241"/>
      <c r="D187" s="241"/>
      <c r="E187" s="158">
        <f>F187*120%</f>
        <v>0</v>
      </c>
      <c r="F187" s="158">
        <f>(D187-C187+1)*G187</f>
        <v>0</v>
      </c>
      <c r="G187" s="159">
        <f>M187*40</f>
        <v>0</v>
      </c>
      <c r="H187" s="277"/>
      <c r="I187" s="65"/>
      <c r="J187" s="277"/>
      <c r="K187" s="65"/>
      <c r="L187" s="277"/>
      <c r="M187" s="231"/>
      <c r="N187" s="163"/>
      <c r="O187" s="65"/>
      <c r="P187" s="65"/>
      <c r="Q187" s="13"/>
      <c r="R187" s="13"/>
      <c r="S187" s="65"/>
      <c r="T187" s="13"/>
      <c r="U187" s="165"/>
      <c r="V187" s="165"/>
      <c r="W187" s="165"/>
      <c r="X187" s="165"/>
      <c r="Y187" s="165"/>
      <c r="Z187" s="166"/>
      <c r="AA187" s="166"/>
      <c r="AB187" s="166"/>
      <c r="AC187" s="166"/>
      <c r="AD187" s="166"/>
      <c r="AE187" s="166"/>
      <c r="AF187" s="166"/>
      <c r="AG187" s="166"/>
      <c r="AH187" s="166"/>
    </row>
    <row r="188" spans="1:34" ht="15.750000" customHeight="1">
      <c r="B188" s="88"/>
      <c r="H188" s="277"/>
      <c r="I188" s="65"/>
      <c r="J188" s="277"/>
      <c r="K188" s="188"/>
      <c r="L188" s="277"/>
      <c r="O188" s="65"/>
      <c r="P188" s="65"/>
      <c r="Q188" s="13"/>
      <c r="R188" s="13"/>
      <c r="S188" s="65"/>
      <c r="T188" s="13"/>
      <c r="U188" s="165"/>
      <c r="V188" s="165"/>
      <c r="W188" s="165"/>
      <c r="X188" s="165"/>
      <c r="Y188" s="165"/>
      <c r="Z188" s="166"/>
      <c r="AA188" s="166"/>
      <c r="AB188" s="166"/>
      <c r="AC188" s="166"/>
      <c r="AD188" s="166"/>
      <c r="AE188" s="166"/>
      <c r="AF188" s="166"/>
      <c r="AG188" s="166"/>
      <c r="AH188" s="166"/>
    </row>
    <row r="189" spans="1:34" ht="15.750000" customHeight="1">
      <c r="B189" s="88"/>
      <c r="H189" s="277"/>
      <c r="I189" s="65"/>
      <c r="J189" s="277"/>
      <c r="K189" s="188"/>
      <c r="L189" s="277"/>
      <c r="O189" s="65"/>
      <c r="P189" s="65"/>
      <c r="Q189" s="13"/>
      <c r="R189" s="13"/>
      <c r="S189" s="65"/>
      <c r="T189" s="13"/>
      <c r="U189" s="165"/>
      <c r="V189" s="165"/>
      <c r="W189" s="165"/>
      <c r="X189" s="165"/>
      <c r="Y189" s="165"/>
      <c r="Z189" s="166"/>
      <c r="AA189" s="166"/>
      <c r="AB189" s="166"/>
      <c r="AC189" s="166"/>
      <c r="AD189" s="166"/>
      <c r="AE189" s="166"/>
      <c r="AF189" s="166"/>
      <c r="AG189" s="166"/>
      <c r="AH189" s="166"/>
    </row>
    <row r="190" spans="1:34" ht="15.750000" customHeight="1">
      <c r="B190" s="88"/>
      <c r="H190" s="277"/>
      <c r="I190" s="65"/>
      <c r="J190" s="277"/>
      <c r="K190" s="65"/>
      <c r="L190" s="277"/>
      <c r="O190" s="65"/>
      <c r="P190" s="65"/>
      <c r="Q190" s="13"/>
      <c r="R190" s="13"/>
      <c r="S190" s="65"/>
      <c r="T190" s="13"/>
      <c r="U190" s="165"/>
      <c r="V190" s="165"/>
      <c r="W190" s="165"/>
      <c r="X190" s="165"/>
      <c r="Y190" s="165"/>
      <c r="Z190" s="166"/>
      <c r="AA190" s="166"/>
      <c r="AB190" s="166"/>
      <c r="AC190" s="166"/>
      <c r="AD190" s="166"/>
      <c r="AE190" s="166"/>
      <c r="AF190" s="166"/>
      <c r="AG190" s="166"/>
      <c r="AH190" s="166"/>
    </row>
    <row r="191" spans="1:34" ht="15.750000" customHeight="1">
      <c r="B191" s="88"/>
      <c r="H191" s="460"/>
      <c r="I191" s="65"/>
      <c r="J191" s="277"/>
      <c r="K191" s="65"/>
      <c r="L191" s="277"/>
      <c r="O191" s="65"/>
      <c r="P191" s="65"/>
      <c r="Q191" s="13"/>
      <c r="R191" s="13"/>
      <c r="S191" s="65"/>
      <c r="T191" s="13"/>
      <c r="U191" s="165"/>
      <c r="V191" s="165"/>
      <c r="W191" s="165"/>
      <c r="X191" s="165"/>
      <c r="Y191" s="165"/>
      <c r="Z191" s="166"/>
      <c r="AA191" s="166"/>
      <c r="AB191" s="166"/>
      <c r="AC191" s="166"/>
      <c r="AD191" s="166"/>
      <c r="AE191" s="166"/>
      <c r="AF191" s="166"/>
      <c r="AG191" s="166"/>
      <c r="AH191" s="166"/>
    </row>
    <row r="192" spans="1:34" ht="15.750000" customHeight="1">
      <c r="A192" s="156" t="s">
        <v>116</v>
      </c>
      <c r="B192" s="88"/>
      <c r="C192" s="241"/>
      <c r="D192" s="241"/>
      <c r="E192" s="158">
        <f>F192*120%</f>
        <v>0</v>
      </c>
      <c r="F192" s="158">
        <f>(D192-C192+1)*G192</f>
        <v>0</v>
      </c>
      <c r="G192" s="159">
        <f>M192*40</f>
        <v>0</v>
      </c>
      <c r="H192" s="277"/>
      <c r="I192" s="65"/>
      <c r="J192" s="277"/>
      <c r="K192" s="65"/>
      <c r="L192" s="277"/>
      <c r="M192" s="231"/>
      <c r="N192" s="163"/>
      <c r="O192" s="65"/>
      <c r="P192" s="65"/>
      <c r="Q192" s="13"/>
      <c r="R192" s="13"/>
      <c r="S192" s="258"/>
      <c r="T192" s="13"/>
      <c r="U192" s="65"/>
      <c r="V192" s="65"/>
      <c r="W192" s="65"/>
      <c r="X192" s="65"/>
      <c r="Y192" s="65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0000" customHeight="1">
      <c r="B193" s="88"/>
      <c r="H193" s="277"/>
      <c r="I193" s="65"/>
      <c r="J193" s="277"/>
      <c r="K193" s="188"/>
      <c r="L193" s="277"/>
      <c r="O193" s="65"/>
      <c r="P193" s="65"/>
      <c r="Q193" s="13"/>
      <c r="R193" s="13"/>
      <c r="S193" s="65"/>
      <c r="T193" s="65"/>
      <c r="U193" s="65"/>
      <c r="V193" s="65"/>
      <c r="W193" s="65"/>
      <c r="X193" s="65"/>
      <c r="Y193" s="65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0000" customHeight="1">
      <c r="B194" s="88"/>
      <c r="H194" s="277"/>
      <c r="I194" s="65"/>
      <c r="J194" s="277"/>
      <c r="K194" s="188"/>
      <c r="L194" s="277"/>
      <c r="O194" s="65"/>
      <c r="P194" s="65"/>
      <c r="Q194" s="13"/>
      <c r="R194" s="13"/>
      <c r="S194" s="65"/>
      <c r="T194" s="65"/>
      <c r="U194" s="65"/>
      <c r="V194" s="65"/>
      <c r="W194" s="65"/>
      <c r="X194" s="65"/>
      <c r="Y194" s="65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0000" customHeight="1">
      <c r="B195" s="88"/>
      <c r="H195" s="277"/>
      <c r="I195" s="65"/>
      <c r="J195" s="277"/>
      <c r="K195" s="188"/>
      <c r="L195" s="277"/>
      <c r="O195" s="65"/>
      <c r="P195" s="65"/>
      <c r="Q195" s="13"/>
      <c r="R195" s="13"/>
      <c r="S195" s="65"/>
      <c r="T195" s="65"/>
      <c r="U195" s="65"/>
      <c r="V195" s="65"/>
      <c r="W195" s="65"/>
      <c r="X195" s="65"/>
      <c r="Y195" s="65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0000" customHeight="1">
      <c r="B196" s="88"/>
      <c r="H196" s="460"/>
      <c r="I196" s="65"/>
      <c r="J196" s="277"/>
      <c r="K196" s="188"/>
      <c r="L196" s="277"/>
      <c r="O196" s="65"/>
      <c r="P196" s="65"/>
      <c r="Q196" s="13"/>
      <c r="R196" s="13"/>
      <c r="S196" s="65"/>
      <c r="T196" s="65"/>
      <c r="U196" s="65"/>
      <c r="V196" s="65"/>
      <c r="W196" s="65"/>
      <c r="X196" s="65"/>
      <c r="Y196" s="65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0000" customHeight="1">
      <c r="A197" s="156" t="s">
        <v>116</v>
      </c>
      <c r="B197" s="88"/>
      <c r="C197" s="241"/>
      <c r="D197" s="241"/>
      <c r="E197" s="158">
        <f>F197*120%</f>
        <v>0</v>
      </c>
      <c r="F197" s="158">
        <f>(D197-C197+1)*G197</f>
        <v>0</v>
      </c>
      <c r="G197" s="159">
        <f>M197*40</f>
        <v>0</v>
      </c>
      <c r="H197" s="277"/>
      <c r="I197" s="65"/>
      <c r="J197" s="277"/>
      <c r="K197" s="65"/>
      <c r="L197" s="277"/>
      <c r="M197" s="231"/>
      <c r="N197" s="163"/>
      <c r="O197" s="188"/>
      <c r="P197" s="190"/>
      <c r="Q197" s="13"/>
      <c r="R197" s="13"/>
      <c r="S197" s="188"/>
      <c r="T197" s="13"/>
      <c r="U197" s="65"/>
      <c r="V197" s="65"/>
      <c r="W197" s="65"/>
      <c r="X197" s="65"/>
      <c r="Y197" s="65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0000" customHeight="1">
      <c r="B198" s="88"/>
      <c r="H198" s="277"/>
      <c r="I198" s="65"/>
      <c r="J198" s="277"/>
      <c r="K198" s="188"/>
      <c r="L198" s="277"/>
      <c r="O198" s="188"/>
      <c r="P198" s="190"/>
      <c r="Q198" s="13"/>
      <c r="R198" s="13"/>
      <c r="S198" s="188"/>
      <c r="T198" s="13"/>
      <c r="U198" s="65"/>
      <c r="V198" s="65"/>
      <c r="W198" s="65"/>
      <c r="X198" s="65"/>
      <c r="Y198" s="65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0000" customHeight="1">
      <c r="B199" s="1"/>
      <c r="H199" s="65"/>
      <c r="I199" s="65"/>
      <c r="J199" s="65"/>
      <c r="K199" s="65"/>
      <c r="L199" s="65"/>
      <c r="O199" s="188"/>
      <c r="P199" s="190"/>
      <c r="Q199" s="13"/>
      <c r="R199" s="13"/>
      <c r="S199" s="65"/>
      <c r="T199" s="65"/>
      <c r="U199" s="65"/>
      <c r="V199" s="65"/>
      <c r="W199" s="65"/>
      <c r="X199" s="65"/>
      <c r="Y199" s="65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0000" customHeight="1">
      <c r="B200" s="1"/>
      <c r="H200" s="65"/>
      <c r="I200" s="65"/>
      <c r="J200" s="277"/>
      <c r="K200" s="65"/>
      <c r="L200" s="65"/>
      <c r="O200" s="188"/>
      <c r="P200" s="190"/>
      <c r="Q200" s="13"/>
      <c r="R200" s="13"/>
      <c r="S200" s="65"/>
      <c r="T200" s="65"/>
      <c r="U200" s="65"/>
      <c r="V200" s="65"/>
      <c r="W200" s="65"/>
      <c r="X200" s="65"/>
      <c r="Y200" s="65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0000" customHeight="1">
      <c r="B201" s="1"/>
      <c r="H201" s="460"/>
      <c r="I201" s="65"/>
      <c r="J201" s="277"/>
      <c r="K201" s="65"/>
      <c r="L201" s="277"/>
      <c r="O201" s="188"/>
      <c r="P201" s="190"/>
      <c r="Q201" s="13"/>
      <c r="R201" s="13"/>
      <c r="S201" s="65"/>
      <c r="T201" s="65"/>
      <c r="U201" s="65"/>
      <c r="V201" s="65"/>
      <c r="W201" s="65"/>
      <c r="X201" s="65"/>
      <c r="Y201" s="65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0000" customHeight="1">
      <c r="A202" s="156" t="s">
        <v>116</v>
      </c>
      <c r="B202" s="88"/>
      <c r="C202" s="241"/>
      <c r="D202" s="241"/>
      <c r="E202" s="158">
        <f>F202*120%</f>
        <v>0</v>
      </c>
      <c r="F202" s="158">
        <f>(D202-C202+1)*G202</f>
        <v>0</v>
      </c>
      <c r="G202" s="159">
        <f>M202*40</f>
        <v>0</v>
      </c>
      <c r="H202" s="277"/>
      <c r="I202" s="65"/>
      <c r="J202" s="277"/>
      <c r="K202" s="65"/>
      <c r="L202" s="277"/>
      <c r="M202" s="231"/>
      <c r="N202" s="163"/>
      <c r="O202" s="465"/>
      <c r="P202" s="65"/>
      <c r="Q202" s="13"/>
      <c r="R202" s="13"/>
      <c r="S202" s="65"/>
      <c r="T202" s="65"/>
      <c r="U202" s="65"/>
      <c r="V202" s="65"/>
      <c r="W202" s="65"/>
      <c r="X202" s="65"/>
      <c r="Y202" s="65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0000" customHeight="1">
      <c r="B203" s="88"/>
      <c r="H203" s="277"/>
      <c r="I203" s="65"/>
      <c r="J203" s="277"/>
      <c r="K203" s="65"/>
      <c r="L203" s="277"/>
      <c r="O203" s="465"/>
      <c r="P203" s="65"/>
      <c r="Q203" s="13"/>
      <c r="R203" s="13"/>
      <c r="S203" s="65"/>
      <c r="T203" s="65"/>
      <c r="U203" s="65"/>
      <c r="V203" s="65"/>
      <c r="W203" s="65"/>
      <c r="X203" s="65"/>
      <c r="Y203" s="65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0000" customHeight="1">
      <c r="B204" s="88"/>
      <c r="H204" s="277"/>
      <c r="I204" s="65"/>
      <c r="J204" s="277"/>
      <c r="K204" s="65"/>
      <c r="L204" s="277"/>
      <c r="O204" s="465"/>
      <c r="P204" s="65"/>
      <c r="Q204" s="13"/>
      <c r="R204" s="13"/>
      <c r="S204" s="65"/>
      <c r="T204" s="65"/>
      <c r="U204" s="65"/>
      <c r="V204" s="65"/>
      <c r="W204" s="65"/>
      <c r="X204" s="65"/>
      <c r="Y204" s="65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0000" customHeight="1">
      <c r="B205" s="88"/>
      <c r="H205" s="277"/>
      <c r="I205" s="65"/>
      <c r="J205" s="277"/>
      <c r="K205" s="65"/>
      <c r="L205" s="277"/>
      <c r="O205" s="465"/>
      <c r="P205" s="65"/>
      <c r="Q205" s="13"/>
      <c r="R205" s="13"/>
      <c r="S205" s="65"/>
      <c r="T205" s="65"/>
      <c r="U205" s="65"/>
      <c r="V205" s="65"/>
      <c r="W205" s="65"/>
      <c r="X205" s="65"/>
      <c r="Y205" s="65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0000" customHeight="1">
      <c r="B206" s="88"/>
      <c r="H206" s="460"/>
      <c r="I206" s="65"/>
      <c r="J206" s="277"/>
      <c r="K206" s="65"/>
      <c r="L206" s="277"/>
      <c r="O206" s="465"/>
      <c r="P206" s="65"/>
      <c r="Q206" s="13"/>
      <c r="R206" s="13"/>
      <c r="S206" s="65"/>
      <c r="T206" s="65"/>
      <c r="U206" s="65"/>
      <c r="V206" s="65"/>
      <c r="W206" s="65"/>
      <c r="X206" s="65"/>
      <c r="Y206" s="65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0000" customHeight="1">
      <c r="A207" s="156" t="s">
        <v>116</v>
      </c>
      <c r="B207" s="88"/>
      <c r="C207" s="241"/>
      <c r="D207" s="241"/>
      <c r="E207" s="158">
        <f>F207*120%</f>
        <v>0</v>
      </c>
      <c r="F207" s="158">
        <f>(D207-C207+1)*G207</f>
        <v>0</v>
      </c>
      <c r="G207" s="159">
        <f>M207*40</f>
        <v>0</v>
      </c>
      <c r="H207" s="277"/>
      <c r="I207" s="65"/>
      <c r="J207" s="277"/>
      <c r="K207" s="65"/>
      <c r="L207" s="277"/>
      <c r="M207" s="231"/>
      <c r="N207" s="163"/>
      <c r="O207" s="65"/>
      <c r="P207" s="65"/>
      <c r="Q207" s="13"/>
      <c r="R207" s="13"/>
      <c r="S207" s="13"/>
      <c r="T207" s="65"/>
      <c r="U207" s="165"/>
      <c r="V207" s="65"/>
      <c r="W207" s="65"/>
      <c r="X207" s="65"/>
      <c r="Y207" s="65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0000" customHeight="1">
      <c r="B208" s="88"/>
      <c r="H208" s="277"/>
      <c r="I208" s="65"/>
      <c r="J208" s="277"/>
      <c r="K208" s="188"/>
      <c r="L208" s="277"/>
      <c r="O208" s="65"/>
      <c r="P208" s="65"/>
      <c r="Q208" s="13"/>
      <c r="R208" s="13"/>
      <c r="S208" s="65"/>
      <c r="T208" s="65"/>
      <c r="U208" s="65"/>
      <c r="V208" s="65"/>
      <c r="W208" s="65"/>
      <c r="X208" s="65"/>
      <c r="Y208" s="65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0000" customHeight="1">
      <c r="B209" s="88"/>
      <c r="H209" s="277"/>
      <c r="I209" s="65"/>
      <c r="J209" s="277"/>
      <c r="K209" s="188"/>
      <c r="L209" s="277"/>
      <c r="O209" s="65"/>
      <c r="P209" s="65"/>
      <c r="Q209" s="13"/>
      <c r="R209" s="13"/>
      <c r="S209" s="65"/>
      <c r="T209" s="65"/>
      <c r="U209" s="65"/>
      <c r="V209" s="65"/>
      <c r="W209" s="65"/>
      <c r="X209" s="65"/>
      <c r="Y209" s="65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0000" customHeight="1">
      <c r="B210" s="88"/>
      <c r="H210" s="277"/>
      <c r="I210" s="65"/>
      <c r="J210" s="277"/>
      <c r="K210" s="188"/>
      <c r="L210" s="277"/>
      <c r="O210" s="65"/>
      <c r="P210" s="65"/>
      <c r="Q210" s="13"/>
      <c r="R210" s="13"/>
      <c r="S210" s="65"/>
      <c r="T210" s="65"/>
      <c r="U210" s="65"/>
      <c r="V210" s="65"/>
      <c r="W210" s="65"/>
      <c r="X210" s="65"/>
      <c r="Y210" s="65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0000" customHeight="1">
      <c r="B211" s="88"/>
      <c r="H211" s="460"/>
      <c r="I211" s="65"/>
      <c r="J211" s="277"/>
      <c r="K211" s="188"/>
      <c r="L211" s="277"/>
      <c r="O211" s="65"/>
      <c r="P211" s="65"/>
      <c r="Q211" s="13"/>
      <c r="R211" s="13"/>
      <c r="S211" s="65"/>
      <c r="T211" s="65"/>
      <c r="U211" s="165"/>
      <c r="V211" s="65"/>
      <c r="W211" s="65"/>
      <c r="X211" s="65"/>
      <c r="Y211" s="65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0000" customHeight="1">
      <c r="A212" s="156" t="s">
        <v>116</v>
      </c>
      <c r="B212" s="88"/>
      <c r="C212" s="241"/>
      <c r="D212" s="241"/>
      <c r="E212" s="158">
        <f>F212*120%</f>
        <v>0</v>
      </c>
      <c r="F212" s="158">
        <f>(D212-C212+1)*G212</f>
        <v>0</v>
      </c>
      <c r="G212" s="159">
        <f>M212*40</f>
        <v>0</v>
      </c>
      <c r="H212" s="277"/>
      <c r="I212" s="65"/>
      <c r="J212" s="277"/>
      <c r="K212" s="65"/>
      <c r="L212" s="277"/>
      <c r="M212" s="231"/>
      <c r="N212" s="163"/>
      <c r="O212" s="65"/>
      <c r="P212" s="65"/>
      <c r="Q212" s="13"/>
      <c r="R212" s="13"/>
      <c r="S212" s="13"/>
      <c r="T212" s="65"/>
      <c r="U212" s="165"/>
      <c r="V212" s="65"/>
      <c r="W212" s="65"/>
      <c r="X212" s="65"/>
      <c r="Y212" s="65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0000" customHeight="1">
      <c r="B213" s="88"/>
      <c r="H213" s="277"/>
      <c r="I213" s="65"/>
      <c r="J213" s="277"/>
      <c r="K213" s="188"/>
      <c r="L213" s="277"/>
      <c r="O213" s="65"/>
      <c r="P213" s="65"/>
      <c r="Q213" s="13"/>
      <c r="R213" s="13"/>
      <c r="S213" s="65"/>
      <c r="T213" s="65"/>
      <c r="U213" s="165"/>
      <c r="V213" s="65"/>
      <c r="W213" s="65"/>
      <c r="X213" s="65"/>
      <c r="Y213" s="65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0000" customHeight="1">
      <c r="B214" s="88"/>
      <c r="H214" s="277"/>
      <c r="I214" s="65"/>
      <c r="J214" s="277"/>
      <c r="K214" s="188"/>
      <c r="L214" s="277"/>
      <c r="O214" s="65"/>
      <c r="P214" s="65"/>
      <c r="Q214" s="13"/>
      <c r="R214" s="13"/>
      <c r="S214" s="65"/>
      <c r="T214" s="65"/>
      <c r="U214" s="165"/>
      <c r="V214" s="65"/>
      <c r="W214" s="65"/>
      <c r="X214" s="65"/>
      <c r="Y214" s="65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0000" customHeight="1">
      <c r="B215" s="88"/>
      <c r="H215" s="277"/>
      <c r="I215" s="65"/>
      <c r="J215" s="277"/>
      <c r="K215" s="188"/>
      <c r="L215" s="277"/>
      <c r="O215" s="65"/>
      <c r="P215" s="65"/>
      <c r="Q215" s="13"/>
      <c r="R215" s="13"/>
      <c r="S215" s="65"/>
      <c r="T215" s="65"/>
      <c r="U215" s="165"/>
      <c r="V215" s="65"/>
      <c r="W215" s="65"/>
      <c r="X215" s="65"/>
      <c r="Y215" s="65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0000" customHeight="1">
      <c r="B216" s="88"/>
      <c r="H216" s="460"/>
      <c r="I216" s="65"/>
      <c r="J216" s="277"/>
      <c r="K216" s="188"/>
      <c r="L216" s="277"/>
      <c r="O216" s="65"/>
      <c r="P216" s="65"/>
      <c r="Q216" s="13"/>
      <c r="R216" s="13"/>
      <c r="S216" s="65"/>
      <c r="T216" s="65"/>
      <c r="U216" s="165"/>
      <c r="V216" s="65"/>
      <c r="W216" s="65"/>
      <c r="X216" s="65"/>
      <c r="Y216" s="65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0000" customHeight="1">
      <c r="A217" s="156" t="s">
        <v>116</v>
      </c>
      <c r="B217" s="88"/>
      <c r="C217" s="241"/>
      <c r="D217" s="241"/>
      <c r="E217" s="158">
        <f>F217*120%</f>
        <v>0</v>
      </c>
      <c r="F217" s="158">
        <f>(D217-C217+1)*G217</f>
        <v>0</v>
      </c>
      <c r="G217" s="159">
        <f>M217*40</f>
        <v>0</v>
      </c>
      <c r="H217" s="277"/>
      <c r="I217" s="65"/>
      <c r="J217" s="277"/>
      <c r="K217" s="65"/>
      <c r="L217" s="277"/>
      <c r="M217" s="231"/>
      <c r="N217" s="163"/>
      <c r="O217" s="13"/>
      <c r="P217" s="65"/>
      <c r="Q217" s="13"/>
      <c r="R217" s="13"/>
      <c r="S217" s="13"/>
      <c r="T217" s="13"/>
      <c r="U217" s="165"/>
      <c r="V217" s="165"/>
      <c r="W217" s="165"/>
      <c r="X217" s="165"/>
      <c r="Y217" s="165"/>
      <c r="Z217" s="166"/>
      <c r="AA217" s="166"/>
      <c r="AB217" s="166"/>
      <c r="AC217" s="166"/>
      <c r="AD217" s="166"/>
      <c r="AE217" s="166"/>
      <c r="AF217" s="166"/>
      <c r="AG217" s="166"/>
      <c r="AH217" s="166"/>
    </row>
    <row r="218" spans="1:34" ht="15.750000" customHeight="1">
      <c r="B218" s="88"/>
      <c r="H218" s="447"/>
      <c r="I218" s="65"/>
      <c r="J218" s="277"/>
      <c r="K218" s="188"/>
      <c r="L218" s="277"/>
      <c r="O218" s="13"/>
      <c r="P218" s="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6"/>
      <c r="AA218" s="166"/>
      <c r="AB218" s="166"/>
      <c r="AC218" s="166"/>
      <c r="AD218" s="166"/>
      <c r="AE218" s="166"/>
      <c r="AF218" s="166"/>
      <c r="AG218" s="166"/>
      <c r="AH218" s="166"/>
    </row>
    <row r="219" spans="1:34" ht="15.750000" customHeight="1">
      <c r="B219" s="166"/>
      <c r="H219" s="447"/>
      <c r="I219" s="65"/>
      <c r="J219" s="277"/>
      <c r="K219" s="65"/>
      <c r="L219" s="277"/>
      <c r="O219" s="13"/>
      <c r="P219" s="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6"/>
      <c r="AA219" s="166"/>
      <c r="AB219" s="166"/>
      <c r="AC219" s="166"/>
      <c r="AD219" s="166"/>
      <c r="AE219" s="166"/>
      <c r="AF219" s="166"/>
      <c r="AG219" s="166"/>
      <c r="AH219" s="166"/>
    </row>
    <row r="220" spans="1:34" ht="15.750000" customHeight="1">
      <c r="B220" s="166"/>
      <c r="H220" s="277"/>
      <c r="I220" s="65"/>
      <c r="J220" s="277"/>
      <c r="K220" s="65"/>
      <c r="L220" s="277"/>
      <c r="O220" s="13"/>
      <c r="P220" s="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6"/>
      <c r="AA220" s="166"/>
      <c r="AB220" s="166"/>
      <c r="AC220" s="166"/>
      <c r="AD220" s="166"/>
      <c r="AE220" s="166"/>
      <c r="AF220" s="166"/>
      <c r="AG220" s="166"/>
      <c r="AH220" s="166"/>
    </row>
    <row r="221" spans="1:34" ht="15.750000" customHeight="1">
      <c r="B221" s="166"/>
      <c r="H221" s="460"/>
      <c r="I221" s="65"/>
      <c r="J221" s="277"/>
      <c r="K221" s="65"/>
      <c r="L221" s="277"/>
      <c r="O221" s="13"/>
      <c r="P221" s="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6"/>
      <c r="AA221" s="166"/>
      <c r="AB221" s="166"/>
      <c r="AC221" s="166"/>
      <c r="AD221" s="166"/>
      <c r="AE221" s="166"/>
      <c r="AF221" s="166"/>
      <c r="AG221" s="166"/>
      <c r="AH221" s="166"/>
    </row>
    <row r="222" spans="1:34" ht="15.750000" customHeight="1">
      <c r="A222" s="156" t="s">
        <v>116</v>
      </c>
      <c r="B222" s="88"/>
      <c r="C222" s="241"/>
      <c r="D222" s="241"/>
      <c r="E222" s="158">
        <f>F222*120%</f>
        <v>0</v>
      </c>
      <c r="F222" s="158">
        <f>(D222-C222+1)*G222</f>
        <v>0</v>
      </c>
      <c r="G222" s="159">
        <f>M222*40</f>
        <v>0</v>
      </c>
      <c r="H222" s="277"/>
      <c r="I222" s="65"/>
      <c r="J222" s="277"/>
      <c r="K222" s="65"/>
      <c r="L222" s="277"/>
      <c r="M222" s="231"/>
      <c r="N222" s="163"/>
      <c r="O222" s="13"/>
      <c r="P222" s="65"/>
      <c r="Q222" s="13"/>
      <c r="R222" s="13"/>
      <c r="S222" s="13"/>
      <c r="T222" s="13"/>
      <c r="U222" s="165"/>
      <c r="V222" s="165"/>
      <c r="W222" s="165"/>
      <c r="X222" s="165"/>
      <c r="Y222" s="165"/>
      <c r="Z222" s="166"/>
      <c r="AA222" s="166"/>
      <c r="AB222" s="166"/>
      <c r="AC222" s="166"/>
      <c r="AD222" s="166"/>
      <c r="AE222" s="166"/>
      <c r="AF222" s="166"/>
      <c r="AG222" s="166"/>
      <c r="AH222" s="166"/>
    </row>
    <row r="223" spans="1:34" ht="15.750000" customHeight="1">
      <c r="B223" s="88"/>
      <c r="H223" s="447"/>
      <c r="I223" s="65"/>
      <c r="J223" s="277"/>
      <c r="K223" s="188"/>
      <c r="L223" s="277"/>
      <c r="O223" s="13"/>
      <c r="P223" s="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6"/>
      <c r="AA223" s="166"/>
      <c r="AB223" s="166"/>
      <c r="AC223" s="166"/>
      <c r="AD223" s="166"/>
      <c r="AE223" s="166"/>
      <c r="AF223" s="166"/>
      <c r="AG223" s="166"/>
      <c r="AH223" s="166"/>
    </row>
    <row r="224" spans="1:34" ht="15.750000" customHeight="1">
      <c r="B224" s="166"/>
      <c r="H224" s="447"/>
      <c r="I224" s="65"/>
      <c r="J224" s="277"/>
      <c r="K224" s="65"/>
      <c r="L224" s="277"/>
      <c r="O224" s="13"/>
      <c r="P224" s="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6"/>
      <c r="AA224" s="166"/>
      <c r="AB224" s="166"/>
      <c r="AC224" s="166"/>
      <c r="AD224" s="166"/>
      <c r="AE224" s="166"/>
      <c r="AF224" s="166"/>
      <c r="AG224" s="166"/>
      <c r="AH224" s="166"/>
    </row>
    <row r="225" spans="1:34" ht="15.750000" customHeight="1">
      <c r="B225" s="166"/>
      <c r="H225" s="277"/>
      <c r="I225" s="65"/>
      <c r="J225" s="277"/>
      <c r="K225" s="65"/>
      <c r="L225" s="277"/>
      <c r="O225" s="13"/>
      <c r="P225" s="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6"/>
      <c r="AA225" s="166"/>
      <c r="AB225" s="166"/>
      <c r="AC225" s="166"/>
      <c r="AD225" s="166"/>
      <c r="AE225" s="166"/>
      <c r="AF225" s="166"/>
      <c r="AG225" s="166"/>
      <c r="AH225" s="166"/>
    </row>
    <row r="226" spans="1:34" ht="15.750000" customHeight="1">
      <c r="B226" s="166"/>
      <c r="H226" s="460"/>
      <c r="I226" s="65"/>
      <c r="J226" s="277"/>
      <c r="K226" s="65"/>
      <c r="L226" s="277"/>
      <c r="O226" s="13"/>
      <c r="P226" s="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6"/>
      <c r="AA226" s="166"/>
      <c r="AB226" s="166"/>
      <c r="AC226" s="166"/>
      <c r="AD226" s="166"/>
      <c r="AE226" s="166"/>
      <c r="AF226" s="166"/>
      <c r="AG226" s="166"/>
      <c r="AH226" s="166"/>
    </row>
    <row r="227" spans="1:34" ht="15.750000" customHeight="1">
      <c r="A227" s="156" t="s">
        <v>116</v>
      </c>
      <c r="B227" s="88"/>
      <c r="C227" s="241"/>
      <c r="D227" s="241"/>
      <c r="E227" s="158">
        <f>F227*120%</f>
        <v>0</v>
      </c>
      <c r="F227" s="158">
        <f>(D227-C227+1)*G227</f>
        <v>0</v>
      </c>
      <c r="G227" s="159">
        <f>M227*40</f>
        <v>0</v>
      </c>
      <c r="H227" s="277"/>
      <c r="I227" s="65"/>
      <c r="J227" s="277"/>
      <c r="K227" s="65"/>
      <c r="L227" s="277"/>
      <c r="M227" s="231"/>
      <c r="N227" s="163"/>
      <c r="O227" s="65"/>
      <c r="P227" s="65"/>
      <c r="Q227" s="13"/>
      <c r="R227" s="13"/>
      <c r="S227" s="13"/>
      <c r="T227" s="13"/>
      <c r="U227" s="65"/>
      <c r="V227" s="65"/>
      <c r="W227" s="65"/>
      <c r="X227" s="65"/>
      <c r="Y227" s="65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0000" customHeight="1">
      <c r="B228" s="88"/>
      <c r="H228" s="447"/>
      <c r="I228" s="65"/>
      <c r="J228" s="277"/>
      <c r="K228" s="65"/>
      <c r="L228" s="277"/>
      <c r="O228" s="65"/>
      <c r="P228" s="65"/>
      <c r="Q228" s="13"/>
      <c r="R228" s="13"/>
      <c r="S228" s="65"/>
      <c r="T228" s="65"/>
      <c r="U228" s="65"/>
      <c r="V228" s="65"/>
      <c r="W228" s="65"/>
      <c r="X228" s="65"/>
      <c r="Y228" s="65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0000" customHeight="1">
      <c r="B229" s="88"/>
      <c r="H229" s="447"/>
      <c r="I229" s="65"/>
      <c r="J229" s="277"/>
      <c r="K229" s="188"/>
      <c r="L229" s="277"/>
      <c r="O229" s="65"/>
      <c r="P229" s="65"/>
      <c r="Q229" s="13"/>
      <c r="R229" s="13"/>
      <c r="S229" s="65"/>
      <c r="T229" s="65"/>
      <c r="U229" s="65"/>
      <c r="V229" s="65"/>
      <c r="W229" s="65"/>
      <c r="X229" s="65"/>
      <c r="Y229" s="65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0000" customHeight="1">
      <c r="B230" s="88"/>
      <c r="H230" s="277"/>
      <c r="I230" s="65"/>
      <c r="J230" s="277"/>
      <c r="K230" s="65"/>
      <c r="L230" s="277"/>
      <c r="O230" s="65"/>
      <c r="P230" s="65"/>
      <c r="Q230" s="13"/>
      <c r="R230" s="13"/>
      <c r="S230" s="65"/>
      <c r="T230" s="65"/>
      <c r="U230" s="65"/>
      <c r="V230" s="65"/>
      <c r="W230" s="65"/>
      <c r="X230" s="65"/>
      <c r="Y230" s="65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0000" customHeight="1">
      <c r="B231" s="88"/>
      <c r="H231" s="460"/>
      <c r="I231" s="65"/>
      <c r="J231" s="277"/>
      <c r="K231" s="188"/>
      <c r="L231" s="277"/>
      <c r="O231" s="65"/>
      <c r="P231" s="65"/>
      <c r="Q231" s="13"/>
      <c r="R231" s="13"/>
      <c r="S231" s="65"/>
      <c r="T231" s="65"/>
      <c r="U231" s="65"/>
      <c r="V231" s="65"/>
      <c r="W231" s="65"/>
      <c r="X231" s="65"/>
      <c r="Y231" s="65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0000" customHeight="1">
      <c r="A232" s="156" t="s">
        <v>116</v>
      </c>
      <c r="B232" s="88"/>
      <c r="C232" s="241"/>
      <c r="D232" s="241"/>
      <c r="E232" s="158">
        <f>F232*120%</f>
        <v>0</v>
      </c>
      <c r="F232" s="158">
        <f>(D232-C232+1)*G232</f>
        <v>0</v>
      </c>
      <c r="G232" s="159">
        <f>M232*40</f>
        <v>0</v>
      </c>
      <c r="H232" s="277"/>
      <c r="I232" s="65"/>
      <c r="J232" s="277"/>
      <c r="K232" s="65"/>
      <c r="L232" s="277"/>
      <c r="M232" s="231"/>
      <c r="N232" s="163"/>
      <c r="O232" s="65"/>
      <c r="P232" s="65"/>
      <c r="Q232" s="13"/>
      <c r="R232" s="13"/>
      <c r="S232" s="13"/>
      <c r="T232" s="13"/>
      <c r="U232" s="65"/>
      <c r="V232" s="65"/>
      <c r="W232" s="65"/>
      <c r="X232" s="65"/>
      <c r="Y232" s="65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0000" customHeight="1">
      <c r="B233" s="88"/>
      <c r="H233" s="447"/>
      <c r="I233" s="65"/>
      <c r="J233" s="277"/>
      <c r="K233" s="65"/>
      <c r="L233" s="277"/>
      <c r="O233" s="65"/>
      <c r="P233" s="65"/>
      <c r="Q233" s="13"/>
      <c r="R233" s="13"/>
      <c r="S233" s="65"/>
      <c r="T233" s="65"/>
      <c r="U233" s="65"/>
      <c r="V233" s="65"/>
      <c r="W233" s="65"/>
      <c r="X233" s="65"/>
      <c r="Y233" s="65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0000" customHeight="1">
      <c r="B234" s="88"/>
      <c r="H234" s="447"/>
      <c r="I234" s="65"/>
      <c r="J234" s="277"/>
      <c r="K234" s="188"/>
      <c r="L234" s="277"/>
      <c r="O234" s="65"/>
      <c r="P234" s="65"/>
      <c r="Q234" s="13"/>
      <c r="R234" s="13"/>
      <c r="S234" s="65"/>
      <c r="T234" s="65"/>
      <c r="U234" s="65"/>
      <c r="V234" s="65"/>
      <c r="W234" s="65"/>
      <c r="X234" s="65"/>
      <c r="Y234" s="65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0000" customHeight="1">
      <c r="B235" s="88"/>
      <c r="H235" s="277"/>
      <c r="I235" s="65"/>
      <c r="J235" s="277"/>
      <c r="K235" s="65"/>
      <c r="L235" s="277"/>
      <c r="O235" s="65"/>
      <c r="P235" s="65"/>
      <c r="Q235" s="13"/>
      <c r="R235" s="13"/>
      <c r="S235" s="65"/>
      <c r="T235" s="65"/>
      <c r="U235" s="65"/>
      <c r="V235" s="65"/>
      <c r="W235" s="65"/>
      <c r="X235" s="65"/>
      <c r="Y235" s="65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0000" customHeight="1">
      <c r="B236" s="88"/>
      <c r="H236" s="460"/>
      <c r="I236" s="65"/>
      <c r="J236" s="277"/>
      <c r="K236" s="188"/>
      <c r="L236" s="277"/>
      <c r="O236" s="65"/>
      <c r="P236" s="65"/>
      <c r="Q236" s="13"/>
      <c r="R236" s="13"/>
      <c r="S236" s="65"/>
      <c r="T236" s="65"/>
      <c r="U236" s="65"/>
      <c r="V236" s="65"/>
      <c r="W236" s="65"/>
      <c r="X236" s="65"/>
      <c r="Y236" s="65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0000" customHeight="1">
      <c r="A237" s="156" t="s">
        <v>116</v>
      </c>
      <c r="B237" s="88"/>
      <c r="C237" s="241"/>
      <c r="D237" s="241"/>
      <c r="E237" s="158">
        <f>F237*120%</f>
        <v>0</v>
      </c>
      <c r="F237" s="158">
        <f>(D237-C237+1)*G237</f>
        <v>0</v>
      </c>
      <c r="G237" s="159">
        <f>M237*40</f>
        <v>0</v>
      </c>
      <c r="H237" s="277"/>
      <c r="I237" s="65"/>
      <c r="J237" s="277"/>
      <c r="K237" s="65"/>
      <c r="L237" s="277"/>
      <c r="M237" s="231"/>
      <c r="N237" s="163"/>
      <c r="O237" s="65"/>
      <c r="P237" s="65"/>
      <c r="Q237" s="13"/>
      <c r="R237" s="13"/>
      <c r="S237" s="13"/>
      <c r="T237" s="13"/>
      <c r="U237" s="65"/>
      <c r="V237" s="65"/>
      <c r="W237" s="65"/>
      <c r="X237" s="65"/>
      <c r="Y237" s="65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0000" customHeight="1">
      <c r="B238" s="88"/>
      <c r="H238" s="447"/>
      <c r="I238" s="65"/>
      <c r="J238" s="277"/>
      <c r="K238" s="65"/>
      <c r="L238" s="277"/>
      <c r="O238" s="65"/>
      <c r="P238" s="65"/>
      <c r="Q238" s="13"/>
      <c r="R238" s="13"/>
      <c r="S238" s="65"/>
      <c r="T238" s="65"/>
      <c r="U238" s="65"/>
      <c r="V238" s="65"/>
      <c r="W238" s="65"/>
      <c r="X238" s="65"/>
      <c r="Y238" s="65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0000" customHeight="1">
      <c r="B239" s="88"/>
      <c r="H239" s="447"/>
      <c r="I239" s="65"/>
      <c r="J239" s="277"/>
      <c r="K239" s="188"/>
      <c r="L239" s="277"/>
      <c r="O239" s="65"/>
      <c r="P239" s="65"/>
      <c r="Q239" s="13"/>
      <c r="R239" s="13"/>
      <c r="S239" s="65"/>
      <c r="T239" s="65"/>
      <c r="U239" s="65"/>
      <c r="V239" s="65"/>
      <c r="W239" s="65"/>
      <c r="X239" s="65"/>
      <c r="Y239" s="65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0000" customHeight="1">
      <c r="B240" s="88"/>
      <c r="H240" s="277"/>
      <c r="I240" s="65"/>
      <c r="J240" s="277"/>
      <c r="K240" s="65"/>
      <c r="L240" s="277"/>
      <c r="O240" s="65"/>
      <c r="P240" s="65"/>
      <c r="Q240" s="13"/>
      <c r="R240" s="13"/>
      <c r="S240" s="65"/>
      <c r="T240" s="65"/>
      <c r="U240" s="65"/>
      <c r="V240" s="65"/>
      <c r="W240" s="65"/>
      <c r="X240" s="65"/>
      <c r="Y240" s="65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0000" customHeight="1">
      <c r="B241" s="88"/>
      <c r="H241" s="460"/>
      <c r="I241" s="65"/>
      <c r="J241" s="277"/>
      <c r="K241" s="188"/>
      <c r="L241" s="277"/>
      <c r="O241" s="65"/>
      <c r="P241" s="65"/>
      <c r="Q241" s="13"/>
      <c r="R241" s="13"/>
      <c r="S241" s="65"/>
      <c r="T241" s="65"/>
      <c r="U241" s="65"/>
      <c r="V241" s="65"/>
      <c r="W241" s="65"/>
      <c r="X241" s="65"/>
      <c r="Y241" s="65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0000" customHeight="1">
      <c r="A242" s="156" t="s">
        <v>116</v>
      </c>
      <c r="B242" s="88"/>
      <c r="C242" s="241"/>
      <c r="D242" s="241"/>
      <c r="E242" s="158">
        <f>F242*120%</f>
        <v>0</v>
      </c>
      <c r="F242" s="158">
        <f>(D242-C242+1)*G242</f>
        <v>0</v>
      </c>
      <c r="G242" s="159">
        <f>M242*40</f>
        <v>0</v>
      </c>
      <c r="H242" s="466"/>
      <c r="I242" s="65"/>
      <c r="J242" s="277"/>
      <c r="K242" s="65"/>
      <c r="L242" s="277"/>
      <c r="M242" s="231"/>
      <c r="N242" s="163"/>
      <c r="O242" s="465"/>
      <c r="P242" s="165"/>
      <c r="Q242" s="13"/>
      <c r="R242" s="13"/>
      <c r="S242" s="188"/>
      <c r="T242" s="65"/>
      <c r="U242" s="165"/>
      <c r="V242" s="165"/>
      <c r="W242" s="165"/>
      <c r="X242" s="165"/>
      <c r="Y242" s="165"/>
      <c r="Z242" s="166"/>
      <c r="AA242" s="166"/>
      <c r="AB242" s="166"/>
      <c r="AC242" s="166"/>
      <c r="AD242" s="166"/>
      <c r="AE242" s="166"/>
      <c r="AF242" s="166"/>
      <c r="AG242" s="166"/>
      <c r="AH242" s="166"/>
    </row>
    <row r="243" spans="1:34" ht="15.750000" customHeight="1">
      <c r="B243" s="88"/>
      <c r="H243" s="277"/>
      <c r="I243" s="65"/>
      <c r="J243" s="277"/>
      <c r="K243" s="188"/>
      <c r="L243" s="277"/>
      <c r="O243" s="465"/>
      <c r="P243" s="165"/>
      <c r="Q243" s="13"/>
      <c r="R243" s="13"/>
      <c r="S243" s="188"/>
      <c r="T243" s="65"/>
      <c r="U243" s="165"/>
      <c r="V243" s="165"/>
      <c r="W243" s="165"/>
      <c r="X243" s="165"/>
      <c r="Y243" s="165"/>
      <c r="Z243" s="166"/>
      <c r="AA243" s="166"/>
      <c r="AB243" s="166"/>
      <c r="AC243" s="166"/>
      <c r="AD243" s="166"/>
      <c r="AE243" s="166"/>
      <c r="AF243" s="166"/>
      <c r="AG243" s="166"/>
      <c r="AH243" s="166"/>
    </row>
    <row r="244" spans="1:34" ht="15.750000" customHeight="1">
      <c r="B244" s="166"/>
      <c r="H244" s="277"/>
      <c r="I244" s="65"/>
      <c r="J244" s="277"/>
      <c r="K244" s="65"/>
      <c r="L244" s="277"/>
      <c r="O244" s="465"/>
      <c r="P244" s="165"/>
      <c r="Q244" s="13"/>
      <c r="R244" s="13"/>
      <c r="S244" s="165"/>
      <c r="T244" s="165"/>
      <c r="U244" s="165"/>
      <c r="V244" s="165"/>
      <c r="W244" s="165"/>
      <c r="X244" s="165"/>
      <c r="Y244" s="165"/>
      <c r="Z244" s="166"/>
      <c r="AA244" s="166"/>
      <c r="AB244" s="166"/>
      <c r="AC244" s="166"/>
      <c r="AD244" s="166"/>
      <c r="AE244" s="166"/>
      <c r="AF244" s="166"/>
      <c r="AG244" s="166"/>
      <c r="AH244" s="166"/>
    </row>
    <row r="245" spans="1:34" ht="15.750000" customHeight="1">
      <c r="B245" s="166"/>
      <c r="H245" s="277"/>
      <c r="I245" s="65"/>
      <c r="J245" s="277"/>
      <c r="K245" s="65"/>
      <c r="L245" s="277"/>
      <c r="O245" s="465"/>
      <c r="P245" s="165"/>
      <c r="Q245" s="13"/>
      <c r="R245" s="13"/>
      <c r="S245" s="165"/>
      <c r="T245" s="165"/>
      <c r="U245" s="165"/>
      <c r="V245" s="165"/>
      <c r="W245" s="165"/>
      <c r="X245" s="165"/>
      <c r="Y245" s="165"/>
      <c r="Z245" s="166"/>
      <c r="AA245" s="166"/>
      <c r="AB245" s="166"/>
      <c r="AC245" s="166"/>
      <c r="AD245" s="166"/>
      <c r="AE245" s="166"/>
      <c r="AF245" s="166"/>
      <c r="AG245" s="166"/>
      <c r="AH245" s="166"/>
    </row>
    <row r="246" spans="1:34" ht="15.750000" customHeight="1">
      <c r="B246" s="166"/>
      <c r="H246" s="460"/>
      <c r="I246" s="65"/>
      <c r="J246" s="277"/>
      <c r="K246" s="65"/>
      <c r="L246" s="277"/>
      <c r="O246" s="465"/>
      <c r="P246" s="165"/>
      <c r="Q246" s="13"/>
      <c r="R246" s="13"/>
      <c r="S246" s="165"/>
      <c r="T246" s="165"/>
      <c r="U246" s="165"/>
      <c r="V246" s="165"/>
      <c r="W246" s="165"/>
      <c r="X246" s="165"/>
      <c r="Y246" s="165"/>
      <c r="Z246" s="166"/>
      <c r="AA246" s="166"/>
      <c r="AB246" s="166"/>
      <c r="AC246" s="166"/>
      <c r="AD246" s="166"/>
      <c r="AE246" s="166"/>
      <c r="AF246" s="166"/>
      <c r="AG246" s="166"/>
      <c r="AH246" s="166"/>
    </row>
    <row r="247" spans="1:34" ht="15.750000" customHeight="1">
      <c r="A247" s="156" t="s">
        <v>116</v>
      </c>
      <c r="B247" s="88"/>
      <c r="C247" s="240"/>
      <c r="D247" s="240"/>
      <c r="E247" s="158">
        <f>F247*120%</f>
        <v>0</v>
      </c>
      <c r="F247" s="158">
        <f>(D247-C247+1)*G247</f>
        <v>0</v>
      </c>
      <c r="G247" s="159">
        <f>M247*40</f>
        <v>0</v>
      </c>
      <c r="H247" s="277"/>
      <c r="I247" s="65"/>
      <c r="J247" s="277"/>
      <c r="K247" s="65"/>
      <c r="L247" s="277"/>
      <c r="M247" s="231"/>
      <c r="N247" s="163"/>
      <c r="O247" s="65"/>
      <c r="P247" s="65"/>
      <c r="Q247" s="13"/>
      <c r="R247" s="13"/>
      <c r="S247" s="13"/>
      <c r="T247" s="65"/>
      <c r="U247" s="65"/>
      <c r="V247" s="65"/>
      <c r="W247" s="65"/>
      <c r="X247" s="65"/>
      <c r="Y247" s="65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0000" customHeight="1">
      <c r="B248" s="88"/>
      <c r="H248" s="277"/>
      <c r="I248" s="65"/>
      <c r="J248" s="162"/>
      <c r="K248" s="188"/>
      <c r="L248" s="277"/>
      <c r="O248" s="65"/>
      <c r="P248" s="65"/>
      <c r="Q248" s="13"/>
      <c r="R248" s="13"/>
      <c r="S248" s="65"/>
      <c r="T248" s="65"/>
      <c r="U248" s="65"/>
      <c r="V248" s="65"/>
      <c r="W248" s="65"/>
      <c r="X248" s="65"/>
      <c r="Y248" s="65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0000" customHeight="1">
      <c r="B249" s="88"/>
      <c r="H249" s="277"/>
      <c r="I249" s="65"/>
      <c r="J249" s="162"/>
      <c r="K249" s="188"/>
      <c r="L249" s="277"/>
      <c r="O249" s="65"/>
      <c r="P249" s="65"/>
      <c r="Q249" s="13"/>
      <c r="R249" s="13"/>
      <c r="S249" s="65"/>
      <c r="T249" s="65"/>
      <c r="U249" s="65"/>
      <c r="V249" s="65"/>
      <c r="W249" s="65"/>
      <c r="X249" s="65"/>
      <c r="Y249" s="65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0000" customHeight="1">
      <c r="B250" s="88"/>
      <c r="H250" s="277"/>
      <c r="I250" s="65"/>
      <c r="J250" s="162"/>
      <c r="K250" s="188"/>
      <c r="L250" s="277"/>
      <c r="O250" s="65"/>
      <c r="P250" s="65"/>
      <c r="Q250" s="13"/>
      <c r="R250" s="13"/>
      <c r="S250" s="65"/>
      <c r="T250" s="65"/>
      <c r="U250" s="65"/>
      <c r="V250" s="65"/>
      <c r="W250" s="65"/>
      <c r="X250" s="65"/>
      <c r="Y250" s="65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0000" customHeight="1">
      <c r="B251" s="88"/>
      <c r="H251" s="460"/>
      <c r="I251" s="65"/>
      <c r="J251" s="162"/>
      <c r="K251" s="188"/>
      <c r="L251" s="277"/>
      <c r="O251" s="65"/>
      <c r="P251" s="65"/>
      <c r="Q251" s="13"/>
      <c r="R251" s="13"/>
      <c r="S251" s="65"/>
      <c r="T251" s="65"/>
      <c r="U251" s="65"/>
      <c r="V251" s="65"/>
      <c r="W251" s="65"/>
      <c r="X251" s="65"/>
      <c r="Y251" s="65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0000" customHeight="1">
      <c r="A252" s="156" t="s">
        <v>116</v>
      </c>
      <c r="B252" s="88"/>
      <c r="C252" s="241"/>
      <c r="D252" s="241"/>
      <c r="E252" s="158">
        <f>F252*120%</f>
        <v>0</v>
      </c>
      <c r="F252" s="158">
        <f>(D252-C252+1)*G252</f>
        <v>0</v>
      </c>
      <c r="G252" s="159">
        <f>M252*40</f>
        <v>0</v>
      </c>
      <c r="H252" s="277"/>
      <c r="I252" s="65"/>
      <c r="J252" s="277"/>
      <c r="K252" s="65"/>
      <c r="L252" s="277"/>
      <c r="M252" s="231"/>
      <c r="N252" s="163"/>
      <c r="O252" s="65"/>
      <c r="P252" s="65"/>
      <c r="Q252" s="13"/>
      <c r="R252" s="13"/>
      <c r="S252" s="65"/>
      <c r="T252" s="65"/>
      <c r="U252" s="65"/>
      <c r="V252" s="65"/>
      <c r="W252" s="65"/>
      <c r="X252" s="65"/>
      <c r="Y252" s="65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0000" customHeight="1">
      <c r="B253" s="88"/>
      <c r="H253" s="277"/>
      <c r="I253" s="65"/>
      <c r="J253" s="277"/>
      <c r="K253" s="188"/>
      <c r="L253" s="277"/>
      <c r="O253" s="65"/>
      <c r="P253" s="65"/>
      <c r="Q253" s="13"/>
      <c r="R253" s="13"/>
      <c r="S253" s="65"/>
      <c r="T253" s="65"/>
      <c r="U253" s="65"/>
      <c r="V253" s="65"/>
      <c r="W253" s="65"/>
      <c r="X253" s="65"/>
      <c r="Y253" s="65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0000" customHeight="1">
      <c r="B254" s="88"/>
      <c r="H254" s="277"/>
      <c r="I254" s="65"/>
      <c r="J254" s="277"/>
      <c r="K254" s="188"/>
      <c r="L254" s="277"/>
      <c r="O254" s="65"/>
      <c r="P254" s="65"/>
      <c r="Q254" s="13"/>
      <c r="R254" s="13"/>
      <c r="S254" s="65"/>
      <c r="T254" s="65"/>
      <c r="U254" s="65"/>
      <c r="V254" s="65"/>
      <c r="W254" s="65"/>
      <c r="X254" s="65"/>
      <c r="Y254" s="65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0000" customHeight="1">
      <c r="B255" s="88"/>
      <c r="H255" s="277"/>
      <c r="I255" s="65"/>
      <c r="J255" s="277"/>
      <c r="K255" s="188"/>
      <c r="L255" s="277"/>
      <c r="O255" s="65"/>
      <c r="P255" s="65"/>
      <c r="Q255" s="13"/>
      <c r="R255" s="13"/>
      <c r="S255" s="65"/>
      <c r="T255" s="65"/>
      <c r="U255" s="65"/>
      <c r="V255" s="65"/>
      <c r="W255" s="65"/>
      <c r="X255" s="65"/>
      <c r="Y255" s="65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0000" customHeight="1">
      <c r="B256" s="88"/>
      <c r="H256" s="169"/>
      <c r="I256" s="65"/>
      <c r="J256" s="162"/>
      <c r="K256" s="188"/>
      <c r="L256" s="162"/>
      <c r="O256" s="65"/>
      <c r="P256" s="65"/>
      <c r="Q256" s="13"/>
      <c r="R256" s="13"/>
      <c r="S256" s="65"/>
      <c r="T256" s="65"/>
      <c r="U256" s="65"/>
      <c r="V256" s="65"/>
      <c r="W256" s="65"/>
      <c r="X256" s="65"/>
      <c r="Y256" s="65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0000" customHeight="1">
      <c r="A257" s="156" t="s">
        <v>116</v>
      </c>
      <c r="B257" s="88"/>
      <c r="C257" s="241"/>
      <c r="D257" s="241"/>
      <c r="E257" s="158">
        <f>F257*120%</f>
        <v>0</v>
      </c>
      <c r="F257" s="158">
        <f>(D257-C257+1)*G257</f>
        <v>0</v>
      </c>
      <c r="G257" s="159">
        <f>M257*40</f>
        <v>0</v>
      </c>
      <c r="H257" s="277"/>
      <c r="I257" s="65"/>
      <c r="J257" s="277"/>
      <c r="K257" s="65"/>
      <c r="L257" s="277"/>
      <c r="M257" s="231"/>
      <c r="N257" s="163"/>
      <c r="O257" s="65"/>
      <c r="P257" s="65"/>
      <c r="Q257" s="13"/>
      <c r="R257" s="13"/>
      <c r="S257" s="13"/>
      <c r="T257" s="65"/>
      <c r="U257" s="65"/>
      <c r="V257" s="65"/>
      <c r="W257" s="65"/>
      <c r="X257" s="65"/>
      <c r="Y257" s="65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0000" customHeight="1">
      <c r="B258" s="88"/>
      <c r="H258" s="65"/>
      <c r="I258" s="65"/>
      <c r="J258" s="162"/>
      <c r="K258" s="188"/>
      <c r="L258" s="162"/>
      <c r="O258" s="65"/>
      <c r="P258" s="65"/>
      <c r="Q258" s="13"/>
      <c r="R258" s="13"/>
      <c r="S258" s="65"/>
      <c r="T258" s="65"/>
      <c r="U258" s="65"/>
      <c r="V258" s="65"/>
      <c r="W258" s="65"/>
      <c r="X258" s="65"/>
      <c r="Y258" s="65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0000" customHeight="1">
      <c r="B259" s="88"/>
      <c r="H259" s="277"/>
      <c r="I259" s="65"/>
      <c r="J259" s="162"/>
      <c r="K259" s="188"/>
      <c r="L259" s="162"/>
      <c r="O259" s="65"/>
      <c r="P259" s="65"/>
      <c r="Q259" s="13"/>
      <c r="R259" s="13"/>
      <c r="S259" s="65"/>
      <c r="T259" s="65"/>
      <c r="U259" s="65"/>
      <c r="V259" s="65"/>
      <c r="W259" s="65"/>
      <c r="X259" s="65"/>
      <c r="Y259" s="65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0000" customHeight="1">
      <c r="B260" s="88"/>
      <c r="H260" s="65"/>
      <c r="I260" s="65"/>
      <c r="J260" s="162"/>
      <c r="K260" s="188"/>
      <c r="L260" s="162"/>
      <c r="O260" s="65"/>
      <c r="P260" s="65"/>
      <c r="Q260" s="13"/>
      <c r="R260" s="13"/>
      <c r="S260" s="65"/>
      <c r="T260" s="65"/>
      <c r="U260" s="65"/>
      <c r="V260" s="65"/>
      <c r="W260" s="65"/>
      <c r="X260" s="65"/>
      <c r="Y260" s="65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0000" customHeight="1">
      <c r="B261" s="88"/>
      <c r="H261" s="169"/>
      <c r="I261" s="65"/>
      <c r="J261" s="162"/>
      <c r="K261" s="188"/>
      <c r="L261" s="162"/>
      <c r="O261" s="65"/>
      <c r="P261" s="65"/>
      <c r="Q261" s="13"/>
      <c r="R261" s="13"/>
      <c r="S261" s="65"/>
      <c r="T261" s="65"/>
      <c r="U261" s="65"/>
      <c r="V261" s="65"/>
      <c r="W261" s="65"/>
      <c r="X261" s="65"/>
      <c r="Y261" s="65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0000" customHeight="1">
      <c r="A262" s="156" t="s">
        <v>116</v>
      </c>
      <c r="B262" s="88"/>
      <c r="C262" s="241"/>
      <c r="D262" s="241"/>
      <c r="E262" s="158">
        <f>F262*120%</f>
        <v>0</v>
      </c>
      <c r="F262" s="158">
        <f>(D262-C262+1)*G262</f>
        <v>0</v>
      </c>
      <c r="G262" s="159">
        <f>M262*40</f>
        <v>0</v>
      </c>
      <c r="H262" s="277"/>
      <c r="I262" s="65"/>
      <c r="J262" s="277"/>
      <c r="K262" s="65"/>
      <c r="L262" s="277"/>
      <c r="M262" s="231"/>
      <c r="N262" s="163"/>
      <c r="O262" s="65"/>
      <c r="P262" s="65"/>
      <c r="Q262" s="13"/>
      <c r="R262" s="13"/>
      <c r="S262" s="13"/>
      <c r="T262" s="65"/>
      <c r="U262" s="65"/>
      <c r="V262" s="65"/>
      <c r="W262" s="65"/>
      <c r="X262" s="65"/>
      <c r="Y262" s="65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0000" customHeight="1">
      <c r="B263" s="88"/>
      <c r="H263" s="277"/>
      <c r="I263" s="65"/>
      <c r="J263" s="277"/>
      <c r="K263" s="188"/>
      <c r="L263" s="277"/>
      <c r="O263" s="65"/>
      <c r="P263" s="65"/>
      <c r="Q263" s="13"/>
      <c r="R263" s="13"/>
      <c r="S263" s="65"/>
      <c r="T263" s="65"/>
      <c r="U263" s="65"/>
      <c r="V263" s="65"/>
      <c r="W263" s="65"/>
      <c r="X263" s="65"/>
      <c r="Y263" s="65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0000" customHeight="1">
      <c r="B264" s="88"/>
      <c r="H264" s="277"/>
      <c r="I264" s="65"/>
      <c r="J264" s="277"/>
      <c r="K264" s="188"/>
      <c r="L264" s="277"/>
      <c r="O264" s="65"/>
      <c r="P264" s="65"/>
      <c r="Q264" s="13"/>
      <c r="R264" s="13"/>
      <c r="S264" s="65"/>
      <c r="T264" s="65"/>
      <c r="U264" s="65"/>
      <c r="V264" s="65"/>
      <c r="W264" s="65"/>
      <c r="X264" s="65"/>
      <c r="Y264" s="65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0000" customHeight="1">
      <c r="B265" s="88"/>
      <c r="H265" s="277"/>
      <c r="I265" s="65"/>
      <c r="J265" s="277"/>
      <c r="K265" s="188"/>
      <c r="L265" s="277"/>
      <c r="O265" s="65"/>
      <c r="P265" s="65"/>
      <c r="Q265" s="13"/>
      <c r="R265" s="13"/>
      <c r="S265" s="65"/>
      <c r="T265" s="65"/>
      <c r="U265" s="65"/>
      <c r="V265" s="65"/>
      <c r="W265" s="65"/>
      <c r="X265" s="65"/>
      <c r="Y265" s="65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0000" customHeight="1">
      <c r="B266" s="88"/>
      <c r="H266" s="460"/>
      <c r="I266" s="65"/>
      <c r="J266" s="277"/>
      <c r="K266" s="188"/>
      <c r="L266" s="277"/>
      <c r="O266" s="65"/>
      <c r="P266" s="65"/>
      <c r="Q266" s="13"/>
      <c r="R266" s="13"/>
      <c r="S266" s="65"/>
      <c r="T266" s="65"/>
      <c r="U266" s="65"/>
      <c r="V266" s="65"/>
      <c r="W266" s="65"/>
      <c r="X266" s="65"/>
      <c r="Y266" s="65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0000" customHeight="1">
      <c r="A267" s="156" t="s">
        <v>116</v>
      </c>
      <c r="B267" s="88"/>
      <c r="C267" s="241"/>
      <c r="D267" s="241"/>
      <c r="E267" s="158">
        <f>F267*120%</f>
        <v>0</v>
      </c>
      <c r="F267" s="158">
        <f>(D267-C267+1)*G267</f>
        <v>0</v>
      </c>
      <c r="G267" s="159">
        <f>M267*40</f>
        <v>0</v>
      </c>
      <c r="H267" s="277"/>
      <c r="I267" s="65"/>
      <c r="J267" s="277"/>
      <c r="K267" s="65"/>
      <c r="L267" s="277"/>
      <c r="M267" s="231"/>
      <c r="N267" s="163"/>
      <c r="O267" s="65"/>
      <c r="P267" s="65"/>
      <c r="Q267" s="13"/>
      <c r="R267" s="13"/>
      <c r="S267" s="13"/>
      <c r="T267" s="65"/>
      <c r="U267" s="65"/>
      <c r="V267" s="65"/>
      <c r="W267" s="65"/>
      <c r="X267" s="65"/>
      <c r="Y267" s="65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0000" customHeight="1">
      <c r="B268" s="88"/>
      <c r="H268" s="277"/>
      <c r="I268" s="65"/>
      <c r="J268" s="277"/>
      <c r="K268" s="188"/>
      <c r="L268" s="277"/>
      <c r="O268" s="65"/>
      <c r="P268" s="65"/>
      <c r="Q268" s="13"/>
      <c r="R268" s="13"/>
      <c r="S268" s="65"/>
      <c r="T268" s="65"/>
      <c r="U268" s="65"/>
      <c r="V268" s="65"/>
      <c r="W268" s="65"/>
      <c r="X268" s="65"/>
      <c r="Y268" s="65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0000" customHeight="1">
      <c r="B269" s="88"/>
      <c r="H269" s="277"/>
      <c r="I269" s="65"/>
      <c r="J269" s="277"/>
      <c r="K269" s="188"/>
      <c r="L269" s="277"/>
      <c r="O269" s="65"/>
      <c r="P269" s="65"/>
      <c r="Q269" s="13"/>
      <c r="R269" s="13"/>
      <c r="S269" s="65"/>
      <c r="T269" s="65"/>
      <c r="U269" s="65"/>
      <c r="V269" s="65"/>
      <c r="W269" s="65"/>
      <c r="X269" s="65"/>
      <c r="Y269" s="65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0000" customHeight="1">
      <c r="B270" s="88"/>
      <c r="H270" s="277"/>
      <c r="I270" s="65"/>
      <c r="J270" s="277"/>
      <c r="K270" s="188"/>
      <c r="L270" s="277"/>
      <c r="O270" s="65"/>
      <c r="P270" s="65"/>
      <c r="Q270" s="13"/>
      <c r="R270" s="13"/>
      <c r="S270" s="65"/>
      <c r="T270" s="65"/>
      <c r="U270" s="65"/>
      <c r="V270" s="65"/>
      <c r="W270" s="65"/>
      <c r="X270" s="65"/>
      <c r="Y270" s="65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0000" customHeight="1">
      <c r="B271" s="88"/>
      <c r="H271" s="460"/>
      <c r="I271" s="65"/>
      <c r="J271" s="277"/>
      <c r="K271" s="188"/>
      <c r="L271" s="277"/>
      <c r="O271" s="65"/>
      <c r="P271" s="65"/>
      <c r="Q271" s="13"/>
      <c r="R271" s="13"/>
      <c r="S271" s="65"/>
      <c r="T271" s="65"/>
      <c r="U271" s="65"/>
      <c r="V271" s="65"/>
      <c r="W271" s="65"/>
      <c r="X271" s="65"/>
      <c r="Y271" s="65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0000" customHeight="1">
      <c r="A272" s="156" t="s">
        <v>116</v>
      </c>
      <c r="B272" s="88"/>
      <c r="C272" s="241"/>
      <c r="D272" s="241"/>
      <c r="E272" s="158">
        <f>F272*120%</f>
        <v>0</v>
      </c>
      <c r="F272" s="158">
        <f>(D272-C272+1)*G272</f>
        <v>0</v>
      </c>
      <c r="G272" s="159">
        <f>M272*40</f>
        <v>0</v>
      </c>
      <c r="H272" s="162"/>
      <c r="I272" s="65"/>
      <c r="J272" s="65"/>
      <c r="K272" s="65"/>
      <c r="L272" s="65"/>
      <c r="M272" s="231"/>
      <c r="N272" s="163"/>
      <c r="O272" s="65"/>
      <c r="P272" s="65"/>
      <c r="Q272" s="13"/>
      <c r="R272" s="13"/>
      <c r="S272" s="13"/>
      <c r="T272" s="13"/>
      <c r="U272" s="165"/>
      <c r="V272" s="165"/>
      <c r="W272" s="165"/>
      <c r="X272" s="165"/>
      <c r="Y272" s="165"/>
      <c r="Z272" s="166"/>
      <c r="AA272" s="166"/>
      <c r="AB272" s="166"/>
      <c r="AC272" s="166"/>
      <c r="AD272" s="166"/>
      <c r="AE272" s="166"/>
      <c r="AF272" s="166"/>
      <c r="AG272" s="166"/>
      <c r="AH272" s="166"/>
    </row>
    <row r="273" spans="1:34" ht="15.750000" customHeight="1">
      <c r="B273" s="88"/>
      <c r="H273" s="162"/>
      <c r="I273" s="65"/>
      <c r="J273" s="65"/>
      <c r="K273" s="65"/>
      <c r="L273" s="65"/>
      <c r="O273" s="65"/>
      <c r="P273" s="65"/>
      <c r="Q273" s="13"/>
      <c r="R273" s="13"/>
      <c r="S273" s="13"/>
      <c r="T273" s="13"/>
      <c r="U273" s="165"/>
      <c r="V273" s="165"/>
      <c r="W273" s="165"/>
      <c r="X273" s="165"/>
      <c r="Y273" s="165"/>
      <c r="Z273" s="166"/>
      <c r="AA273" s="166"/>
      <c r="AB273" s="166"/>
      <c r="AC273" s="166"/>
      <c r="AD273" s="166"/>
      <c r="AE273" s="166"/>
      <c r="AF273" s="166"/>
      <c r="AG273" s="166"/>
      <c r="AH273" s="166"/>
    </row>
    <row r="274" spans="1:34" ht="15.750000" customHeight="1">
      <c r="B274" s="166"/>
      <c r="H274" s="162"/>
      <c r="I274" s="65"/>
      <c r="J274" s="65"/>
      <c r="K274" s="65"/>
      <c r="L274" s="65"/>
      <c r="O274" s="65"/>
      <c r="P274" s="65"/>
      <c r="Q274" s="13"/>
      <c r="R274" s="13"/>
      <c r="S274" s="13"/>
      <c r="T274" s="13"/>
      <c r="U274" s="165"/>
      <c r="V274" s="165"/>
      <c r="W274" s="165"/>
      <c r="X274" s="165"/>
      <c r="Y274" s="165"/>
      <c r="Z274" s="166"/>
      <c r="AA274" s="166"/>
      <c r="AB274" s="166"/>
      <c r="AC274" s="166"/>
      <c r="AD274" s="166"/>
      <c r="AE274" s="166"/>
      <c r="AF274" s="166"/>
      <c r="AG274" s="166"/>
      <c r="AH274" s="166"/>
    </row>
    <row r="275" spans="1:34" ht="15.750000" customHeight="1">
      <c r="B275" s="166"/>
      <c r="H275" s="162"/>
      <c r="I275" s="65"/>
      <c r="J275" s="65"/>
      <c r="K275" s="65"/>
      <c r="L275" s="65"/>
      <c r="O275" s="65"/>
      <c r="P275" s="65"/>
      <c r="Q275" s="13"/>
      <c r="R275" s="13"/>
      <c r="S275" s="13"/>
      <c r="T275" s="13"/>
      <c r="U275" s="165"/>
      <c r="V275" s="165"/>
      <c r="W275" s="165"/>
      <c r="X275" s="165"/>
      <c r="Y275" s="165"/>
      <c r="Z275" s="166"/>
      <c r="AA275" s="166"/>
      <c r="AB275" s="166"/>
      <c r="AC275" s="166"/>
      <c r="AD275" s="166"/>
      <c r="AE275" s="166"/>
      <c r="AF275" s="166"/>
      <c r="AG275" s="166"/>
      <c r="AH275" s="166"/>
    </row>
    <row r="276" spans="1:34" ht="15.750000" customHeight="1">
      <c r="B276" s="166"/>
      <c r="H276" s="220"/>
      <c r="I276" s="65"/>
      <c r="J276" s="65"/>
      <c r="K276" s="65"/>
      <c r="L276" s="65"/>
      <c r="O276" s="65"/>
      <c r="P276" s="65"/>
      <c r="Q276" s="13"/>
      <c r="R276" s="13"/>
      <c r="S276" s="13"/>
      <c r="T276" s="13"/>
      <c r="U276" s="165"/>
      <c r="V276" s="165"/>
      <c r="W276" s="165"/>
      <c r="X276" s="165"/>
      <c r="Y276" s="165"/>
      <c r="Z276" s="166"/>
      <c r="AA276" s="166"/>
      <c r="AB276" s="166"/>
      <c r="AC276" s="166"/>
      <c r="AD276" s="166"/>
      <c r="AE276" s="166"/>
      <c r="AF276" s="166"/>
      <c r="AG276" s="166"/>
      <c r="AH276" s="166"/>
    </row>
    <row r="277" spans="1:34" ht="15.750000" customHeight="1">
      <c r="A277" s="156" t="s">
        <v>116</v>
      </c>
      <c r="B277" s="88"/>
      <c r="C277" s="241"/>
      <c r="D277" s="241"/>
      <c r="E277" s="158">
        <f>F277*120%</f>
        <v>0</v>
      </c>
      <c r="F277" s="158">
        <f>(D277-C277+1)*G277</f>
        <v>0</v>
      </c>
      <c r="G277" s="159">
        <f>M277*40</f>
        <v>0</v>
      </c>
      <c r="H277" s="162"/>
      <c r="I277" s="65"/>
      <c r="J277" s="162"/>
      <c r="K277" s="65"/>
      <c r="L277" s="162"/>
      <c r="M277" s="231"/>
      <c r="N277" s="163"/>
      <c r="O277" s="164"/>
      <c r="P277" s="65"/>
      <c r="Q277" s="13"/>
      <c r="R277" s="13"/>
      <c r="S277" s="253"/>
      <c r="T277" s="65"/>
      <c r="U277" s="65"/>
      <c r="V277" s="65"/>
      <c r="W277" s="65"/>
      <c r="X277" s="65"/>
      <c r="Y277" s="65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0000" customHeight="1">
      <c r="B278" s="88"/>
      <c r="H278" s="162"/>
      <c r="I278" s="65"/>
      <c r="J278" s="162"/>
      <c r="K278" s="188"/>
      <c r="L278" s="162"/>
      <c r="O278" s="164"/>
      <c r="P278" s="65"/>
      <c r="Q278" s="13"/>
      <c r="R278" s="13"/>
      <c r="S278" s="253"/>
      <c r="T278" s="65"/>
      <c r="U278" s="65"/>
      <c r="V278" s="65"/>
      <c r="W278" s="65"/>
      <c r="X278" s="65"/>
      <c r="Y278" s="65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0000" customHeight="1">
      <c r="B279" s="88"/>
      <c r="H279" s="162"/>
      <c r="I279" s="65"/>
      <c r="J279" s="65"/>
      <c r="K279" s="65"/>
      <c r="L279" s="65"/>
      <c r="O279" s="164"/>
      <c r="P279" s="65"/>
      <c r="Q279" s="13"/>
      <c r="R279" s="13"/>
      <c r="S279" s="65"/>
      <c r="T279" s="65"/>
      <c r="U279" s="65"/>
      <c r="V279" s="65"/>
      <c r="W279" s="65"/>
      <c r="X279" s="65"/>
      <c r="Y279" s="65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0000" customHeight="1">
      <c r="B280" s="88"/>
      <c r="H280" s="162"/>
      <c r="I280" s="65"/>
      <c r="J280" s="65"/>
      <c r="K280" s="65"/>
      <c r="L280" s="65"/>
      <c r="O280" s="164"/>
      <c r="P280" s="65"/>
      <c r="Q280" s="13"/>
      <c r="R280" s="13"/>
      <c r="S280" s="65"/>
      <c r="T280" s="65"/>
      <c r="U280" s="65"/>
      <c r="V280" s="65"/>
      <c r="W280" s="65"/>
      <c r="X280" s="65"/>
      <c r="Y280" s="65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0000" customHeight="1">
      <c r="B281" s="88"/>
      <c r="H281" s="220"/>
      <c r="I281" s="65"/>
      <c r="J281" s="65"/>
      <c r="K281" s="65"/>
      <c r="L281" s="65"/>
      <c r="O281" s="164"/>
      <c r="P281" s="65"/>
      <c r="Q281" s="13"/>
      <c r="R281" s="13"/>
      <c r="S281" s="65"/>
      <c r="T281" s="65"/>
      <c r="U281" s="65"/>
      <c r="V281" s="65"/>
      <c r="W281" s="65"/>
      <c r="X281" s="65"/>
      <c r="Y281" s="65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0000" customHeight="1">
      <c r="A282" s="156" t="s">
        <v>116</v>
      </c>
      <c r="B282" s="88"/>
      <c r="C282" s="241"/>
      <c r="D282" s="279"/>
      <c r="E282" s="158">
        <f>F282*120%</f>
        <v>0</v>
      </c>
      <c r="F282" s="158">
        <f>(D282-C282+1)*G282</f>
        <v>0</v>
      </c>
      <c r="G282" s="159">
        <f>M282*40</f>
        <v>0</v>
      </c>
      <c r="H282" s="162"/>
      <c r="I282" s="65"/>
      <c r="J282" s="277"/>
      <c r="K282" s="65"/>
      <c r="L282" s="162"/>
      <c r="M282" s="65"/>
      <c r="N282" s="163"/>
      <c r="O282" s="65"/>
      <c r="P282" s="65"/>
      <c r="Q282" s="13"/>
      <c r="R282" s="13"/>
      <c r="S282" s="65"/>
      <c r="T282" s="65"/>
      <c r="U282" s="65"/>
      <c r="V282" s="65"/>
      <c r="W282" s="65"/>
      <c r="X282" s="65"/>
      <c r="Y282" s="65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0000" customHeight="1">
      <c r="B283" s="88"/>
      <c r="H283" s="162"/>
      <c r="I283" s="65"/>
      <c r="J283" s="277"/>
      <c r="K283" s="188"/>
      <c r="L283" s="162"/>
      <c r="O283" s="65"/>
      <c r="P283" s="65"/>
      <c r="Q283" s="13"/>
      <c r="R283" s="13"/>
      <c r="S283" s="65"/>
      <c r="T283" s="65"/>
      <c r="U283" s="65"/>
      <c r="V283" s="65"/>
      <c r="W283" s="65"/>
      <c r="X283" s="65"/>
      <c r="Y283" s="65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0000" customHeight="1">
      <c r="B284" s="88"/>
      <c r="H284" s="162"/>
      <c r="I284" s="65"/>
      <c r="J284" s="277"/>
      <c r="K284" s="188"/>
      <c r="L284" s="162"/>
      <c r="O284" s="65"/>
      <c r="P284" s="65"/>
      <c r="Q284" s="13"/>
      <c r="R284" s="13"/>
      <c r="S284" s="65"/>
      <c r="T284" s="65"/>
      <c r="U284" s="65"/>
      <c r="V284" s="65"/>
      <c r="W284" s="65"/>
      <c r="X284" s="65"/>
      <c r="Y284" s="65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0000" customHeight="1">
      <c r="B285" s="88"/>
      <c r="H285" s="162"/>
      <c r="I285" s="65"/>
      <c r="J285" s="277"/>
      <c r="K285" s="188"/>
      <c r="L285" s="162"/>
      <c r="O285" s="65"/>
      <c r="P285" s="65"/>
      <c r="Q285" s="13"/>
      <c r="R285" s="13"/>
      <c r="S285" s="65"/>
      <c r="T285" s="65"/>
      <c r="U285" s="65"/>
      <c r="V285" s="65"/>
      <c r="W285" s="65"/>
      <c r="X285" s="65"/>
      <c r="Y285" s="65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0000" customHeight="1">
      <c r="B286" s="88"/>
      <c r="H286" s="220"/>
      <c r="I286" s="65"/>
      <c r="J286" s="277"/>
      <c r="K286" s="65"/>
      <c r="L286" s="162"/>
      <c r="O286" s="65"/>
      <c r="P286" s="65"/>
      <c r="Q286" s="13"/>
      <c r="R286" s="13"/>
      <c r="S286" s="65"/>
      <c r="T286" s="65"/>
      <c r="U286" s="65"/>
      <c r="V286" s="65"/>
      <c r="W286" s="65"/>
      <c r="X286" s="65"/>
      <c r="Y286" s="65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0000" customHeight="1">
      <c r="A287" s="156" t="s">
        <v>116</v>
      </c>
      <c r="B287" s="88"/>
      <c r="C287" s="241"/>
      <c r="D287" s="279"/>
      <c r="E287" s="158">
        <f>F287*120%</f>
        <v>0</v>
      </c>
      <c r="F287" s="158">
        <f>(D287-C287+1)*G287</f>
        <v>0</v>
      </c>
      <c r="G287" s="159">
        <f>M287*40</f>
        <v>0</v>
      </c>
      <c r="H287" s="162"/>
      <c r="I287" s="65"/>
      <c r="J287" s="467"/>
      <c r="K287" s="188"/>
      <c r="L287" s="162"/>
      <c r="M287" s="65"/>
      <c r="N287" s="163"/>
      <c r="O287" s="65"/>
      <c r="P287" s="65"/>
      <c r="Q287" s="13"/>
      <c r="R287" s="13"/>
      <c r="S287" s="65"/>
      <c r="T287" s="65"/>
      <c r="U287" s="65"/>
      <c r="V287" s="65"/>
      <c r="W287" s="65"/>
      <c r="X287" s="65"/>
      <c r="Y287" s="65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0000" customHeight="1">
      <c r="B288" s="88"/>
      <c r="H288" s="162"/>
      <c r="I288" s="65"/>
      <c r="J288" s="467"/>
      <c r="K288" s="188"/>
      <c r="L288" s="162"/>
      <c r="O288" s="65"/>
      <c r="P288" s="65"/>
      <c r="Q288" s="13"/>
      <c r="R288" s="13"/>
      <c r="S288" s="65"/>
      <c r="T288" s="65"/>
      <c r="U288" s="65"/>
      <c r="V288" s="65"/>
      <c r="W288" s="65"/>
      <c r="X288" s="65"/>
      <c r="Y288" s="65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0000" customHeight="1">
      <c r="B289" s="88"/>
      <c r="H289" s="162"/>
      <c r="I289" s="65"/>
      <c r="J289" s="467"/>
      <c r="K289" s="188"/>
      <c r="L289" s="162"/>
      <c r="O289" s="65"/>
      <c r="P289" s="65"/>
      <c r="Q289" s="13"/>
      <c r="R289" s="13"/>
      <c r="S289" s="65"/>
      <c r="T289" s="65"/>
      <c r="U289" s="65"/>
      <c r="V289" s="65"/>
      <c r="W289" s="65"/>
      <c r="X289" s="65"/>
      <c r="Y289" s="65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0000" customHeight="1">
      <c r="B290" s="88"/>
      <c r="H290" s="162"/>
      <c r="I290" s="65"/>
      <c r="J290" s="467"/>
      <c r="K290" s="65"/>
      <c r="L290" s="162"/>
      <c r="O290" s="65"/>
      <c r="P290" s="65"/>
      <c r="Q290" s="13"/>
      <c r="R290" s="13"/>
      <c r="S290" s="65"/>
      <c r="T290" s="65"/>
      <c r="U290" s="65"/>
      <c r="V290" s="65"/>
      <c r="W290" s="65"/>
      <c r="X290" s="65"/>
      <c r="Y290" s="65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0000" customHeight="1">
      <c r="B291" s="88"/>
      <c r="H291" s="220"/>
      <c r="I291" s="65"/>
      <c r="J291" s="277"/>
      <c r="K291" s="65"/>
      <c r="L291" s="162"/>
      <c r="O291" s="65"/>
      <c r="P291" s="65"/>
      <c r="Q291" s="13"/>
      <c r="R291" s="13"/>
      <c r="S291" s="65"/>
      <c r="T291" s="65"/>
      <c r="U291" s="65"/>
      <c r="V291" s="65"/>
      <c r="W291" s="65"/>
      <c r="X291" s="65"/>
      <c r="Y291" s="65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0000" customHeight="1">
      <c r="A292" s="156" t="s">
        <v>116</v>
      </c>
      <c r="B292" s="88"/>
      <c r="C292" s="468"/>
      <c r="D292" s="469"/>
      <c r="E292" s="158">
        <f>F292*120%</f>
        <v>0</v>
      </c>
      <c r="F292" s="158">
        <f>(D292-C292+1)*G292</f>
        <v>0</v>
      </c>
      <c r="G292" s="159">
        <f>M297*40</f>
        <v>0</v>
      </c>
      <c r="H292" s="162"/>
      <c r="I292" s="65"/>
      <c r="J292" s="162"/>
      <c r="K292" s="65"/>
      <c r="L292" s="162"/>
      <c r="M292" s="190"/>
      <c r="N292" s="163"/>
      <c r="O292" s="65"/>
      <c r="P292" s="65"/>
      <c r="Q292" s="13"/>
      <c r="R292" s="13"/>
      <c r="S292" s="65"/>
      <c r="T292" s="65"/>
      <c r="U292" s="13" t="s">
        <v>11888</v>
      </c>
      <c r="V292" s="165"/>
      <c r="W292" s="165"/>
      <c r="X292" s="165"/>
      <c r="Y292" s="165"/>
      <c r="Z292" s="166"/>
      <c r="AA292" s="166"/>
      <c r="AB292" s="166"/>
      <c r="AC292" s="166"/>
      <c r="AD292" s="166"/>
      <c r="AE292" s="166"/>
      <c r="AF292" s="166"/>
      <c r="AG292" s="166"/>
      <c r="AH292" s="166"/>
    </row>
    <row r="293" spans="1:34" ht="15.750000" customHeight="1">
      <c r="B293" s="1"/>
      <c r="H293" s="162"/>
      <c r="I293" s="65"/>
      <c r="J293" s="162"/>
      <c r="K293" s="65"/>
      <c r="L293" s="162"/>
      <c r="O293" s="65"/>
      <c r="P293" s="65"/>
      <c r="Q293" s="65"/>
      <c r="R293" s="65"/>
      <c r="S293" s="65"/>
      <c r="T293" s="65"/>
      <c r="U293" s="65"/>
      <c r="V293" s="165"/>
      <c r="W293" s="165"/>
      <c r="X293" s="165"/>
      <c r="Y293" s="165"/>
      <c r="Z293" s="166"/>
      <c r="AA293" s="166"/>
      <c r="AB293" s="166"/>
      <c r="AC293" s="166"/>
      <c r="AD293" s="166"/>
      <c r="AE293" s="166"/>
      <c r="AF293" s="166"/>
      <c r="AG293" s="166"/>
      <c r="AH293" s="166"/>
    </row>
    <row r="294" spans="1:34" ht="15.750000" customHeight="1">
      <c r="B294" s="1"/>
      <c r="H294" s="162"/>
      <c r="I294" s="65"/>
      <c r="J294" s="162"/>
      <c r="K294" s="65"/>
      <c r="L294" s="162"/>
      <c r="O294" s="65"/>
      <c r="P294" s="65"/>
      <c r="Q294" s="65"/>
      <c r="R294" s="65"/>
      <c r="S294" s="65"/>
      <c r="T294" s="65"/>
      <c r="U294" s="65"/>
      <c r="V294" s="165"/>
      <c r="W294" s="165"/>
      <c r="X294" s="165"/>
      <c r="Y294" s="165"/>
      <c r="Z294" s="166"/>
      <c r="AA294" s="166"/>
      <c r="AB294" s="166"/>
      <c r="AC294" s="166"/>
      <c r="AD294" s="166"/>
      <c r="AE294" s="166"/>
      <c r="AF294" s="166"/>
      <c r="AG294" s="166"/>
      <c r="AH294" s="166"/>
    </row>
    <row r="295" spans="1:34" ht="15.750000" customHeight="1">
      <c r="B295" s="1"/>
      <c r="H295" s="162"/>
      <c r="I295" s="65"/>
      <c r="J295" s="162"/>
      <c r="K295" s="65"/>
      <c r="L295" s="162"/>
      <c r="O295" s="65"/>
      <c r="P295" s="65"/>
      <c r="Q295" s="65"/>
      <c r="R295" s="65"/>
      <c r="S295" s="65"/>
      <c r="T295" s="65"/>
      <c r="U295" s="65"/>
      <c r="V295" s="165"/>
      <c r="W295" s="165"/>
      <c r="X295" s="165"/>
      <c r="Y295" s="165"/>
      <c r="Z295" s="166"/>
      <c r="AA295" s="166"/>
      <c r="AB295" s="166"/>
      <c r="AC295" s="166"/>
      <c r="AD295" s="166"/>
      <c r="AE295" s="166"/>
      <c r="AF295" s="166"/>
      <c r="AG295" s="166"/>
      <c r="AH295" s="166"/>
    </row>
    <row r="296" spans="1:34" ht="15.750000" customHeight="1">
      <c r="B296" s="1"/>
      <c r="H296" s="220"/>
      <c r="I296" s="65"/>
      <c r="J296" s="162"/>
      <c r="K296" s="65"/>
      <c r="L296" s="162"/>
      <c r="O296" s="65"/>
      <c r="P296" s="65"/>
      <c r="Q296" s="65"/>
      <c r="R296" s="65"/>
      <c r="S296" s="65"/>
      <c r="T296" s="65"/>
      <c r="U296" s="65"/>
      <c r="V296" s="165"/>
      <c r="W296" s="165"/>
      <c r="X296" s="165"/>
      <c r="Y296" s="165"/>
      <c r="Z296" s="166"/>
      <c r="AA296" s="166"/>
      <c r="AB296" s="166"/>
      <c r="AC296" s="166"/>
      <c r="AD296" s="166"/>
      <c r="AE296" s="166"/>
      <c r="AF296" s="166"/>
      <c r="AG296" s="166"/>
      <c r="AH296" s="166"/>
    </row>
    <row r="297" spans="1:34" ht="15.750000" customHeight="1">
      <c r="A297" s="156" t="s">
        <v>116</v>
      </c>
      <c r="B297" s="88"/>
      <c r="C297" s="470"/>
      <c r="D297" s="470"/>
      <c r="E297" s="158">
        <f>F297*120%</f>
        <v>0</v>
      </c>
      <c r="F297" s="158">
        <f>(D297-C297+1)*G297</f>
        <v>0</v>
      </c>
      <c r="G297" s="159">
        <f>M297*40</f>
        <v>0</v>
      </c>
      <c r="H297" s="162"/>
      <c r="I297" s="65"/>
      <c r="J297" s="162"/>
      <c r="K297" s="65"/>
      <c r="L297" s="162"/>
      <c r="M297" s="190"/>
      <c r="N297" s="163"/>
      <c r="O297" s="65"/>
      <c r="P297" s="65"/>
      <c r="Q297" s="13"/>
      <c r="R297" s="13"/>
      <c r="S297" s="13"/>
      <c r="T297" s="13"/>
      <c r="U297" s="165"/>
      <c r="V297" s="165"/>
      <c r="W297" s="165"/>
      <c r="X297" s="165"/>
      <c r="Y297" s="165"/>
      <c r="Z297" s="166"/>
      <c r="AA297" s="166"/>
      <c r="AB297" s="166"/>
      <c r="AC297" s="166"/>
      <c r="AD297" s="166"/>
      <c r="AE297" s="166"/>
      <c r="AF297" s="166"/>
      <c r="AG297" s="166"/>
      <c r="AH297" s="166"/>
    </row>
    <row r="298" spans="1:34" ht="15.750000" customHeight="1">
      <c r="B298" s="88"/>
      <c r="H298" s="162"/>
      <c r="I298" s="65"/>
      <c r="J298" s="162"/>
      <c r="K298" s="65"/>
      <c r="L298" s="162"/>
      <c r="O298" s="65"/>
      <c r="P298" s="65"/>
      <c r="Q298" s="65"/>
      <c r="R298" s="65"/>
      <c r="S298" s="165"/>
      <c r="T298" s="165"/>
      <c r="U298" s="165"/>
      <c r="V298" s="165"/>
      <c r="W298" s="165"/>
      <c r="X298" s="165"/>
      <c r="Y298" s="165"/>
      <c r="Z298" s="166"/>
      <c r="AA298" s="166"/>
      <c r="AB298" s="166"/>
      <c r="AC298" s="166"/>
      <c r="AD298" s="166"/>
      <c r="AE298" s="166"/>
      <c r="AF298" s="166"/>
      <c r="AG298" s="166"/>
      <c r="AH298" s="166"/>
    </row>
    <row r="299" spans="1:34" ht="15.750000" customHeight="1">
      <c r="B299" s="166"/>
      <c r="H299" s="162"/>
      <c r="I299" s="65"/>
      <c r="J299" s="162"/>
      <c r="K299" s="65"/>
      <c r="L299" s="162"/>
      <c r="O299" s="65"/>
      <c r="P299" s="65"/>
      <c r="Q299" s="65"/>
      <c r="R299" s="65"/>
      <c r="S299" s="165"/>
      <c r="T299" s="165"/>
      <c r="U299" s="165"/>
      <c r="V299" s="165"/>
      <c r="W299" s="165"/>
      <c r="X299" s="165"/>
      <c r="Y299" s="165"/>
      <c r="Z299" s="166"/>
      <c r="AA299" s="166"/>
      <c r="AB299" s="166"/>
      <c r="AC299" s="166"/>
      <c r="AD299" s="166"/>
      <c r="AE299" s="166"/>
      <c r="AF299" s="166"/>
      <c r="AG299" s="166"/>
      <c r="AH299" s="166"/>
    </row>
    <row r="300" spans="1:34" ht="15.750000" customHeight="1">
      <c r="B300" s="166"/>
      <c r="H300" s="162"/>
      <c r="I300" s="65"/>
      <c r="J300" s="162"/>
      <c r="K300" s="65"/>
      <c r="L300" s="162"/>
      <c r="O300" s="65"/>
      <c r="P300" s="65"/>
      <c r="Q300" s="65"/>
      <c r="R300" s="65"/>
      <c r="S300" s="165"/>
      <c r="T300" s="165"/>
      <c r="U300" s="165"/>
      <c r="V300" s="165"/>
      <c r="W300" s="165"/>
      <c r="X300" s="165"/>
      <c r="Y300" s="165"/>
      <c r="Z300" s="166"/>
      <c r="AA300" s="166"/>
      <c r="AB300" s="166"/>
      <c r="AC300" s="166"/>
      <c r="AD300" s="166"/>
      <c r="AE300" s="166"/>
      <c r="AF300" s="166"/>
      <c r="AG300" s="166"/>
      <c r="AH300" s="166"/>
    </row>
    <row r="301" spans="1:34" ht="15.750000" customHeight="1">
      <c r="B301" s="166"/>
      <c r="H301" s="220"/>
      <c r="I301" s="65"/>
      <c r="J301" s="162"/>
      <c r="K301" s="65"/>
      <c r="L301" s="162"/>
      <c r="O301" s="65"/>
      <c r="P301" s="65"/>
      <c r="Q301" s="65"/>
      <c r="R301" s="65"/>
      <c r="S301" s="165"/>
      <c r="T301" s="165"/>
      <c r="U301" s="165"/>
      <c r="V301" s="165"/>
      <c r="W301" s="165"/>
      <c r="X301" s="165"/>
      <c r="Y301" s="165"/>
      <c r="Z301" s="166"/>
      <c r="AA301" s="166"/>
      <c r="AB301" s="166"/>
      <c r="AC301" s="166"/>
      <c r="AD301" s="166"/>
      <c r="AE301" s="166"/>
      <c r="AF301" s="166"/>
      <c r="AG301" s="166"/>
      <c r="AH301" s="166"/>
    </row>
    <row r="302" spans="1:34" ht="15.750000" customHeight="1">
      <c r="A302" s="156" t="s">
        <v>116</v>
      </c>
      <c r="B302" s="88"/>
      <c r="C302" s="470"/>
      <c r="D302" s="470"/>
      <c r="E302" s="158">
        <f>F302*120%</f>
        <v>0</v>
      </c>
      <c r="F302" s="158">
        <f>(D302-C302+1)*G302</f>
        <v>0</v>
      </c>
      <c r="G302" s="159">
        <f>M302*40</f>
        <v>0</v>
      </c>
      <c r="H302" s="162"/>
      <c r="I302" s="65"/>
      <c r="J302" s="162"/>
      <c r="K302" s="65"/>
      <c r="L302" s="162"/>
      <c r="M302" s="190"/>
      <c r="N302" s="163"/>
      <c r="O302" s="65"/>
      <c r="P302" s="65"/>
      <c r="Q302" s="13"/>
      <c r="R302" s="13"/>
      <c r="S302" s="165"/>
      <c r="T302" s="13"/>
      <c r="U302" s="165"/>
      <c r="V302" s="165"/>
      <c r="W302" s="165"/>
      <c r="X302" s="165"/>
      <c r="Y302" s="165"/>
      <c r="Z302" s="166"/>
      <c r="AA302" s="166"/>
      <c r="AB302" s="166"/>
      <c r="AC302" s="166"/>
      <c r="AD302" s="166"/>
      <c r="AE302" s="166"/>
      <c r="AF302" s="166"/>
      <c r="AG302" s="166"/>
      <c r="AH302" s="166"/>
    </row>
    <row r="303" spans="1:34" ht="15.750000" customHeight="1">
      <c r="B303" s="88"/>
      <c r="H303" s="162"/>
      <c r="I303" s="65"/>
      <c r="J303" s="162"/>
      <c r="K303" s="65"/>
      <c r="L303" s="162"/>
      <c r="O303" s="65"/>
      <c r="P303" s="65"/>
      <c r="Q303" s="65"/>
      <c r="R303" s="65"/>
      <c r="S303" s="165"/>
      <c r="T303" s="165"/>
      <c r="U303" s="165"/>
      <c r="V303" s="165"/>
      <c r="W303" s="165"/>
      <c r="X303" s="165"/>
      <c r="Y303" s="165"/>
      <c r="Z303" s="166"/>
      <c r="AA303" s="166"/>
      <c r="AB303" s="166"/>
      <c r="AC303" s="166"/>
      <c r="AD303" s="166"/>
      <c r="AE303" s="166"/>
      <c r="AF303" s="166"/>
      <c r="AG303" s="166"/>
      <c r="AH303" s="166"/>
    </row>
    <row r="304" spans="1:34" ht="15.750000" customHeight="1">
      <c r="B304" s="166"/>
      <c r="H304" s="162"/>
      <c r="I304" s="65"/>
      <c r="J304" s="162"/>
      <c r="K304" s="65"/>
      <c r="L304" s="162"/>
      <c r="O304" s="65"/>
      <c r="P304" s="65"/>
      <c r="Q304" s="65"/>
      <c r="R304" s="65"/>
      <c r="S304" s="165"/>
      <c r="T304" s="165"/>
      <c r="U304" s="165"/>
      <c r="V304" s="165"/>
      <c r="W304" s="165"/>
      <c r="X304" s="165"/>
      <c r="Y304" s="165"/>
      <c r="Z304" s="166"/>
      <c r="AA304" s="166"/>
      <c r="AB304" s="166"/>
      <c r="AC304" s="166"/>
      <c r="AD304" s="166"/>
      <c r="AE304" s="166"/>
      <c r="AF304" s="166"/>
      <c r="AG304" s="166"/>
      <c r="AH304" s="166"/>
    </row>
    <row r="305" spans="1:34" ht="15.750000" customHeight="1">
      <c r="B305" s="166"/>
      <c r="H305" s="162"/>
      <c r="I305" s="65"/>
      <c r="J305" s="162"/>
      <c r="K305" s="65"/>
      <c r="L305" s="162"/>
      <c r="O305" s="65"/>
      <c r="P305" s="65"/>
      <c r="Q305" s="65"/>
      <c r="R305" s="65"/>
      <c r="S305" s="165"/>
      <c r="T305" s="165"/>
      <c r="U305" s="165"/>
      <c r="V305" s="165"/>
      <c r="W305" s="165"/>
      <c r="X305" s="165"/>
      <c r="Y305" s="165"/>
      <c r="Z305" s="166"/>
      <c r="AA305" s="166"/>
      <c r="AB305" s="166"/>
      <c r="AC305" s="166"/>
      <c r="AD305" s="166"/>
      <c r="AE305" s="166"/>
      <c r="AF305" s="166"/>
      <c r="AG305" s="166"/>
      <c r="AH305" s="166"/>
    </row>
    <row r="306" spans="1:34" ht="15.750000" customHeight="1">
      <c r="B306" s="166"/>
      <c r="H306" s="220"/>
      <c r="I306" s="65"/>
      <c r="J306" s="162"/>
      <c r="K306" s="65"/>
      <c r="L306" s="162"/>
      <c r="O306" s="65"/>
      <c r="P306" s="65"/>
      <c r="Q306" s="65"/>
      <c r="R306" s="65"/>
      <c r="S306" s="165"/>
      <c r="T306" s="165"/>
      <c r="U306" s="165"/>
      <c r="V306" s="165"/>
      <c r="W306" s="165"/>
      <c r="X306" s="165"/>
      <c r="Y306" s="165"/>
      <c r="Z306" s="166"/>
      <c r="AA306" s="166"/>
      <c r="AB306" s="166"/>
      <c r="AC306" s="166"/>
      <c r="AD306" s="166"/>
      <c r="AE306" s="166"/>
      <c r="AF306" s="166"/>
      <c r="AG306" s="166"/>
      <c r="AH306" s="166"/>
    </row>
    <row r="307" spans="1:34" ht="15.750000" customHeight="1">
      <c r="A307" s="156" t="s">
        <v>116</v>
      </c>
      <c r="B307" s="88"/>
      <c r="C307" s="468"/>
      <c r="D307" s="469"/>
      <c r="E307" s="158">
        <f>F307*120%</f>
        <v>0</v>
      </c>
      <c r="F307" s="158">
        <f>(D307-C307+1)*G307</f>
        <v>0</v>
      </c>
      <c r="G307" s="159">
        <f>M312*40</f>
        <v>0</v>
      </c>
      <c r="H307" s="162"/>
      <c r="I307" s="65"/>
      <c r="J307" s="162"/>
      <c r="K307" s="65"/>
      <c r="L307" s="162"/>
      <c r="M307" s="190"/>
      <c r="N307" s="163"/>
      <c r="O307" s="65"/>
      <c r="P307" s="65"/>
      <c r="Q307" s="13"/>
      <c r="R307" s="13"/>
      <c r="S307" s="65"/>
      <c r="T307" s="65"/>
      <c r="U307" s="13" t="s">
        <v>11888</v>
      </c>
      <c r="V307" s="165"/>
      <c r="W307" s="165"/>
      <c r="X307" s="165"/>
      <c r="Y307" s="165"/>
      <c r="Z307" s="166"/>
      <c r="AA307" s="166"/>
      <c r="AB307" s="166"/>
      <c r="AC307" s="166"/>
      <c r="AD307" s="166"/>
      <c r="AE307" s="166"/>
      <c r="AF307" s="166"/>
      <c r="AG307" s="166"/>
      <c r="AH307" s="166"/>
    </row>
    <row r="308" spans="1:34" ht="15.750000" customHeight="1">
      <c r="B308" s="1"/>
      <c r="H308" s="162"/>
      <c r="I308" s="65"/>
      <c r="J308" s="162"/>
      <c r="K308" s="65"/>
      <c r="L308" s="162"/>
      <c r="O308" s="65"/>
      <c r="P308" s="65"/>
      <c r="Q308" s="65"/>
      <c r="R308" s="65"/>
      <c r="S308" s="65"/>
      <c r="T308" s="65"/>
      <c r="U308" s="65"/>
      <c r="V308" s="165"/>
      <c r="W308" s="165"/>
      <c r="X308" s="165"/>
      <c r="Y308" s="165"/>
      <c r="Z308" s="166"/>
      <c r="AA308" s="166"/>
      <c r="AB308" s="166"/>
      <c r="AC308" s="166"/>
      <c r="AD308" s="166"/>
      <c r="AE308" s="166"/>
      <c r="AF308" s="166"/>
      <c r="AG308" s="166"/>
      <c r="AH308" s="166"/>
    </row>
    <row r="309" spans="1:34" ht="15.750000" customHeight="1">
      <c r="B309" s="1"/>
      <c r="H309" s="162"/>
      <c r="I309" s="65"/>
      <c r="J309" s="162"/>
      <c r="K309" s="65"/>
      <c r="L309" s="162"/>
      <c r="O309" s="65"/>
      <c r="P309" s="65"/>
      <c r="Q309" s="65"/>
      <c r="R309" s="65"/>
      <c r="S309" s="65"/>
      <c r="T309" s="65"/>
      <c r="U309" s="65"/>
      <c r="V309" s="165"/>
      <c r="W309" s="165"/>
      <c r="X309" s="165"/>
      <c r="Y309" s="165"/>
      <c r="Z309" s="166"/>
      <c r="AA309" s="166"/>
      <c r="AB309" s="166"/>
      <c r="AC309" s="166"/>
      <c r="AD309" s="166"/>
      <c r="AE309" s="166"/>
      <c r="AF309" s="166"/>
      <c r="AG309" s="166"/>
      <c r="AH309" s="166"/>
    </row>
    <row r="310" spans="1:34" ht="15.750000" customHeight="1">
      <c r="B310" s="1"/>
      <c r="H310" s="162"/>
      <c r="I310" s="65"/>
      <c r="J310" s="162"/>
      <c r="K310" s="65"/>
      <c r="L310" s="162"/>
      <c r="O310" s="65"/>
      <c r="P310" s="65"/>
      <c r="Q310" s="65"/>
      <c r="R310" s="65"/>
      <c r="S310" s="65"/>
      <c r="T310" s="65"/>
      <c r="U310" s="65"/>
      <c r="V310" s="165"/>
      <c r="W310" s="165"/>
      <c r="X310" s="165"/>
      <c r="Y310" s="165"/>
      <c r="Z310" s="166"/>
      <c r="AA310" s="166"/>
      <c r="AB310" s="166"/>
      <c r="AC310" s="166"/>
      <c r="AD310" s="166"/>
      <c r="AE310" s="166"/>
      <c r="AF310" s="166"/>
      <c r="AG310" s="166"/>
      <c r="AH310" s="166"/>
    </row>
    <row r="311" spans="1:34" ht="15.750000" customHeight="1">
      <c r="B311" s="1"/>
      <c r="H311" s="220"/>
      <c r="I311" s="65"/>
      <c r="J311" s="162"/>
      <c r="K311" s="65"/>
      <c r="L311" s="162"/>
      <c r="O311" s="65"/>
      <c r="P311" s="65"/>
      <c r="Q311" s="65"/>
      <c r="R311" s="65"/>
      <c r="S311" s="65"/>
      <c r="T311" s="65"/>
      <c r="U311" s="65"/>
      <c r="V311" s="165"/>
      <c r="W311" s="165"/>
      <c r="X311" s="165"/>
      <c r="Y311" s="165"/>
      <c r="Z311" s="166"/>
      <c r="AA311" s="166"/>
      <c r="AB311" s="166"/>
      <c r="AC311" s="166"/>
      <c r="AD311" s="166"/>
      <c r="AE311" s="166"/>
      <c r="AF311" s="166"/>
      <c r="AG311" s="166"/>
      <c r="AH311" s="166"/>
    </row>
    <row r="312" spans="1:34" ht="15.750000" customHeight="1">
      <c r="A312" s="156" t="s">
        <v>116</v>
      </c>
      <c r="B312" s="88"/>
      <c r="C312" s="468"/>
      <c r="D312" s="469"/>
      <c r="E312" s="158">
        <f>F312*120%</f>
        <v>0</v>
      </c>
      <c r="F312" s="158">
        <f>(D312-C312+1)*G312</f>
        <v>0</v>
      </c>
      <c r="G312" s="159">
        <f>M317*40</f>
        <v>0</v>
      </c>
      <c r="H312" s="162"/>
      <c r="I312" s="65"/>
      <c r="J312" s="162"/>
      <c r="K312" s="65"/>
      <c r="L312" s="162"/>
      <c r="M312" s="190"/>
      <c r="N312" s="163"/>
      <c r="O312" s="65"/>
      <c r="P312" s="65"/>
      <c r="Q312" s="13"/>
      <c r="R312" s="13"/>
      <c r="S312" s="65"/>
      <c r="T312" s="65"/>
      <c r="U312" s="13" t="s">
        <v>11889</v>
      </c>
      <c r="V312" s="165"/>
      <c r="W312" s="165"/>
      <c r="X312" s="165"/>
      <c r="Y312" s="165"/>
      <c r="Z312" s="166"/>
      <c r="AA312" s="166"/>
      <c r="AB312" s="166"/>
      <c r="AC312" s="166"/>
      <c r="AD312" s="166"/>
      <c r="AE312" s="166"/>
      <c r="AF312" s="166"/>
      <c r="AG312" s="166"/>
      <c r="AH312" s="166"/>
    </row>
    <row r="313" spans="1:34" ht="15.750000" customHeight="1">
      <c r="B313" s="1"/>
      <c r="H313" s="162"/>
      <c r="I313" s="65"/>
      <c r="J313" s="162"/>
      <c r="K313" s="65"/>
      <c r="L313" s="162"/>
      <c r="O313" s="65"/>
      <c r="P313" s="65"/>
      <c r="Q313" s="65"/>
      <c r="R313" s="65"/>
      <c r="S313" s="65"/>
      <c r="T313" s="65"/>
      <c r="U313" s="65"/>
      <c r="V313" s="165"/>
      <c r="W313" s="165"/>
      <c r="X313" s="165"/>
      <c r="Y313" s="165"/>
      <c r="Z313" s="166"/>
      <c r="AA313" s="166"/>
      <c r="AB313" s="166"/>
      <c r="AC313" s="166"/>
      <c r="AD313" s="166"/>
      <c r="AE313" s="166"/>
      <c r="AF313" s="166"/>
      <c r="AG313" s="166"/>
      <c r="AH313" s="166"/>
    </row>
    <row r="314" spans="1:34" ht="15.750000" customHeight="1">
      <c r="B314" s="1"/>
      <c r="H314" s="162"/>
      <c r="I314" s="65"/>
      <c r="J314" s="162"/>
      <c r="K314" s="65"/>
      <c r="L314" s="162"/>
      <c r="O314" s="65"/>
      <c r="P314" s="65"/>
      <c r="Q314" s="65"/>
      <c r="R314" s="65"/>
      <c r="S314" s="65"/>
      <c r="T314" s="65"/>
      <c r="U314" s="65"/>
      <c r="V314" s="165"/>
      <c r="W314" s="165"/>
      <c r="X314" s="165"/>
      <c r="Y314" s="165"/>
      <c r="Z314" s="166"/>
      <c r="AA314" s="166"/>
      <c r="AB314" s="166"/>
      <c r="AC314" s="166"/>
      <c r="AD314" s="166"/>
      <c r="AE314" s="166"/>
      <c r="AF314" s="166"/>
      <c r="AG314" s="166"/>
      <c r="AH314" s="166"/>
    </row>
    <row r="315" spans="1:34" ht="15.750000" customHeight="1">
      <c r="B315" s="1"/>
      <c r="H315" s="162"/>
      <c r="I315" s="65"/>
      <c r="J315" s="162"/>
      <c r="K315" s="65"/>
      <c r="L315" s="162"/>
      <c r="O315" s="65"/>
      <c r="P315" s="65"/>
      <c r="Q315" s="65"/>
      <c r="R315" s="65"/>
      <c r="S315" s="65"/>
      <c r="T315" s="65"/>
      <c r="U315" s="65"/>
      <c r="V315" s="165"/>
      <c r="W315" s="165"/>
      <c r="X315" s="165"/>
      <c r="Y315" s="165"/>
      <c r="Z315" s="166"/>
      <c r="AA315" s="166"/>
      <c r="AB315" s="166"/>
      <c r="AC315" s="166"/>
      <c r="AD315" s="166"/>
      <c r="AE315" s="166"/>
      <c r="AF315" s="166"/>
      <c r="AG315" s="166"/>
      <c r="AH315" s="166"/>
    </row>
    <row r="316" spans="1:34" ht="15.750000" customHeight="1">
      <c r="B316" s="1"/>
      <c r="H316" s="220"/>
      <c r="I316" s="65"/>
      <c r="J316" s="162"/>
      <c r="K316" s="65"/>
      <c r="L316" s="162"/>
      <c r="O316" s="65"/>
      <c r="P316" s="65"/>
      <c r="Q316" s="65"/>
      <c r="R316" s="65"/>
      <c r="S316" s="65"/>
      <c r="T316" s="65"/>
      <c r="U316" s="65"/>
      <c r="V316" s="165"/>
      <c r="W316" s="165"/>
      <c r="X316" s="165"/>
      <c r="Y316" s="165"/>
      <c r="Z316" s="166"/>
      <c r="AA316" s="166"/>
      <c r="AB316" s="166"/>
      <c r="AC316" s="166"/>
      <c r="AD316" s="166"/>
      <c r="AE316" s="166"/>
      <c r="AF316" s="166"/>
      <c r="AG316" s="166"/>
      <c r="AH316" s="166"/>
    </row>
    <row r="317" spans="1:34" ht="15.750000" customHeight="1">
      <c r="A317" s="156" t="s">
        <v>116</v>
      </c>
      <c r="B317" s="88"/>
      <c r="C317" s="468"/>
      <c r="D317" s="469"/>
      <c r="E317" s="158">
        <f>F317*120%</f>
        <v>0</v>
      </c>
      <c r="F317" s="158">
        <f>(D317-C317+1)*G317</f>
        <v>0</v>
      </c>
      <c r="G317" s="159">
        <f>M317*40</f>
        <v>0</v>
      </c>
      <c r="H317" s="162"/>
      <c r="I317" s="65"/>
      <c r="J317" s="162"/>
      <c r="K317" s="65"/>
      <c r="L317" s="162"/>
      <c r="M317" s="190"/>
      <c r="N317" s="163"/>
      <c r="O317" s="65"/>
      <c r="P317" s="65"/>
      <c r="Q317" s="13"/>
      <c r="R317" s="13"/>
      <c r="S317" s="65"/>
      <c r="T317" s="65"/>
      <c r="U317" s="13" t="s">
        <v>11889</v>
      </c>
      <c r="V317" s="165"/>
      <c r="W317" s="165"/>
      <c r="X317" s="165"/>
      <c r="Y317" s="165"/>
      <c r="Z317" s="166"/>
      <c r="AA317" s="166"/>
      <c r="AB317" s="166"/>
      <c r="AC317" s="166"/>
      <c r="AD317" s="166"/>
      <c r="AE317" s="166"/>
      <c r="AF317" s="166"/>
      <c r="AG317" s="166"/>
      <c r="AH317" s="166"/>
    </row>
    <row r="318" spans="1:34" ht="15.750000" customHeight="1">
      <c r="B318" s="1"/>
      <c r="H318" s="162"/>
      <c r="I318" s="65"/>
      <c r="J318" s="162"/>
      <c r="K318" s="65"/>
      <c r="L318" s="162"/>
      <c r="O318" s="65"/>
      <c r="P318" s="65"/>
      <c r="Q318" s="65"/>
      <c r="R318" s="65"/>
      <c r="S318" s="65"/>
      <c r="T318" s="65"/>
      <c r="U318" s="65"/>
      <c r="V318" s="165"/>
      <c r="W318" s="165"/>
      <c r="X318" s="165"/>
      <c r="Y318" s="165"/>
      <c r="Z318" s="166"/>
      <c r="AA318" s="166"/>
      <c r="AB318" s="166"/>
      <c r="AC318" s="166"/>
      <c r="AD318" s="166"/>
      <c r="AE318" s="166"/>
      <c r="AF318" s="166"/>
      <c r="AG318" s="166"/>
      <c r="AH318" s="166"/>
    </row>
    <row r="319" spans="1:34" ht="15.750000" customHeight="1">
      <c r="B319" s="1"/>
      <c r="H319" s="162"/>
      <c r="I319" s="65"/>
      <c r="J319" s="162"/>
      <c r="K319" s="65"/>
      <c r="L319" s="162"/>
      <c r="O319" s="65"/>
      <c r="P319" s="65"/>
      <c r="Q319" s="65"/>
      <c r="R319" s="65"/>
      <c r="S319" s="65"/>
      <c r="T319" s="65"/>
      <c r="U319" s="65"/>
      <c r="V319" s="165"/>
      <c r="W319" s="165"/>
      <c r="X319" s="165"/>
      <c r="Y319" s="165"/>
      <c r="Z319" s="166"/>
      <c r="AA319" s="166"/>
      <c r="AB319" s="166"/>
      <c r="AC319" s="166"/>
      <c r="AD319" s="166"/>
      <c r="AE319" s="166"/>
      <c r="AF319" s="166"/>
      <c r="AG319" s="166"/>
      <c r="AH319" s="166"/>
    </row>
    <row r="320" spans="1:34" ht="15.750000" customHeight="1">
      <c r="B320" s="1"/>
      <c r="H320" s="162"/>
      <c r="I320" s="65"/>
      <c r="J320" s="162"/>
      <c r="K320" s="65"/>
      <c r="L320" s="162"/>
      <c r="O320" s="65"/>
      <c r="P320" s="65"/>
      <c r="Q320" s="65"/>
      <c r="R320" s="65"/>
      <c r="S320" s="65"/>
      <c r="T320" s="65"/>
      <c r="U320" s="65"/>
      <c r="V320" s="165"/>
      <c r="W320" s="165"/>
      <c r="X320" s="165"/>
      <c r="Y320" s="165"/>
      <c r="Z320" s="166"/>
      <c r="AA320" s="166"/>
      <c r="AB320" s="166"/>
      <c r="AC320" s="166"/>
      <c r="AD320" s="166"/>
      <c r="AE320" s="166"/>
      <c r="AF320" s="166"/>
      <c r="AG320" s="166"/>
      <c r="AH320" s="166"/>
    </row>
    <row r="321" spans="1:34" ht="15.750000" customHeight="1">
      <c r="B321" s="1"/>
      <c r="H321" s="220"/>
      <c r="I321" s="65"/>
      <c r="J321" s="162"/>
      <c r="K321" s="65"/>
      <c r="L321" s="162"/>
      <c r="O321" s="65"/>
      <c r="P321" s="65"/>
      <c r="Q321" s="65"/>
      <c r="R321" s="65"/>
      <c r="S321" s="65"/>
      <c r="T321" s="65"/>
      <c r="U321" s="65"/>
      <c r="V321" s="165"/>
      <c r="W321" s="165"/>
      <c r="X321" s="165"/>
      <c r="Y321" s="165"/>
      <c r="Z321" s="166"/>
      <c r="AA321" s="166"/>
      <c r="AB321" s="166"/>
      <c r="AC321" s="166"/>
      <c r="AD321" s="166"/>
      <c r="AE321" s="166"/>
      <c r="AF321" s="166"/>
      <c r="AG321" s="166"/>
      <c r="AH321" s="166"/>
    </row>
    <row r="322" spans="1:34" ht="15.750000" customHeight="1">
      <c r="A322" s="156" t="s">
        <v>116</v>
      </c>
      <c r="B322" s="88"/>
      <c r="C322" s="468"/>
      <c r="D322" s="469"/>
      <c r="E322" s="158">
        <f>F322*120%</f>
        <v>0</v>
      </c>
      <c r="F322" s="158">
        <f>(D322-C322+1)*G322</f>
        <v>0</v>
      </c>
      <c r="G322" s="159">
        <f>M322*40</f>
        <v>0</v>
      </c>
      <c r="H322" s="162"/>
      <c r="I322" s="65"/>
      <c r="J322" s="162"/>
      <c r="K322" s="65"/>
      <c r="L322" s="162"/>
      <c r="M322" s="190"/>
      <c r="N322" s="163"/>
      <c r="O322" s="65"/>
      <c r="P322" s="65"/>
      <c r="Q322" s="13"/>
      <c r="R322" s="13"/>
      <c r="S322" s="65"/>
      <c r="T322" s="65"/>
      <c r="U322" s="13" t="s">
        <v>11889</v>
      </c>
      <c r="V322" s="165"/>
      <c r="W322" s="165"/>
      <c r="X322" s="165"/>
      <c r="Y322" s="165"/>
      <c r="Z322" s="166"/>
      <c r="AA322" s="166"/>
      <c r="AB322" s="166"/>
      <c r="AC322" s="166"/>
      <c r="AD322" s="166"/>
      <c r="AE322" s="166"/>
      <c r="AF322" s="166"/>
      <c r="AG322" s="166"/>
      <c r="AH322" s="166"/>
    </row>
    <row r="323" spans="1:34" ht="15.750000" customHeight="1">
      <c r="B323" s="1"/>
      <c r="H323" s="162"/>
      <c r="I323" s="65"/>
      <c r="J323" s="162"/>
      <c r="K323" s="65"/>
      <c r="L323" s="162"/>
      <c r="O323" s="65"/>
      <c r="P323" s="65"/>
      <c r="Q323" s="65"/>
      <c r="R323" s="65"/>
      <c r="S323" s="65"/>
      <c r="T323" s="65"/>
      <c r="U323" s="65"/>
      <c r="V323" s="165"/>
      <c r="W323" s="165"/>
      <c r="X323" s="165"/>
      <c r="Y323" s="165"/>
      <c r="Z323" s="166"/>
      <c r="AA323" s="166"/>
      <c r="AB323" s="166"/>
      <c r="AC323" s="166"/>
      <c r="AD323" s="166"/>
      <c r="AE323" s="166"/>
      <c r="AF323" s="166"/>
      <c r="AG323" s="166"/>
      <c r="AH323" s="166"/>
    </row>
    <row r="324" spans="1:34" ht="15.750000" customHeight="1">
      <c r="B324" s="1"/>
      <c r="H324" s="162"/>
      <c r="I324" s="65"/>
      <c r="J324" s="162"/>
      <c r="K324" s="65"/>
      <c r="L324" s="162"/>
      <c r="O324" s="65"/>
      <c r="P324" s="65"/>
      <c r="Q324" s="65"/>
      <c r="R324" s="65"/>
      <c r="S324" s="65"/>
      <c r="T324" s="65"/>
      <c r="U324" s="65"/>
      <c r="V324" s="165"/>
      <c r="W324" s="165"/>
      <c r="X324" s="165"/>
      <c r="Y324" s="165"/>
      <c r="Z324" s="166"/>
      <c r="AA324" s="166"/>
      <c r="AB324" s="166"/>
      <c r="AC324" s="166"/>
      <c r="AD324" s="166"/>
      <c r="AE324" s="166"/>
      <c r="AF324" s="166"/>
      <c r="AG324" s="166"/>
      <c r="AH324" s="166"/>
    </row>
    <row r="325" spans="1:34" ht="15.750000" customHeight="1">
      <c r="B325" s="1"/>
      <c r="H325" s="162"/>
      <c r="I325" s="65"/>
      <c r="J325" s="162"/>
      <c r="K325" s="65"/>
      <c r="L325" s="162"/>
      <c r="O325" s="65"/>
      <c r="P325" s="65"/>
      <c r="Q325" s="65"/>
      <c r="R325" s="65"/>
      <c r="S325" s="65"/>
      <c r="T325" s="65"/>
      <c r="U325" s="65"/>
      <c r="V325" s="165"/>
      <c r="W325" s="165"/>
      <c r="X325" s="165"/>
      <c r="Y325" s="165"/>
      <c r="Z325" s="166"/>
      <c r="AA325" s="166"/>
      <c r="AB325" s="166"/>
      <c r="AC325" s="166"/>
      <c r="AD325" s="166"/>
      <c r="AE325" s="166"/>
      <c r="AF325" s="166"/>
      <c r="AG325" s="166"/>
      <c r="AH325" s="166"/>
    </row>
    <row r="326" spans="1:34" ht="15.750000" customHeight="1">
      <c r="B326" s="1"/>
      <c r="H326" s="220"/>
      <c r="I326" s="65"/>
      <c r="J326" s="162"/>
      <c r="K326" s="65"/>
      <c r="L326" s="162"/>
      <c r="O326" s="65"/>
      <c r="P326" s="65"/>
      <c r="Q326" s="65"/>
      <c r="R326" s="65"/>
      <c r="S326" s="65"/>
      <c r="T326" s="65"/>
      <c r="U326" s="65"/>
      <c r="V326" s="165"/>
      <c r="W326" s="165"/>
      <c r="X326" s="165"/>
      <c r="Y326" s="165"/>
      <c r="Z326" s="166"/>
      <c r="AA326" s="166"/>
      <c r="AB326" s="166"/>
      <c r="AC326" s="166"/>
      <c r="AD326" s="166"/>
      <c r="AE326" s="166"/>
      <c r="AF326" s="166"/>
      <c r="AG326" s="166"/>
      <c r="AH326" s="166"/>
    </row>
    <row r="327" spans="1:34" ht="15.750000" customHeight="1">
      <c r="A327" s="156" t="s">
        <v>116</v>
      </c>
      <c r="B327" s="88"/>
      <c r="C327" s="468"/>
      <c r="D327" s="469"/>
      <c r="E327" s="158">
        <f>F327*120%</f>
        <v>0</v>
      </c>
      <c r="F327" s="158">
        <f>(D327-C327+1)*G327</f>
        <v>0</v>
      </c>
      <c r="G327" s="159">
        <f>M327*40</f>
        <v>0</v>
      </c>
      <c r="H327" s="162"/>
      <c r="I327" s="65"/>
      <c r="J327" s="162"/>
      <c r="K327" s="65"/>
      <c r="L327" s="162"/>
      <c r="M327" s="190"/>
      <c r="N327" s="163"/>
      <c r="O327" s="65"/>
      <c r="P327" s="65"/>
      <c r="Q327" s="13"/>
      <c r="R327" s="13"/>
      <c r="S327" s="65"/>
      <c r="T327" s="65"/>
      <c r="U327" s="13" t="s">
        <v>11889</v>
      </c>
      <c r="V327" s="165"/>
      <c r="W327" s="165"/>
      <c r="X327" s="165"/>
      <c r="Y327" s="165"/>
      <c r="Z327" s="166"/>
      <c r="AA327" s="166"/>
      <c r="AB327" s="166"/>
      <c r="AC327" s="166"/>
      <c r="AD327" s="166"/>
      <c r="AE327" s="166"/>
      <c r="AF327" s="166"/>
      <c r="AG327" s="166"/>
      <c r="AH327" s="166"/>
    </row>
    <row r="328" spans="1:34" ht="15.750000" customHeight="1">
      <c r="B328" s="1"/>
      <c r="H328" s="162"/>
      <c r="I328" s="65"/>
      <c r="J328" s="162"/>
      <c r="K328" s="65"/>
      <c r="L328" s="162"/>
      <c r="O328" s="65"/>
      <c r="P328" s="65"/>
      <c r="Q328" s="65"/>
      <c r="R328" s="65"/>
      <c r="S328" s="65"/>
      <c r="T328" s="65"/>
      <c r="U328" s="65"/>
      <c r="V328" s="165"/>
      <c r="W328" s="165"/>
      <c r="X328" s="165"/>
      <c r="Y328" s="165"/>
      <c r="Z328" s="166"/>
      <c r="AA328" s="166"/>
      <c r="AB328" s="166"/>
      <c r="AC328" s="166"/>
      <c r="AD328" s="166"/>
      <c r="AE328" s="166"/>
      <c r="AF328" s="166"/>
      <c r="AG328" s="166"/>
      <c r="AH328" s="166"/>
    </row>
    <row r="329" spans="1:34" ht="15.750000" customHeight="1">
      <c r="B329" s="1"/>
      <c r="H329" s="162"/>
      <c r="I329" s="65"/>
      <c r="J329" s="162"/>
      <c r="K329" s="65"/>
      <c r="L329" s="162"/>
      <c r="O329" s="65"/>
      <c r="P329" s="65"/>
      <c r="Q329" s="65"/>
      <c r="R329" s="65"/>
      <c r="S329" s="65"/>
      <c r="T329" s="65"/>
      <c r="U329" s="65"/>
      <c r="V329" s="165"/>
      <c r="W329" s="165"/>
      <c r="X329" s="165"/>
      <c r="Y329" s="165"/>
      <c r="Z329" s="166"/>
      <c r="AA329" s="166"/>
      <c r="AB329" s="166"/>
      <c r="AC329" s="166"/>
      <c r="AD329" s="166"/>
      <c r="AE329" s="166"/>
      <c r="AF329" s="166"/>
      <c r="AG329" s="166"/>
      <c r="AH329" s="166"/>
    </row>
    <row r="330" spans="1:34" ht="15.750000" customHeight="1">
      <c r="B330" s="1"/>
      <c r="H330" s="162"/>
      <c r="I330" s="65"/>
      <c r="J330" s="162"/>
      <c r="K330" s="65"/>
      <c r="L330" s="162"/>
      <c r="O330" s="65"/>
      <c r="P330" s="65"/>
      <c r="Q330" s="65"/>
      <c r="R330" s="65"/>
      <c r="S330" s="65"/>
      <c r="T330" s="65"/>
      <c r="U330" s="65"/>
      <c r="V330" s="165"/>
      <c r="W330" s="165"/>
      <c r="X330" s="165"/>
      <c r="Y330" s="165"/>
      <c r="Z330" s="166"/>
      <c r="AA330" s="166"/>
      <c r="AB330" s="166"/>
      <c r="AC330" s="166"/>
      <c r="AD330" s="166"/>
      <c r="AE330" s="166"/>
      <c r="AF330" s="166"/>
      <c r="AG330" s="166"/>
      <c r="AH330" s="166"/>
    </row>
    <row r="331" spans="1:34" ht="15.750000" customHeight="1">
      <c r="B331" s="1"/>
      <c r="H331" s="220"/>
      <c r="I331" s="65"/>
      <c r="J331" s="162"/>
      <c r="K331" s="65"/>
      <c r="L331" s="162"/>
      <c r="O331" s="65"/>
      <c r="P331" s="65"/>
      <c r="Q331" s="65"/>
      <c r="R331" s="65"/>
      <c r="S331" s="65"/>
      <c r="T331" s="65"/>
      <c r="U331" s="65"/>
      <c r="V331" s="165"/>
      <c r="W331" s="165"/>
      <c r="X331" s="165"/>
      <c r="Y331" s="165"/>
      <c r="Z331" s="166"/>
      <c r="AA331" s="166"/>
      <c r="AB331" s="166"/>
      <c r="AC331" s="166"/>
      <c r="AD331" s="166"/>
      <c r="AE331" s="166"/>
      <c r="AF331" s="166"/>
      <c r="AG331" s="166"/>
      <c r="AH331" s="166"/>
    </row>
    <row r="332" spans="1:34" ht="15.750000" customHeight="1">
      <c r="A332" s="156" t="s">
        <v>116</v>
      </c>
      <c r="B332" s="88"/>
      <c r="C332" s="468"/>
      <c r="D332" s="469"/>
      <c r="E332" s="158">
        <f>F332*120%</f>
        <v>0</v>
      </c>
      <c r="F332" s="158">
        <f>(D332-C332+1)*G332</f>
        <v>0</v>
      </c>
      <c r="G332" s="159">
        <f>M332*40</f>
        <v>0</v>
      </c>
      <c r="H332" s="162"/>
      <c r="I332" s="65"/>
      <c r="J332" s="162"/>
      <c r="K332" s="65"/>
      <c r="L332" s="162"/>
      <c r="M332" s="190"/>
      <c r="N332" s="163"/>
      <c r="O332" s="65"/>
      <c r="P332" s="65"/>
      <c r="Q332" s="13"/>
      <c r="R332" s="13"/>
      <c r="S332" s="65"/>
      <c r="T332" s="65"/>
      <c r="U332" s="13" t="s">
        <v>11889</v>
      </c>
      <c r="V332" s="165"/>
      <c r="W332" s="165"/>
      <c r="X332" s="165"/>
      <c r="Y332" s="165"/>
      <c r="Z332" s="166"/>
      <c r="AA332" s="166"/>
      <c r="AB332" s="166"/>
      <c r="AC332" s="166"/>
      <c r="AD332" s="166"/>
      <c r="AE332" s="166"/>
      <c r="AF332" s="166"/>
      <c r="AG332" s="166"/>
      <c r="AH332" s="166"/>
    </row>
    <row r="333" spans="1:34" ht="15.750000" customHeight="1">
      <c r="B333" s="1"/>
      <c r="H333" s="162"/>
      <c r="I333" s="65"/>
      <c r="J333" s="162"/>
      <c r="K333" s="65"/>
      <c r="L333" s="162"/>
      <c r="O333" s="65"/>
      <c r="P333" s="65"/>
      <c r="Q333" s="65"/>
      <c r="R333" s="65"/>
      <c r="S333" s="65"/>
      <c r="T333" s="65"/>
      <c r="U333" s="65"/>
      <c r="V333" s="165"/>
      <c r="W333" s="165"/>
      <c r="X333" s="165"/>
      <c r="Y333" s="165"/>
      <c r="Z333" s="166"/>
      <c r="AA333" s="166"/>
      <c r="AB333" s="166"/>
      <c r="AC333" s="166"/>
      <c r="AD333" s="166"/>
      <c r="AE333" s="166"/>
      <c r="AF333" s="166"/>
      <c r="AG333" s="166"/>
      <c r="AH333" s="166"/>
    </row>
    <row r="334" spans="1:34" ht="15.750000" customHeight="1">
      <c r="B334" s="1"/>
      <c r="H334" s="162"/>
      <c r="I334" s="65"/>
      <c r="J334" s="162"/>
      <c r="K334" s="65"/>
      <c r="L334" s="162"/>
      <c r="O334" s="65"/>
      <c r="P334" s="65"/>
      <c r="Q334" s="65"/>
      <c r="R334" s="65"/>
      <c r="S334" s="65"/>
      <c r="T334" s="65"/>
      <c r="U334" s="65"/>
      <c r="V334" s="165"/>
      <c r="W334" s="165"/>
      <c r="X334" s="165"/>
      <c r="Y334" s="165"/>
      <c r="Z334" s="166"/>
      <c r="AA334" s="166"/>
      <c r="AB334" s="166"/>
      <c r="AC334" s="166"/>
      <c r="AD334" s="166"/>
      <c r="AE334" s="166"/>
      <c r="AF334" s="166"/>
      <c r="AG334" s="166"/>
      <c r="AH334" s="166"/>
    </row>
    <row r="335" spans="1:34" ht="15.750000" customHeight="1">
      <c r="B335" s="1"/>
      <c r="H335" s="162"/>
      <c r="I335" s="65"/>
      <c r="J335" s="162"/>
      <c r="K335" s="65"/>
      <c r="L335" s="162"/>
      <c r="O335" s="65"/>
      <c r="P335" s="65"/>
      <c r="Q335" s="65"/>
      <c r="R335" s="65"/>
      <c r="S335" s="65"/>
      <c r="T335" s="65"/>
      <c r="U335" s="65"/>
      <c r="V335" s="165"/>
      <c r="W335" s="165"/>
      <c r="X335" s="165"/>
      <c r="Y335" s="165"/>
      <c r="Z335" s="166"/>
      <c r="AA335" s="166"/>
      <c r="AB335" s="166"/>
      <c r="AC335" s="166"/>
      <c r="AD335" s="166"/>
      <c r="AE335" s="166"/>
      <c r="AF335" s="166"/>
      <c r="AG335" s="166"/>
      <c r="AH335" s="166"/>
    </row>
    <row r="336" spans="1:34" ht="15.750000" customHeight="1">
      <c r="B336" s="1"/>
      <c r="H336" s="220"/>
      <c r="I336" s="65"/>
      <c r="J336" s="162"/>
      <c r="K336" s="65"/>
      <c r="L336" s="162"/>
      <c r="O336" s="65"/>
      <c r="P336" s="65"/>
      <c r="Q336" s="65"/>
      <c r="R336" s="65"/>
      <c r="S336" s="65"/>
      <c r="T336" s="65"/>
      <c r="U336" s="65"/>
      <c r="V336" s="165"/>
      <c r="W336" s="165"/>
      <c r="X336" s="165"/>
      <c r="Y336" s="165"/>
      <c r="Z336" s="166"/>
      <c r="AA336" s="166"/>
      <c r="AB336" s="166"/>
      <c r="AC336" s="166"/>
      <c r="AD336" s="166"/>
      <c r="AE336" s="166"/>
      <c r="AF336" s="166"/>
      <c r="AG336" s="166"/>
      <c r="AH336" s="166"/>
    </row>
    <row r="337" spans="1:34" ht="15.750000" customHeight="1">
      <c r="A337" s="156" t="s">
        <v>116</v>
      </c>
      <c r="B337" s="88"/>
      <c r="C337" s="468"/>
      <c r="D337" s="469"/>
      <c r="E337" s="158">
        <f>F337*120%</f>
        <v>0</v>
      </c>
      <c r="F337" s="158">
        <f>(D337-C337+1)*G337</f>
        <v>0</v>
      </c>
      <c r="G337" s="159">
        <f>M337*40</f>
        <v>0</v>
      </c>
      <c r="H337" s="162"/>
      <c r="I337" s="65"/>
      <c r="J337" s="162"/>
      <c r="K337" s="65"/>
      <c r="L337" s="162"/>
      <c r="M337" s="190"/>
      <c r="N337" s="163"/>
      <c r="O337" s="65"/>
      <c r="P337" s="65"/>
      <c r="Q337" s="13"/>
      <c r="R337" s="13"/>
      <c r="S337" s="65"/>
      <c r="T337" s="65"/>
      <c r="U337" s="13" t="s">
        <v>11889</v>
      </c>
      <c r="V337" s="165"/>
      <c r="W337" s="165"/>
      <c r="X337" s="165"/>
      <c r="Y337" s="165"/>
      <c r="Z337" s="166"/>
      <c r="AA337" s="166"/>
      <c r="AB337" s="166"/>
      <c r="AC337" s="166"/>
      <c r="AD337" s="166"/>
      <c r="AE337" s="166"/>
      <c r="AF337" s="166"/>
      <c r="AG337" s="166"/>
      <c r="AH337" s="166"/>
    </row>
    <row r="338" spans="1:34" ht="15.750000" customHeight="1">
      <c r="B338" s="1"/>
      <c r="H338" s="162"/>
      <c r="I338" s="65"/>
      <c r="J338" s="162"/>
      <c r="K338" s="65"/>
      <c r="L338" s="162"/>
      <c r="O338" s="65"/>
      <c r="P338" s="65"/>
      <c r="Q338" s="65"/>
      <c r="R338" s="65"/>
      <c r="S338" s="65"/>
      <c r="T338" s="65"/>
      <c r="U338" s="65"/>
      <c r="V338" s="165"/>
      <c r="W338" s="165"/>
      <c r="X338" s="165"/>
      <c r="Y338" s="165"/>
      <c r="Z338" s="166"/>
      <c r="AA338" s="166"/>
      <c r="AB338" s="166"/>
      <c r="AC338" s="166"/>
      <c r="AD338" s="166"/>
      <c r="AE338" s="166"/>
      <c r="AF338" s="166"/>
      <c r="AG338" s="166"/>
      <c r="AH338" s="166"/>
    </row>
    <row r="339" spans="1:34" ht="15.750000" customHeight="1">
      <c r="B339" s="1"/>
      <c r="H339" s="162"/>
      <c r="I339" s="65"/>
      <c r="J339" s="162"/>
      <c r="K339" s="65"/>
      <c r="L339" s="162"/>
      <c r="O339" s="65"/>
      <c r="P339" s="65"/>
      <c r="Q339" s="65"/>
      <c r="R339" s="65"/>
      <c r="S339" s="65"/>
      <c r="T339" s="65"/>
      <c r="U339" s="65"/>
      <c r="V339" s="165"/>
      <c r="W339" s="165"/>
      <c r="X339" s="165"/>
      <c r="Y339" s="165"/>
      <c r="Z339" s="166"/>
      <c r="AA339" s="166"/>
      <c r="AB339" s="166"/>
      <c r="AC339" s="166"/>
      <c r="AD339" s="166"/>
      <c r="AE339" s="166"/>
      <c r="AF339" s="166"/>
      <c r="AG339" s="166"/>
      <c r="AH339" s="166"/>
    </row>
    <row r="340" spans="1:34" ht="15.750000" customHeight="1">
      <c r="B340" s="1"/>
      <c r="H340" s="162"/>
      <c r="I340" s="65"/>
      <c r="J340" s="162"/>
      <c r="K340" s="65"/>
      <c r="L340" s="162"/>
      <c r="O340" s="65"/>
      <c r="P340" s="65"/>
      <c r="Q340" s="65"/>
      <c r="R340" s="65"/>
      <c r="S340" s="65"/>
      <c r="T340" s="65"/>
      <c r="U340" s="65"/>
      <c r="V340" s="165"/>
      <c r="W340" s="165"/>
      <c r="X340" s="165"/>
      <c r="Y340" s="165"/>
      <c r="Z340" s="166"/>
      <c r="AA340" s="166"/>
      <c r="AB340" s="166"/>
      <c r="AC340" s="166"/>
      <c r="AD340" s="166"/>
      <c r="AE340" s="166"/>
      <c r="AF340" s="166"/>
      <c r="AG340" s="166"/>
      <c r="AH340" s="166"/>
    </row>
    <row r="341" spans="1:34" ht="15.750000" customHeight="1">
      <c r="B341" s="1"/>
      <c r="H341" s="220"/>
      <c r="I341" s="65"/>
      <c r="J341" s="162"/>
      <c r="K341" s="65"/>
      <c r="L341" s="162"/>
      <c r="O341" s="65"/>
      <c r="P341" s="65"/>
      <c r="Q341" s="65"/>
      <c r="R341" s="65"/>
      <c r="S341" s="65"/>
      <c r="T341" s="65"/>
      <c r="U341" s="65"/>
      <c r="V341" s="165"/>
      <c r="W341" s="165"/>
      <c r="X341" s="165"/>
      <c r="Y341" s="165"/>
      <c r="Z341" s="166"/>
      <c r="AA341" s="166"/>
      <c r="AB341" s="166"/>
      <c r="AC341" s="166"/>
      <c r="AD341" s="166"/>
      <c r="AE341" s="166"/>
      <c r="AF341" s="166"/>
      <c r="AG341" s="166"/>
      <c r="AH341" s="166"/>
    </row>
    <row r="342" spans="1:34" ht="15.750000" customHeight="1">
      <c r="A342" s="156" t="s">
        <v>116</v>
      </c>
      <c r="B342" s="88"/>
      <c r="C342" s="471"/>
      <c r="D342" s="279"/>
      <c r="E342" s="158">
        <f>F342*120%</f>
        <v>0</v>
      </c>
      <c r="F342" s="158">
        <f>(D342-C342+1)*G342</f>
        <v>0</v>
      </c>
      <c r="G342" s="159">
        <f>M342*40</f>
        <v>0</v>
      </c>
      <c r="H342" s="162"/>
      <c r="I342" s="65"/>
      <c r="J342" s="162"/>
      <c r="K342" s="65"/>
      <c r="L342" s="162"/>
      <c r="M342" s="162"/>
      <c r="N342" s="163"/>
      <c r="O342" s="65"/>
      <c r="P342" s="65"/>
      <c r="Q342" s="13"/>
      <c r="R342" s="13"/>
      <c r="S342" s="65"/>
      <c r="T342" s="65"/>
      <c r="U342" s="65"/>
      <c r="V342" s="65"/>
      <c r="W342" s="65"/>
      <c r="X342" s="65"/>
      <c r="Y342" s="65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0000" customHeight="1">
      <c r="B343" s="88"/>
      <c r="H343" s="162"/>
      <c r="I343" s="65"/>
      <c r="J343" s="162"/>
      <c r="K343" s="65"/>
      <c r="L343" s="162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0000" customHeight="1">
      <c r="B344" s="88"/>
      <c r="H344" s="162"/>
      <c r="I344" s="65"/>
      <c r="J344" s="162"/>
      <c r="K344" s="65"/>
      <c r="L344" s="162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0000" customHeight="1">
      <c r="B345" s="88"/>
      <c r="H345" s="162"/>
      <c r="I345" s="65"/>
      <c r="J345" s="162"/>
      <c r="K345" s="65"/>
      <c r="L345" s="162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0000" customHeight="1">
      <c r="B346" s="88"/>
      <c r="H346" s="220"/>
      <c r="I346" s="65"/>
      <c r="J346" s="162"/>
      <c r="K346" s="65"/>
      <c r="L346" s="162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0000" customHeight="1">
      <c r="A347" s="156" t="s">
        <v>116</v>
      </c>
      <c r="B347" s="88"/>
      <c r="C347" s="471"/>
      <c r="D347" s="279"/>
      <c r="E347" s="158">
        <f>F347*120%</f>
        <v>0</v>
      </c>
      <c r="F347" s="158">
        <f>(D347-C347+1)*G347</f>
        <v>0</v>
      </c>
      <c r="G347" s="159">
        <f>M347*40</f>
        <v>0</v>
      </c>
      <c r="H347" s="162"/>
      <c r="I347" s="65"/>
      <c r="J347" s="162"/>
      <c r="K347" s="65"/>
      <c r="L347" s="162"/>
      <c r="M347" s="162"/>
      <c r="N347" s="163"/>
      <c r="O347" s="164"/>
      <c r="P347" s="65"/>
      <c r="Q347" s="13"/>
      <c r="R347" s="13"/>
      <c r="S347" s="65"/>
      <c r="T347" s="65"/>
      <c r="U347" s="65"/>
      <c r="V347" s="65"/>
      <c r="W347" s="65"/>
      <c r="X347" s="65"/>
      <c r="Y347" s="65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0000" customHeight="1">
      <c r="B348" s="88"/>
      <c r="H348" s="162"/>
      <c r="I348" s="65"/>
      <c r="J348" s="162"/>
      <c r="K348" s="188"/>
      <c r="L348" s="162"/>
      <c r="O348" s="164"/>
      <c r="P348" s="65"/>
      <c r="Q348" s="13"/>
      <c r="R348" s="13"/>
      <c r="S348" s="65"/>
      <c r="T348" s="65"/>
      <c r="U348" s="65"/>
      <c r="V348" s="65"/>
      <c r="W348" s="65"/>
      <c r="X348" s="65"/>
      <c r="Y348" s="65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0000" customHeight="1">
      <c r="B349" s="88"/>
      <c r="H349" s="162"/>
      <c r="I349" s="65"/>
      <c r="J349" s="162"/>
      <c r="K349" s="188"/>
      <c r="L349" s="162"/>
      <c r="O349" s="164"/>
      <c r="P349" s="65"/>
      <c r="Q349" s="13"/>
      <c r="R349" s="13"/>
      <c r="S349" s="65"/>
      <c r="T349" s="65"/>
      <c r="U349" s="65"/>
      <c r="V349" s="65"/>
      <c r="W349" s="65"/>
      <c r="X349" s="65"/>
      <c r="Y349" s="65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0000" customHeight="1">
      <c r="B350" s="88"/>
      <c r="H350" s="162"/>
      <c r="I350" s="65"/>
      <c r="J350" s="162"/>
      <c r="K350" s="65"/>
      <c r="L350" s="162"/>
      <c r="O350" s="164"/>
      <c r="P350" s="65"/>
      <c r="Q350" s="13"/>
      <c r="R350" s="13"/>
      <c r="S350" s="65"/>
      <c r="T350" s="65"/>
      <c r="U350" s="65"/>
      <c r="V350" s="65"/>
      <c r="W350" s="65"/>
      <c r="X350" s="65"/>
      <c r="Y350" s="65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0000" customHeight="1">
      <c r="H351" s="220"/>
      <c r="I351" s="65"/>
      <c r="J351" s="162"/>
      <c r="K351" s="65"/>
      <c r="L351" s="65"/>
      <c r="O351" s="164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0000" customHeight="1">
      <c r="A352" s="156" t="s">
        <v>116</v>
      </c>
      <c r="B352" s="88"/>
      <c r="C352" s="471"/>
      <c r="D352" s="471"/>
      <c r="E352" s="158">
        <f>F352*120%</f>
        <v>0</v>
      </c>
      <c r="F352" s="158">
        <f>(D352-C352+1)*G352</f>
        <v>0</v>
      </c>
      <c r="G352" s="159">
        <f>M352*40</f>
        <v>0</v>
      </c>
      <c r="H352" s="161"/>
      <c r="I352" s="65"/>
      <c r="J352" s="162"/>
      <c r="K352" s="65"/>
      <c r="L352" s="162"/>
      <c r="M352" s="277"/>
      <c r="N352" s="163"/>
      <c r="O352" s="188"/>
      <c r="P352" s="65"/>
      <c r="Q352" s="13"/>
      <c r="R352" s="13"/>
      <c r="S352" s="65"/>
      <c r="T352" s="65"/>
      <c r="U352" s="65"/>
      <c r="V352" s="65"/>
      <c r="W352" s="65"/>
      <c r="X352" s="65"/>
      <c r="Y352" s="65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0000" customHeight="1">
      <c r="B353" s="88"/>
      <c r="H353" s="162"/>
      <c r="I353" s="65"/>
      <c r="J353" s="162"/>
      <c r="K353" s="188"/>
      <c r="L353" s="162"/>
      <c r="O353" s="188"/>
      <c r="P353" s="65"/>
      <c r="Q353" s="13"/>
      <c r="R353" s="13"/>
      <c r="S353" s="65"/>
      <c r="T353" s="65"/>
      <c r="U353" s="65"/>
      <c r="V353" s="65"/>
      <c r="W353" s="65"/>
      <c r="X353" s="65"/>
      <c r="Y353" s="65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0000" customHeight="1">
      <c r="B354" s="88"/>
      <c r="H354" s="162"/>
      <c r="I354" s="65"/>
      <c r="J354" s="162"/>
      <c r="K354" s="65"/>
      <c r="L354" s="162"/>
      <c r="O354" s="188"/>
      <c r="P354" s="65"/>
      <c r="Q354" s="13"/>
      <c r="R354" s="13"/>
      <c r="S354" s="65"/>
      <c r="T354" s="65"/>
      <c r="U354" s="65"/>
      <c r="V354" s="65"/>
      <c r="W354" s="65"/>
      <c r="X354" s="65"/>
      <c r="Y354" s="65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0000" customHeight="1">
      <c r="B355" s="88"/>
      <c r="H355" s="162"/>
      <c r="I355" s="65"/>
      <c r="J355" s="162"/>
      <c r="K355" s="188"/>
      <c r="L355" s="162"/>
      <c r="O355" s="188"/>
      <c r="P355" s="65"/>
      <c r="Q355" s="13"/>
      <c r="R355" s="13"/>
      <c r="S355" s="65"/>
      <c r="T355" s="65"/>
      <c r="U355" s="65"/>
      <c r="V355" s="65"/>
      <c r="W355" s="65"/>
      <c r="X355" s="65"/>
      <c r="Y355" s="65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0000" customHeight="1">
      <c r="B356" s="88"/>
      <c r="H356" s="220"/>
      <c r="I356" s="65"/>
      <c r="J356" s="162"/>
      <c r="K356" s="188"/>
      <c r="L356" s="162"/>
      <c r="O356" s="188"/>
      <c r="P356" s="65"/>
      <c r="Q356" s="13"/>
      <c r="R356" s="13"/>
      <c r="S356" s="65"/>
      <c r="T356" s="65"/>
      <c r="U356" s="65"/>
      <c r="V356" s="65"/>
      <c r="W356" s="65"/>
      <c r="X356" s="65"/>
      <c r="Y356" s="65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0000" customHeight="1">
      <c r="A357" s="156" t="s">
        <v>116</v>
      </c>
      <c r="B357" s="88"/>
      <c r="C357" s="471"/>
      <c r="D357" s="471"/>
      <c r="E357" s="158">
        <f>F357*120%</f>
        <v>0</v>
      </c>
      <c r="F357" s="158">
        <f>(D357-C357+1)*G357</f>
        <v>0</v>
      </c>
      <c r="G357" s="159">
        <f>M357*40</f>
        <v>0</v>
      </c>
      <c r="H357" s="162"/>
      <c r="I357" s="65"/>
      <c r="J357" s="162"/>
      <c r="K357" s="65"/>
      <c r="L357" s="277"/>
      <c r="M357" s="277"/>
      <c r="N357" s="163"/>
      <c r="O357" s="188"/>
      <c r="P357" s="65"/>
      <c r="Q357" s="13"/>
      <c r="R357" s="13"/>
      <c r="S357" s="65"/>
      <c r="T357" s="65"/>
      <c r="U357" s="65"/>
      <c r="V357" s="65"/>
      <c r="W357" s="65"/>
      <c r="X357" s="65"/>
      <c r="Y357" s="65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0000" customHeight="1">
      <c r="B358" s="88"/>
      <c r="H358" s="162"/>
      <c r="I358" s="65"/>
      <c r="J358" s="162"/>
      <c r="K358" s="188"/>
      <c r="L358" s="277"/>
      <c r="O358" s="188"/>
      <c r="P358" s="65"/>
      <c r="Q358" s="13"/>
      <c r="R358" s="13"/>
      <c r="S358" s="65"/>
      <c r="T358" s="65"/>
      <c r="U358" s="65"/>
      <c r="V358" s="65"/>
      <c r="W358" s="65"/>
      <c r="X358" s="65"/>
      <c r="Y358" s="65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0000" customHeight="1">
      <c r="B359" s="88"/>
      <c r="H359" s="162"/>
      <c r="I359" s="65"/>
      <c r="J359" s="162"/>
      <c r="K359" s="65"/>
      <c r="L359" s="162"/>
      <c r="O359" s="188"/>
      <c r="P359" s="65"/>
      <c r="Q359" s="13"/>
      <c r="R359" s="13"/>
      <c r="S359" s="65"/>
      <c r="T359" s="65"/>
      <c r="U359" s="65"/>
      <c r="V359" s="65"/>
      <c r="W359" s="65"/>
      <c r="X359" s="65"/>
      <c r="Y359" s="65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0000" customHeight="1">
      <c r="B360" s="88"/>
      <c r="H360" s="162"/>
      <c r="I360" s="65"/>
      <c r="J360" s="162"/>
      <c r="K360" s="65"/>
      <c r="L360" s="277"/>
      <c r="O360" s="188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0000" customHeight="1">
      <c r="B361" s="88"/>
      <c r="H361" s="220"/>
      <c r="I361" s="65"/>
      <c r="J361" s="162"/>
      <c r="K361" s="65"/>
      <c r="L361" s="277"/>
      <c r="O361" s="188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0000" customHeight="1">
      <c r="A362" s="156" t="s">
        <v>116</v>
      </c>
      <c r="B362" s="88"/>
      <c r="C362" s="471"/>
      <c r="D362" s="472"/>
      <c r="E362" s="158">
        <f>F362*120%</f>
        <v>0</v>
      </c>
      <c r="F362" s="158">
        <f>(D362-C362+1)*G362</f>
        <v>0</v>
      </c>
      <c r="G362" s="159">
        <f>M362*40</f>
        <v>0</v>
      </c>
      <c r="H362" s="162"/>
      <c r="I362" s="65"/>
      <c r="J362" s="162"/>
      <c r="K362" s="65"/>
      <c r="L362" s="162"/>
      <c r="M362" s="162"/>
      <c r="N362" s="163"/>
      <c r="O362" s="164"/>
      <c r="P362" s="65"/>
      <c r="Q362" s="13"/>
      <c r="R362" s="13"/>
      <c r="S362" s="65"/>
      <c r="T362" s="65"/>
      <c r="U362" s="65"/>
      <c r="V362" s="65"/>
      <c r="W362" s="65"/>
      <c r="X362" s="65"/>
      <c r="Y362" s="65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0000" customHeight="1">
      <c r="B363" s="88"/>
      <c r="H363" s="65"/>
      <c r="I363" s="65"/>
      <c r="J363" s="162"/>
      <c r="K363" s="65"/>
      <c r="L363" s="162"/>
      <c r="O363" s="164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0000" customHeight="1">
      <c r="B364" s="88"/>
      <c r="H364" s="65"/>
      <c r="I364" s="65"/>
      <c r="J364" s="162"/>
      <c r="K364" s="65"/>
      <c r="L364" s="162"/>
      <c r="O364" s="164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0000" customHeight="1">
      <c r="B365" s="88"/>
      <c r="H365" s="65"/>
      <c r="I365" s="65"/>
      <c r="J365" s="162"/>
      <c r="K365" s="65"/>
      <c r="L365" s="162"/>
      <c r="O365" s="164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0000" customHeight="1">
      <c r="B366" s="88"/>
      <c r="H366" s="169"/>
      <c r="I366" s="65"/>
      <c r="J366" s="162"/>
      <c r="K366" s="65"/>
      <c r="L366" s="162"/>
      <c r="O366" s="164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0000" customHeight="1">
      <c r="A367" s="156" t="s">
        <v>116</v>
      </c>
      <c r="B367" s="88"/>
      <c r="C367" s="471"/>
      <c r="D367" s="472"/>
      <c r="E367" s="158">
        <f>F367*120%</f>
        <v>0</v>
      </c>
      <c r="F367" s="158">
        <f>(D367-C367+1)*G367</f>
        <v>0</v>
      </c>
      <c r="G367" s="159">
        <f>M367*40</f>
        <v>0</v>
      </c>
      <c r="H367" s="162"/>
      <c r="I367" s="65"/>
      <c r="J367" s="162"/>
      <c r="K367" s="65"/>
      <c r="L367" s="162"/>
      <c r="M367" s="162"/>
      <c r="N367" s="163"/>
      <c r="O367" s="164"/>
      <c r="P367" s="65"/>
      <c r="Q367" s="13"/>
      <c r="R367" s="13"/>
      <c r="S367" s="65"/>
      <c r="T367" s="65"/>
      <c r="U367" s="65"/>
      <c r="V367" s="65"/>
      <c r="W367" s="65"/>
      <c r="X367" s="65"/>
      <c r="Y367" s="65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0000" customHeight="1">
      <c r="B368" s="88"/>
      <c r="H368" s="65"/>
      <c r="I368" s="65"/>
      <c r="J368" s="162"/>
      <c r="K368" s="65"/>
      <c r="L368" s="162"/>
      <c r="O368" s="164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0000" customHeight="1">
      <c r="B369" s="88"/>
      <c r="H369" s="65"/>
      <c r="I369" s="65"/>
      <c r="J369" s="162"/>
      <c r="K369" s="65"/>
      <c r="L369" s="162"/>
      <c r="O369" s="164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0000" customHeight="1">
      <c r="B370" s="88"/>
      <c r="H370" s="65"/>
      <c r="I370" s="65"/>
      <c r="J370" s="162"/>
      <c r="K370" s="65"/>
      <c r="L370" s="162"/>
      <c r="O370" s="164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0000" customHeight="1">
      <c r="B371" s="88"/>
      <c r="H371" s="169"/>
      <c r="I371" s="65"/>
      <c r="J371" s="162"/>
      <c r="K371" s="65"/>
      <c r="L371" s="162"/>
      <c r="O371" s="164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0000" customHeight="1">
      <c r="A372" s="156" t="s">
        <v>116</v>
      </c>
      <c r="B372" s="88"/>
      <c r="C372" s="471"/>
      <c r="D372" s="472"/>
      <c r="E372" s="158">
        <f>F372*120%</f>
        <v>0</v>
      </c>
      <c r="F372" s="158">
        <f>(D372-C372+1)*G372</f>
        <v>0</v>
      </c>
      <c r="G372" s="159">
        <f>M372*40</f>
        <v>0</v>
      </c>
      <c r="H372" s="162"/>
      <c r="I372" s="65"/>
      <c r="J372" s="421"/>
      <c r="K372" s="188"/>
      <c r="L372" s="162"/>
      <c r="M372" s="162"/>
      <c r="N372" s="163"/>
      <c r="O372" s="164"/>
      <c r="P372" s="65"/>
      <c r="Q372" s="13"/>
      <c r="R372" s="13"/>
      <c r="S372" s="65"/>
      <c r="T372" s="65"/>
      <c r="U372" s="65"/>
      <c r="V372" s="65"/>
      <c r="W372" s="65"/>
      <c r="X372" s="65"/>
      <c r="Y372" s="65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0000" customHeight="1">
      <c r="B373" s="88"/>
      <c r="H373" s="162"/>
      <c r="I373" s="65"/>
      <c r="J373" s="421"/>
      <c r="K373" s="188"/>
      <c r="L373" s="162"/>
      <c r="O373" s="164"/>
      <c r="P373" s="65"/>
      <c r="Q373" s="13"/>
      <c r="R373" s="13"/>
      <c r="S373" s="65"/>
      <c r="T373" s="65"/>
      <c r="U373" s="65"/>
      <c r="V373" s="65"/>
      <c r="W373" s="65"/>
      <c r="X373" s="65"/>
      <c r="Y373" s="65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0000" customHeight="1">
      <c r="B374" s="88"/>
      <c r="H374" s="65"/>
      <c r="I374" s="65"/>
      <c r="J374" s="421"/>
      <c r="K374" s="253"/>
      <c r="L374" s="162"/>
      <c r="O374" s="164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0000" customHeight="1">
      <c r="B375" s="88"/>
      <c r="H375" s="65"/>
      <c r="I375" s="65"/>
      <c r="J375" s="421"/>
      <c r="K375" s="188"/>
      <c r="L375" s="162"/>
      <c r="O375" s="164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0000" customHeight="1">
      <c r="B376" s="88"/>
      <c r="H376" s="169"/>
      <c r="I376" s="65"/>
      <c r="J376" s="162"/>
      <c r="K376" s="65"/>
      <c r="L376" s="162"/>
      <c r="O376" s="164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0000" customHeight="1">
      <c r="A377" s="156" t="s">
        <v>116</v>
      </c>
      <c r="B377" s="88"/>
      <c r="C377" s="471"/>
      <c r="D377" s="471"/>
      <c r="E377" s="158">
        <f>F377*120%</f>
        <v>0</v>
      </c>
      <c r="F377" s="158">
        <f>(D377-C377+1)*G377</f>
        <v>0</v>
      </c>
      <c r="G377" s="159">
        <f>M377*40</f>
        <v>0</v>
      </c>
      <c r="H377" s="162"/>
      <c r="I377" s="65"/>
      <c r="J377" s="421"/>
      <c r="K377" s="188"/>
      <c r="L377" s="162"/>
      <c r="M377" s="162"/>
      <c r="N377" s="163"/>
      <c r="O377" s="164"/>
      <c r="P377" s="65"/>
      <c r="Q377" s="13"/>
      <c r="R377" s="13"/>
      <c r="S377" s="65"/>
      <c r="T377" s="65"/>
      <c r="U377" s="65"/>
      <c r="V377" s="65"/>
      <c r="W377" s="65"/>
      <c r="X377" s="65"/>
      <c r="Y377" s="65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0000" customHeight="1">
      <c r="B378" s="88"/>
      <c r="H378" s="162"/>
      <c r="I378" s="65"/>
      <c r="J378" s="421"/>
      <c r="K378" s="188"/>
      <c r="L378" s="162"/>
      <c r="O378" s="164"/>
      <c r="P378" s="65"/>
      <c r="Q378" s="13"/>
      <c r="R378" s="13"/>
      <c r="S378" s="65"/>
      <c r="T378" s="65"/>
      <c r="U378" s="65"/>
      <c r="V378" s="65"/>
      <c r="W378" s="65"/>
      <c r="X378" s="65"/>
      <c r="Y378" s="65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0000" customHeight="1">
      <c r="B379" s="88"/>
      <c r="H379" s="162"/>
      <c r="I379" s="65"/>
      <c r="J379" s="421"/>
      <c r="K379" s="188"/>
      <c r="L379" s="162"/>
      <c r="O379" s="164"/>
      <c r="P379" s="65"/>
      <c r="Q379" s="13"/>
      <c r="R379" s="13"/>
      <c r="S379" s="65"/>
      <c r="T379" s="65"/>
      <c r="U379" s="65"/>
      <c r="V379" s="65"/>
      <c r="W379" s="65"/>
      <c r="X379" s="65"/>
      <c r="Y379" s="65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0000" customHeight="1">
      <c r="B380" s="88"/>
      <c r="H380" s="162"/>
      <c r="I380" s="65"/>
      <c r="J380" s="421"/>
      <c r="K380" s="188"/>
      <c r="L380" s="162"/>
      <c r="O380" s="164"/>
      <c r="P380" s="65"/>
      <c r="Q380" s="13"/>
      <c r="R380" s="13"/>
      <c r="S380" s="65"/>
      <c r="T380" s="65"/>
      <c r="U380" s="65"/>
      <c r="V380" s="65"/>
      <c r="W380" s="65"/>
      <c r="X380" s="65"/>
      <c r="Y380" s="65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0000" customHeight="1">
      <c r="B381" s="88"/>
      <c r="H381" s="169"/>
      <c r="I381" s="65"/>
      <c r="J381" s="162"/>
      <c r="K381" s="65"/>
      <c r="L381" s="162"/>
      <c r="O381" s="164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0000" customHeight="1">
      <c r="A382" s="156" t="s">
        <v>116</v>
      </c>
      <c r="B382" s="88"/>
      <c r="C382" s="471"/>
      <c r="D382" s="279"/>
      <c r="E382" s="158">
        <f>F382*120%</f>
        <v>0</v>
      </c>
      <c r="F382" s="158">
        <f>(D382-C382+1)*G382</f>
        <v>0</v>
      </c>
      <c r="G382" s="159">
        <f>M382*40</f>
        <v>0</v>
      </c>
      <c r="H382" s="162"/>
      <c r="I382" s="65"/>
      <c r="J382" s="162"/>
      <c r="K382" s="65"/>
      <c r="L382" s="162"/>
      <c r="M382" s="162"/>
      <c r="N382" s="163"/>
      <c r="O382" s="65"/>
      <c r="P382" s="65"/>
      <c r="Q382" s="13"/>
      <c r="R382" s="13"/>
      <c r="S382" s="65"/>
      <c r="T382" s="65"/>
      <c r="U382" s="65"/>
      <c r="V382" s="65"/>
      <c r="W382" s="65"/>
      <c r="X382" s="65"/>
      <c r="Y382" s="65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0000" customHeight="1">
      <c r="B383" s="88"/>
      <c r="H383" s="65"/>
      <c r="I383" s="65"/>
      <c r="J383" s="162"/>
      <c r="K383" s="65"/>
      <c r="L383" s="162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0000" customHeight="1">
      <c r="B384" s="88"/>
      <c r="H384" s="65"/>
      <c r="I384" s="65"/>
      <c r="J384" s="162"/>
      <c r="K384" s="65"/>
      <c r="L384" s="162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0000" customHeight="1">
      <c r="B385" s="88"/>
      <c r="H385" s="65"/>
      <c r="I385" s="65"/>
      <c r="J385" s="162"/>
      <c r="K385" s="65"/>
      <c r="L385" s="162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0000" customHeight="1">
      <c r="B386" s="88"/>
      <c r="H386" s="169"/>
      <c r="I386" s="65"/>
      <c r="J386" s="162"/>
      <c r="K386" s="65"/>
      <c r="L386" s="162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0000" customHeight="1">
      <c r="A387" s="156" t="s">
        <v>116</v>
      </c>
      <c r="B387" s="88"/>
      <c r="C387" s="279"/>
      <c r="D387" s="279"/>
      <c r="E387" s="158">
        <f>F387*120%</f>
        <v>0</v>
      </c>
      <c r="F387" s="158">
        <f>(D387-C387+1)*G387</f>
        <v>0</v>
      </c>
      <c r="G387" s="159">
        <f>M387*40</f>
        <v>0</v>
      </c>
      <c r="H387" s="277"/>
      <c r="I387" s="65"/>
      <c r="J387" s="258"/>
      <c r="K387" s="188"/>
      <c r="L387" s="465"/>
      <c r="M387" s="465"/>
      <c r="N387" s="163"/>
      <c r="O387" s="65"/>
      <c r="P387" s="65"/>
      <c r="Q387" s="65"/>
      <c r="R387" s="65"/>
      <c r="S387" s="65"/>
      <c r="T387" s="65"/>
      <c r="U387" s="13" t="s">
        <v>11890</v>
      </c>
      <c r="V387" s="165"/>
      <c r="W387" s="165"/>
      <c r="X387" s="165"/>
      <c r="Y387" s="165"/>
      <c r="Z387" s="166"/>
      <c r="AA387" s="166"/>
      <c r="AB387" s="166"/>
      <c r="AC387" s="166"/>
      <c r="AD387" s="166"/>
      <c r="AE387" s="166"/>
      <c r="AF387" s="166"/>
      <c r="AG387" s="166"/>
      <c r="AH387" s="166"/>
    </row>
    <row r="388" spans="1:34" ht="15.750000" customHeight="1">
      <c r="B388" s="88"/>
      <c r="H388" s="277"/>
      <c r="I388" s="65"/>
      <c r="J388" s="258"/>
      <c r="K388" s="188"/>
      <c r="L388" s="465"/>
      <c r="O388" s="65"/>
      <c r="P388" s="65"/>
      <c r="Q388" s="65"/>
      <c r="R388" s="65"/>
      <c r="S388" s="65"/>
      <c r="T388" s="65"/>
      <c r="U388" s="65"/>
      <c r="V388" s="165"/>
      <c r="W388" s="165"/>
      <c r="X388" s="165"/>
      <c r="Y388" s="165"/>
      <c r="Z388" s="166"/>
      <c r="AA388" s="166"/>
      <c r="AB388" s="166"/>
      <c r="AC388" s="166"/>
      <c r="AD388" s="166"/>
      <c r="AE388" s="166"/>
      <c r="AF388" s="166"/>
      <c r="AG388" s="166"/>
      <c r="AH388" s="166"/>
    </row>
    <row r="389" spans="1:34" ht="15.750000" customHeight="1">
      <c r="B389" s="88"/>
      <c r="H389" s="277"/>
      <c r="I389" s="65"/>
      <c r="J389" s="258"/>
      <c r="K389" s="188"/>
      <c r="L389" s="465"/>
      <c r="O389" s="65"/>
      <c r="P389" s="65"/>
      <c r="Q389" s="65"/>
      <c r="R389" s="65"/>
      <c r="S389" s="65"/>
      <c r="T389" s="65"/>
      <c r="U389" s="65"/>
      <c r="V389" s="165"/>
      <c r="W389" s="165"/>
      <c r="X389" s="165"/>
      <c r="Y389" s="165"/>
      <c r="Z389" s="166"/>
      <c r="AA389" s="166"/>
      <c r="AB389" s="166"/>
      <c r="AC389" s="166"/>
      <c r="AD389" s="166"/>
      <c r="AE389" s="166"/>
      <c r="AF389" s="166"/>
      <c r="AG389" s="166"/>
      <c r="AH389" s="166"/>
    </row>
    <row r="390" spans="1:34" ht="15.750000" customHeight="1">
      <c r="B390" s="88"/>
      <c r="H390" s="277"/>
      <c r="I390" s="65"/>
      <c r="J390" s="258"/>
      <c r="K390" s="65"/>
      <c r="L390" s="465"/>
      <c r="O390" s="65"/>
      <c r="P390" s="65"/>
      <c r="Q390" s="65"/>
      <c r="R390" s="65"/>
      <c r="S390" s="65"/>
      <c r="T390" s="65"/>
      <c r="U390" s="65"/>
      <c r="V390" s="165"/>
      <c r="W390" s="165"/>
      <c r="X390" s="165"/>
      <c r="Y390" s="165"/>
      <c r="Z390" s="166"/>
      <c r="AA390" s="166"/>
      <c r="AB390" s="166"/>
      <c r="AC390" s="166"/>
      <c r="AD390" s="166"/>
      <c r="AE390" s="166"/>
      <c r="AF390" s="166"/>
      <c r="AG390" s="166"/>
      <c r="AH390" s="166"/>
    </row>
    <row r="391" spans="1:34" ht="15.750000" customHeight="1">
      <c r="B391" s="88"/>
      <c r="H391" s="220"/>
      <c r="I391" s="65"/>
      <c r="J391" s="162"/>
      <c r="K391" s="65"/>
      <c r="L391" s="162"/>
      <c r="O391" s="65"/>
      <c r="P391" s="65"/>
      <c r="Q391" s="65"/>
      <c r="R391" s="65"/>
      <c r="S391" s="65"/>
      <c r="T391" s="65"/>
      <c r="U391" s="65"/>
      <c r="V391" s="165"/>
      <c r="W391" s="165"/>
      <c r="X391" s="165"/>
      <c r="Y391" s="165"/>
      <c r="Z391" s="166"/>
      <c r="AA391" s="166"/>
      <c r="AB391" s="166"/>
      <c r="AC391" s="166"/>
      <c r="AD391" s="166"/>
      <c r="AE391" s="166"/>
      <c r="AF391" s="166"/>
      <c r="AG391" s="166"/>
      <c r="AH391" s="166"/>
    </row>
    <row r="392" spans="1:34" ht="15.750000" customHeight="1">
      <c r="A392" s="156" t="s">
        <v>116</v>
      </c>
      <c r="B392" s="88"/>
      <c r="C392" s="279"/>
      <c r="D392" s="279"/>
      <c r="E392" s="158">
        <f>F392*120%</f>
        <v>0</v>
      </c>
      <c r="F392" s="158">
        <f>(D392-C392+1)*G392</f>
        <v>0</v>
      </c>
      <c r="G392" s="159">
        <f>M392*40</f>
        <v>0</v>
      </c>
      <c r="H392" s="162"/>
      <c r="I392" s="65"/>
      <c r="J392" s="162"/>
      <c r="K392" s="65"/>
      <c r="L392" s="162"/>
      <c r="M392" s="162"/>
      <c r="N392" s="163"/>
      <c r="O392" s="65"/>
      <c r="P392" s="65"/>
      <c r="Q392" s="13"/>
      <c r="R392" s="13"/>
      <c r="S392" s="65"/>
      <c r="T392" s="65"/>
      <c r="U392" s="65"/>
      <c r="V392" s="65"/>
      <c r="W392" s="65"/>
      <c r="X392" s="65"/>
      <c r="Y392" s="65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0000" customHeight="1">
      <c r="B393" s="88"/>
      <c r="H393" s="162"/>
      <c r="I393" s="65"/>
      <c r="J393" s="162"/>
      <c r="K393" s="65"/>
      <c r="L393" s="162"/>
      <c r="O393" s="65"/>
      <c r="P393" s="65"/>
      <c r="Q393" s="13"/>
      <c r="R393" s="13"/>
      <c r="S393" s="65"/>
      <c r="T393" s="65"/>
      <c r="U393" s="65"/>
      <c r="V393" s="65"/>
      <c r="W393" s="65"/>
      <c r="X393" s="65"/>
      <c r="Y393" s="65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0000" customHeight="1">
      <c r="B394" s="88"/>
      <c r="H394" s="162"/>
      <c r="I394" s="65"/>
      <c r="J394" s="162"/>
      <c r="K394" s="65"/>
      <c r="L394" s="162"/>
      <c r="O394" s="65"/>
      <c r="P394" s="65"/>
      <c r="Q394" s="13"/>
      <c r="R394" s="13"/>
      <c r="S394" s="65"/>
      <c r="T394" s="65"/>
      <c r="U394" s="65"/>
      <c r="V394" s="65"/>
      <c r="W394" s="65"/>
      <c r="X394" s="65"/>
      <c r="Y394" s="65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0000" customHeight="1">
      <c r="B395" s="88"/>
      <c r="H395" s="162"/>
      <c r="I395" s="65"/>
      <c r="J395" s="162"/>
      <c r="K395" s="65"/>
      <c r="L395" s="162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0000" customHeight="1">
      <c r="B396" s="88"/>
      <c r="H396" s="220"/>
      <c r="I396" s="65"/>
      <c r="J396" s="162"/>
      <c r="K396" s="65"/>
      <c r="L396" s="162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0000" customHeight="1">
      <c r="A397" s="156" t="s">
        <v>116</v>
      </c>
      <c r="B397" s="88"/>
      <c r="C397" s="279"/>
      <c r="D397" s="472"/>
      <c r="E397" s="158">
        <f>F397*120%</f>
        <v>0</v>
      </c>
      <c r="F397" s="158">
        <f>(D397-C397+1)*G397</f>
        <v>0</v>
      </c>
      <c r="G397" s="159">
        <f>M397*40</f>
        <v>0</v>
      </c>
      <c r="H397" s="162"/>
      <c r="I397" s="65"/>
      <c r="J397" s="162"/>
      <c r="K397" s="65"/>
      <c r="L397" s="162"/>
      <c r="M397" s="162"/>
      <c r="N397" s="163"/>
      <c r="O397" s="164"/>
      <c r="P397" s="65"/>
      <c r="Q397" s="13"/>
      <c r="R397" s="13"/>
      <c r="S397" s="65"/>
      <c r="T397" s="65"/>
      <c r="U397" s="65"/>
      <c r="V397" s="65"/>
      <c r="W397" s="65"/>
      <c r="X397" s="65"/>
      <c r="Y397" s="65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0000" customHeight="1">
      <c r="B398" s="88"/>
      <c r="H398" s="162"/>
      <c r="I398" s="65"/>
      <c r="J398" s="162"/>
      <c r="K398" s="188"/>
      <c r="L398" s="162"/>
      <c r="O398" s="164"/>
      <c r="P398" s="65"/>
      <c r="Q398" s="13"/>
      <c r="R398" s="13"/>
      <c r="S398" s="65"/>
      <c r="T398" s="65"/>
      <c r="U398" s="65"/>
      <c r="V398" s="65"/>
      <c r="W398" s="65"/>
      <c r="X398" s="65"/>
      <c r="Y398" s="65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0000" customHeight="1">
      <c r="B399" s="88"/>
      <c r="H399" s="65"/>
      <c r="I399" s="65"/>
      <c r="J399" s="65"/>
      <c r="K399" s="65"/>
      <c r="L399" s="65"/>
      <c r="O399" s="164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0000" customHeight="1">
      <c r="B400" s="88"/>
      <c r="H400" s="65"/>
      <c r="I400" s="65"/>
      <c r="J400" s="65"/>
      <c r="K400" s="65"/>
      <c r="L400" s="65"/>
      <c r="O400" s="164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0000" customHeight="1">
      <c r="B401" s="88"/>
      <c r="H401" s="169"/>
      <c r="I401" s="65"/>
      <c r="J401" s="162"/>
      <c r="K401" s="65"/>
      <c r="L401" s="65"/>
      <c r="O401" s="164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0000" customHeight="1">
      <c r="A402" s="156" t="s">
        <v>116</v>
      </c>
      <c r="B402" s="88"/>
      <c r="C402" s="279"/>
      <c r="D402" s="279"/>
      <c r="E402" s="158">
        <f>F402*120%</f>
        <v>0</v>
      </c>
      <c r="F402" s="158">
        <f>(D402-C402+1)*G402</f>
        <v>0</v>
      </c>
      <c r="G402" s="159">
        <f>M402*40</f>
        <v>0</v>
      </c>
      <c r="H402" s="162"/>
      <c r="I402" s="65"/>
      <c r="J402" s="162"/>
      <c r="K402" s="65"/>
      <c r="L402" s="162"/>
      <c r="M402" s="162"/>
      <c r="N402" s="163"/>
      <c r="O402" s="190"/>
      <c r="P402" s="65"/>
      <c r="Q402" s="13"/>
      <c r="R402" s="13"/>
      <c r="S402" s="65"/>
      <c r="T402" s="65"/>
      <c r="U402" s="65"/>
      <c r="V402" s="65"/>
      <c r="W402" s="65"/>
      <c r="X402" s="65"/>
      <c r="Y402" s="65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0000" customHeight="1">
      <c r="B403" s="88"/>
      <c r="H403" s="162"/>
      <c r="I403" s="65"/>
      <c r="J403" s="162"/>
      <c r="K403" s="65"/>
      <c r="L403" s="162"/>
      <c r="O403" s="190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0000" customHeight="1">
      <c r="B404" s="88"/>
      <c r="H404" s="162"/>
      <c r="I404" s="65"/>
      <c r="J404" s="162"/>
      <c r="K404" s="65"/>
      <c r="L404" s="162"/>
      <c r="O404" s="190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0000" customHeight="1">
      <c r="B405" s="88"/>
      <c r="H405" s="162"/>
      <c r="I405" s="65"/>
      <c r="J405" s="162"/>
      <c r="K405" s="65"/>
      <c r="L405" s="162"/>
      <c r="O405" s="190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0000" customHeight="1">
      <c r="B406" s="88"/>
      <c r="H406" s="220"/>
      <c r="I406" s="65"/>
      <c r="J406" s="162"/>
      <c r="K406" s="65"/>
      <c r="L406" s="162"/>
      <c r="O406" s="190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0000" customHeight="1">
      <c r="A407" s="156" t="s">
        <v>116</v>
      </c>
      <c r="B407" s="88"/>
      <c r="C407" s="279"/>
      <c r="D407" s="279"/>
      <c r="E407" s="158">
        <f>F407*120%</f>
        <v>0</v>
      </c>
      <c r="F407" s="158">
        <f>(D407-C407+1)*G407</f>
        <v>0</v>
      </c>
      <c r="G407" s="159">
        <f>M407*40</f>
        <v>0</v>
      </c>
      <c r="H407" s="162"/>
      <c r="I407" s="65"/>
      <c r="J407" s="467"/>
      <c r="K407" s="188"/>
      <c r="L407" s="162"/>
      <c r="M407" s="162"/>
      <c r="N407" s="163"/>
      <c r="O407" s="65"/>
      <c r="P407" s="65"/>
      <c r="Q407" s="13"/>
      <c r="R407" s="13"/>
      <c r="S407" s="65"/>
      <c r="T407" s="65"/>
      <c r="U407" s="65"/>
      <c r="V407" s="65"/>
      <c r="W407" s="65"/>
      <c r="X407" s="65"/>
      <c r="Y407" s="65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0000" customHeight="1">
      <c r="B408" s="88"/>
      <c r="H408" s="162"/>
      <c r="I408" s="65"/>
      <c r="J408" s="467"/>
      <c r="K408" s="188"/>
      <c r="L408" s="162"/>
      <c r="O408" s="65"/>
      <c r="P408" s="65"/>
      <c r="Q408" s="13"/>
      <c r="R408" s="13"/>
      <c r="S408" s="65"/>
      <c r="T408" s="65"/>
      <c r="U408" s="65"/>
      <c r="V408" s="65"/>
      <c r="W408" s="65"/>
      <c r="X408" s="65"/>
      <c r="Y408" s="65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0000" customHeight="1">
      <c r="B409" s="88"/>
      <c r="H409" s="162"/>
      <c r="I409" s="65"/>
      <c r="J409" s="467"/>
      <c r="K409" s="188"/>
      <c r="L409" s="162"/>
      <c r="O409" s="65"/>
      <c r="P409" s="65"/>
      <c r="Q409" s="13"/>
      <c r="R409" s="13"/>
      <c r="S409" s="65"/>
      <c r="T409" s="65"/>
      <c r="U409" s="65"/>
      <c r="V409" s="65"/>
      <c r="W409" s="65"/>
      <c r="X409" s="65"/>
      <c r="Y409" s="65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0000" customHeight="1">
      <c r="B410" s="88"/>
      <c r="H410" s="162"/>
      <c r="I410" s="65"/>
      <c r="J410" s="467"/>
      <c r="K410" s="65"/>
      <c r="L410" s="162"/>
      <c r="O410" s="65"/>
      <c r="P410" s="65"/>
      <c r="Q410" s="13"/>
      <c r="R410" s="13"/>
      <c r="S410" s="65"/>
      <c r="T410" s="65"/>
      <c r="U410" s="65"/>
      <c r="V410" s="65"/>
      <c r="W410" s="65"/>
      <c r="X410" s="65"/>
      <c r="Y410" s="65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0000" customHeight="1">
      <c r="B411" s="88"/>
      <c r="H411" s="220"/>
      <c r="I411" s="65"/>
      <c r="J411" s="162"/>
      <c r="K411" s="65"/>
      <c r="L411" s="162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0000" customHeight="1">
      <c r="A412" s="156" t="s">
        <v>116</v>
      </c>
      <c r="B412" s="88"/>
      <c r="C412" s="279"/>
      <c r="D412" s="279"/>
      <c r="E412" s="158">
        <f>F412*120%</f>
        <v>0</v>
      </c>
      <c r="F412" s="158">
        <f>(D412-C412+1)*G412</f>
        <v>0</v>
      </c>
      <c r="G412" s="159">
        <f>M412*40</f>
        <v>0</v>
      </c>
      <c r="H412" s="162"/>
      <c r="I412" s="65"/>
      <c r="J412" s="467"/>
      <c r="K412" s="188"/>
      <c r="L412" s="162"/>
      <c r="M412" s="162"/>
      <c r="N412" s="163"/>
      <c r="O412" s="65"/>
      <c r="P412" s="65"/>
      <c r="Q412" s="13"/>
      <c r="R412" s="13"/>
      <c r="S412" s="65"/>
      <c r="T412" s="65"/>
      <c r="U412" s="65"/>
      <c r="V412" s="65"/>
      <c r="W412" s="65"/>
      <c r="X412" s="65"/>
      <c r="Y412" s="65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0000" customHeight="1">
      <c r="B413" s="88"/>
      <c r="H413" s="162"/>
      <c r="I413" s="65"/>
      <c r="J413" s="467"/>
      <c r="K413" s="188"/>
      <c r="L413" s="162"/>
      <c r="O413" s="65"/>
      <c r="P413" s="65"/>
      <c r="Q413" s="13"/>
      <c r="R413" s="13"/>
      <c r="S413" s="65"/>
      <c r="T413" s="65"/>
      <c r="U413" s="65"/>
      <c r="V413" s="65"/>
      <c r="W413" s="65"/>
      <c r="X413" s="65"/>
      <c r="Y413" s="65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0000" customHeight="1">
      <c r="B414" s="88"/>
      <c r="H414" s="162"/>
      <c r="I414" s="65"/>
      <c r="J414" s="467"/>
      <c r="K414" s="188"/>
      <c r="L414" s="162"/>
      <c r="O414" s="65"/>
      <c r="P414" s="65"/>
      <c r="Q414" s="13"/>
      <c r="R414" s="13"/>
      <c r="S414" s="65"/>
      <c r="T414" s="65"/>
      <c r="U414" s="65"/>
      <c r="V414" s="65"/>
      <c r="W414" s="65"/>
      <c r="X414" s="65"/>
      <c r="Y414" s="65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0000" customHeight="1">
      <c r="B415" s="88"/>
      <c r="H415" s="162"/>
      <c r="I415" s="65"/>
      <c r="J415" s="467"/>
      <c r="K415" s="65"/>
      <c r="L415" s="162"/>
      <c r="O415" s="65"/>
      <c r="P415" s="65"/>
      <c r="Q415" s="13"/>
      <c r="R415" s="13"/>
      <c r="S415" s="65"/>
      <c r="T415" s="65"/>
      <c r="U415" s="65"/>
      <c r="V415" s="65"/>
      <c r="W415" s="65"/>
      <c r="X415" s="65"/>
      <c r="Y415" s="65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0000" customHeight="1">
      <c r="B416" s="88"/>
      <c r="H416" s="169"/>
      <c r="I416" s="65"/>
      <c r="J416" s="162"/>
      <c r="K416" s="65"/>
      <c r="L416" s="162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0000" customHeight="1">
      <c r="A417" s="156" t="s">
        <v>116</v>
      </c>
      <c r="B417" s="88"/>
      <c r="C417" s="279"/>
      <c r="D417" s="279"/>
      <c r="E417" s="158">
        <f>F417*120%</f>
        <v>0</v>
      </c>
      <c r="F417" s="158">
        <f>(D417-C417+1)*G417</f>
        <v>0</v>
      </c>
      <c r="G417" s="159">
        <f>M417*40</f>
        <v>0</v>
      </c>
      <c r="H417" s="231"/>
      <c r="I417" s="65"/>
      <c r="J417" s="162"/>
      <c r="K417" s="65"/>
      <c r="L417" s="162"/>
      <c r="M417" s="162"/>
      <c r="N417" s="163"/>
      <c r="O417" s="164"/>
      <c r="P417" s="65"/>
      <c r="Q417" s="13"/>
      <c r="R417" s="13"/>
      <c r="S417" s="65"/>
      <c r="T417" s="65"/>
      <c r="U417" s="65"/>
      <c r="V417" s="65"/>
      <c r="W417" s="65"/>
      <c r="X417" s="65"/>
      <c r="Y417" s="65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0000" customHeight="1">
      <c r="B418" s="88"/>
      <c r="H418" s="231"/>
      <c r="I418" s="65"/>
      <c r="J418" s="162"/>
      <c r="K418" s="188"/>
      <c r="L418" s="162"/>
      <c r="O418" s="164"/>
      <c r="P418" s="65"/>
      <c r="Q418" s="13"/>
      <c r="R418" s="13"/>
      <c r="S418" s="65"/>
      <c r="T418" s="65"/>
      <c r="U418" s="65"/>
      <c r="V418" s="65"/>
      <c r="W418" s="65"/>
      <c r="X418" s="65"/>
      <c r="Y418" s="65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0000" customHeight="1">
      <c r="B419" s="88"/>
      <c r="H419" s="231"/>
      <c r="I419" s="65"/>
      <c r="J419" s="162"/>
      <c r="K419" s="65"/>
      <c r="L419" s="162"/>
      <c r="O419" s="164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0000" customHeight="1">
      <c r="B420" s="88"/>
      <c r="H420" s="231"/>
      <c r="I420" s="65"/>
      <c r="J420" s="162"/>
      <c r="K420" s="188"/>
      <c r="L420" s="162"/>
      <c r="O420" s="164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0000" customHeight="1">
      <c r="B421" s="88"/>
      <c r="H421" s="255"/>
      <c r="I421" s="65"/>
      <c r="J421" s="162"/>
      <c r="K421" s="65"/>
      <c r="L421" s="162"/>
      <c r="O421" s="164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0000" customHeight="1">
      <c r="A422" s="156" t="s">
        <v>116</v>
      </c>
      <c r="B422" s="88"/>
      <c r="C422" s="279"/>
      <c r="D422" s="279"/>
      <c r="E422" s="158">
        <f>F422*120%</f>
        <v>0</v>
      </c>
      <c r="F422" s="158">
        <f>(D422-C422+1)*G422</f>
        <v>0</v>
      </c>
      <c r="G422" s="159">
        <f>M422*40</f>
        <v>0</v>
      </c>
      <c r="H422" s="231"/>
      <c r="I422" s="65"/>
      <c r="J422" s="162"/>
      <c r="K422" s="65"/>
      <c r="L422" s="162"/>
      <c r="M422" s="162"/>
      <c r="N422" s="163"/>
      <c r="O422" s="164"/>
      <c r="P422" s="65"/>
      <c r="Q422" s="13"/>
      <c r="R422" s="13"/>
      <c r="S422" s="65"/>
      <c r="T422" s="65"/>
      <c r="U422" s="65"/>
      <c r="V422" s="65"/>
      <c r="W422" s="65"/>
      <c r="X422" s="65"/>
      <c r="Y422" s="65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0000" customHeight="1">
      <c r="B423" s="88"/>
      <c r="H423" s="231"/>
      <c r="I423" s="65"/>
      <c r="J423" s="162"/>
      <c r="K423" s="188"/>
      <c r="L423" s="162"/>
      <c r="O423" s="164"/>
      <c r="P423" s="65"/>
      <c r="Q423" s="13"/>
      <c r="R423" s="13"/>
      <c r="S423" s="65"/>
      <c r="T423" s="65"/>
      <c r="U423" s="65"/>
      <c r="V423" s="65"/>
      <c r="W423" s="65"/>
      <c r="X423" s="65"/>
      <c r="Y423" s="65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0000" customHeight="1">
      <c r="B424" s="88"/>
      <c r="H424" s="231"/>
      <c r="I424" s="65"/>
      <c r="J424" s="162"/>
      <c r="K424" s="65"/>
      <c r="L424" s="162"/>
      <c r="O424" s="164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0000" customHeight="1">
      <c r="B425" s="88"/>
      <c r="H425" s="231"/>
      <c r="I425" s="65"/>
      <c r="J425" s="162"/>
      <c r="K425" s="65"/>
      <c r="L425" s="162"/>
      <c r="O425" s="164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0000" customHeight="1">
      <c r="B426" s="88"/>
      <c r="H426" s="255"/>
      <c r="I426" s="65"/>
      <c r="J426" s="162"/>
      <c r="K426" s="65"/>
      <c r="L426" s="162"/>
      <c r="O426" s="164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0000" customHeight="1">
      <c r="A427" s="156" t="s">
        <v>116</v>
      </c>
      <c r="B427" s="88"/>
      <c r="C427" s="279"/>
      <c r="D427" s="279"/>
      <c r="E427" s="158">
        <f>F427*120%</f>
        <v>0</v>
      </c>
      <c r="F427" s="158">
        <f>(D427-C427+1)*G427</f>
        <v>0</v>
      </c>
      <c r="G427" s="159">
        <f>M427*40</f>
        <v>0</v>
      </c>
      <c r="H427" s="231"/>
      <c r="I427" s="65"/>
      <c r="J427" s="162"/>
      <c r="K427" s="65"/>
      <c r="L427" s="162"/>
      <c r="M427" s="162"/>
      <c r="N427" s="163"/>
      <c r="O427" s="164"/>
      <c r="P427" s="65"/>
      <c r="Q427" s="13"/>
      <c r="R427" s="13"/>
      <c r="S427" s="65"/>
      <c r="T427" s="65"/>
      <c r="U427" s="65"/>
      <c r="V427" s="65"/>
      <c r="W427" s="65"/>
      <c r="X427" s="65"/>
      <c r="Y427" s="65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0000" customHeight="1">
      <c r="B428" s="88"/>
      <c r="H428" s="231"/>
      <c r="I428" s="65"/>
      <c r="J428" s="162"/>
      <c r="K428" s="188"/>
      <c r="L428" s="162"/>
      <c r="O428" s="164"/>
      <c r="P428" s="65"/>
      <c r="Q428" s="13"/>
      <c r="R428" s="13"/>
      <c r="S428" s="65"/>
      <c r="T428" s="65"/>
      <c r="U428" s="65"/>
      <c r="V428" s="65"/>
      <c r="W428" s="65"/>
      <c r="X428" s="65"/>
      <c r="Y428" s="65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0000" customHeight="1">
      <c r="B429" s="88"/>
      <c r="H429" s="252"/>
      <c r="I429" s="65"/>
      <c r="J429" s="162"/>
      <c r="K429" s="65"/>
      <c r="L429" s="162"/>
      <c r="O429" s="164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0000" customHeight="1">
      <c r="B430" s="88"/>
      <c r="H430" s="65"/>
      <c r="I430" s="65"/>
      <c r="J430" s="162"/>
      <c r="K430" s="65"/>
      <c r="L430" s="162"/>
      <c r="O430" s="164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0000" customHeight="1">
      <c r="B431" s="88"/>
      <c r="H431" s="169"/>
      <c r="I431" s="65"/>
      <c r="J431" s="162"/>
      <c r="K431" s="65"/>
      <c r="L431" s="162"/>
      <c r="O431" s="164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0000" customHeight="1">
      <c r="A432" s="156" t="s">
        <v>116</v>
      </c>
      <c r="B432" s="88"/>
      <c r="C432" s="279"/>
      <c r="D432" s="472"/>
      <c r="E432" s="158">
        <f>F432*120%</f>
        <v>0</v>
      </c>
      <c r="F432" s="158">
        <f>(D432-C432+1)*G432</f>
        <v>0</v>
      </c>
      <c r="G432" s="159">
        <f>M432*40</f>
        <v>0</v>
      </c>
      <c r="H432" s="162"/>
      <c r="I432" s="65"/>
      <c r="J432" s="162"/>
      <c r="K432" s="65"/>
      <c r="L432" s="162"/>
      <c r="M432" s="162"/>
      <c r="N432" s="163"/>
      <c r="O432" s="164"/>
      <c r="P432" s="65"/>
      <c r="Q432" s="13"/>
      <c r="R432" s="13"/>
      <c r="S432" s="65"/>
      <c r="T432" s="65"/>
      <c r="U432" s="65"/>
      <c r="V432" s="65"/>
      <c r="W432" s="65"/>
      <c r="X432" s="65"/>
      <c r="Y432" s="65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0000" customHeight="1">
      <c r="B433" s="88"/>
      <c r="H433" s="162"/>
      <c r="I433" s="65"/>
      <c r="J433" s="162"/>
      <c r="K433" s="188"/>
      <c r="L433" s="162"/>
      <c r="O433" s="164"/>
      <c r="P433" s="65"/>
      <c r="Q433" s="13"/>
      <c r="R433" s="13"/>
      <c r="S433" s="65"/>
      <c r="T433" s="65"/>
      <c r="U433" s="65"/>
      <c r="V433" s="65"/>
      <c r="W433" s="65"/>
      <c r="X433" s="65"/>
      <c r="Y433" s="65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0000" customHeight="1">
      <c r="B434" s="88"/>
      <c r="H434" s="162"/>
      <c r="I434" s="65"/>
      <c r="J434" s="162"/>
      <c r="K434" s="65"/>
      <c r="L434" s="162"/>
      <c r="O434" s="164"/>
      <c r="P434" s="65"/>
      <c r="Q434" s="13"/>
      <c r="R434" s="13"/>
      <c r="S434" s="65"/>
      <c r="T434" s="65"/>
      <c r="U434" s="65"/>
      <c r="V434" s="65"/>
      <c r="W434" s="65"/>
      <c r="X434" s="65"/>
      <c r="Y434" s="65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0000" customHeight="1">
      <c r="B435" s="88"/>
      <c r="H435" s="162"/>
      <c r="I435" s="65"/>
      <c r="J435" s="162"/>
      <c r="K435" s="188"/>
      <c r="L435" s="162"/>
      <c r="O435" s="164"/>
      <c r="P435" s="65"/>
      <c r="Q435" s="13"/>
      <c r="R435" s="13"/>
      <c r="S435" s="65"/>
      <c r="T435" s="65"/>
      <c r="U435" s="65"/>
      <c r="V435" s="65"/>
      <c r="W435" s="65"/>
      <c r="X435" s="65"/>
      <c r="Y435" s="65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0000" customHeight="1">
      <c r="B436" s="88"/>
      <c r="H436" s="220"/>
      <c r="I436" s="65"/>
      <c r="J436" s="162"/>
      <c r="K436" s="188"/>
      <c r="L436" s="162"/>
      <c r="O436" s="164"/>
      <c r="P436" s="65"/>
      <c r="Q436" s="13"/>
      <c r="R436" s="13"/>
      <c r="S436" s="65"/>
      <c r="T436" s="65"/>
      <c r="U436" s="65"/>
      <c r="V436" s="65"/>
      <c r="W436" s="65"/>
      <c r="X436" s="65"/>
      <c r="Y436" s="65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0000" customHeight="1">
      <c r="A437" s="156" t="s">
        <v>116</v>
      </c>
      <c r="B437" s="88"/>
      <c r="C437" s="279"/>
      <c r="D437" s="279"/>
      <c r="E437" s="158">
        <f>F437*120%</f>
        <v>0</v>
      </c>
      <c r="F437" s="158">
        <f>(D437-C437+1)*G437</f>
        <v>0</v>
      </c>
      <c r="G437" s="159">
        <f>M437*40</f>
        <v>0</v>
      </c>
      <c r="H437" s="162"/>
      <c r="I437" s="65"/>
      <c r="J437" s="162"/>
      <c r="K437" s="65"/>
      <c r="L437" s="162"/>
      <c r="M437" s="162"/>
      <c r="N437" s="163"/>
      <c r="O437" s="190"/>
      <c r="P437" s="65"/>
      <c r="Q437" s="13"/>
      <c r="R437" s="13"/>
      <c r="S437" s="65"/>
      <c r="T437" s="65"/>
      <c r="U437" s="65"/>
      <c r="V437" s="65"/>
      <c r="W437" s="65"/>
      <c r="X437" s="65"/>
      <c r="Y437" s="65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0000" customHeight="1">
      <c r="B438" s="88"/>
      <c r="H438" s="162"/>
      <c r="I438" s="65"/>
      <c r="J438" s="162"/>
      <c r="K438" s="65"/>
      <c r="L438" s="162"/>
      <c r="O438" s="190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0000" customHeight="1">
      <c r="B439" s="88"/>
      <c r="H439" s="65"/>
      <c r="I439" s="65"/>
      <c r="J439" s="162"/>
      <c r="K439" s="65"/>
      <c r="L439" s="162"/>
      <c r="O439" s="190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0000" customHeight="1">
      <c r="B440" s="88"/>
      <c r="H440" s="65"/>
      <c r="I440" s="65"/>
      <c r="J440" s="162"/>
      <c r="K440" s="65"/>
      <c r="L440" s="162"/>
      <c r="O440" s="190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0000" customHeight="1">
      <c r="B441" s="88"/>
      <c r="H441" s="169"/>
      <c r="I441" s="65"/>
      <c r="J441" s="162"/>
      <c r="K441" s="65"/>
      <c r="L441" s="162"/>
      <c r="O441" s="190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0000" customHeight="1">
      <c r="A442" s="156" t="s">
        <v>116</v>
      </c>
      <c r="B442" s="88"/>
      <c r="C442" s="279"/>
      <c r="D442" s="279"/>
      <c r="E442" s="158">
        <f>F442*120%</f>
        <v>0</v>
      </c>
      <c r="F442" s="158">
        <f>(D442-C442+1)*G442</f>
        <v>0</v>
      </c>
      <c r="G442" s="159">
        <f>M442*40</f>
        <v>0</v>
      </c>
      <c r="H442" s="162"/>
      <c r="I442" s="65"/>
      <c r="J442" s="162"/>
      <c r="K442" s="65"/>
      <c r="L442" s="162"/>
      <c r="M442" s="162"/>
      <c r="N442" s="163"/>
      <c r="O442" s="164"/>
      <c r="P442" s="65"/>
      <c r="Q442" s="13"/>
      <c r="R442" s="13"/>
      <c r="S442" s="65"/>
      <c r="T442" s="65"/>
      <c r="U442" s="65"/>
      <c r="V442" s="65"/>
      <c r="W442" s="65"/>
      <c r="X442" s="65"/>
      <c r="Y442" s="65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0000" customHeight="1">
      <c r="B443" s="88"/>
      <c r="H443" s="162"/>
      <c r="I443" s="65"/>
      <c r="J443" s="162"/>
      <c r="K443" s="65"/>
      <c r="L443" s="162"/>
      <c r="O443" s="164"/>
      <c r="P443" s="65"/>
      <c r="Q443" s="13"/>
      <c r="R443" s="13"/>
      <c r="S443" s="65"/>
      <c r="T443" s="65"/>
      <c r="U443" s="65"/>
      <c r="V443" s="65"/>
      <c r="W443" s="65"/>
      <c r="X443" s="65"/>
      <c r="Y443" s="65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0000" customHeight="1">
      <c r="B444" s="88"/>
      <c r="H444" s="162"/>
      <c r="I444" s="65"/>
      <c r="J444" s="162"/>
      <c r="K444" s="65"/>
      <c r="L444" s="162"/>
      <c r="O444" s="164"/>
      <c r="P444" s="65"/>
      <c r="Q444" s="13"/>
      <c r="R444" s="13"/>
      <c r="S444" s="65"/>
      <c r="T444" s="65"/>
      <c r="U444" s="65"/>
      <c r="V444" s="65"/>
      <c r="W444" s="65"/>
      <c r="X444" s="65"/>
      <c r="Y444" s="65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0000" customHeight="1">
      <c r="B445" s="88"/>
      <c r="H445" s="162"/>
      <c r="I445" s="65"/>
      <c r="J445" s="162"/>
      <c r="K445" s="188"/>
      <c r="L445" s="162"/>
      <c r="O445" s="164"/>
      <c r="P445" s="65"/>
      <c r="Q445" s="13"/>
      <c r="R445" s="13"/>
      <c r="S445" s="65"/>
      <c r="T445" s="65"/>
      <c r="U445" s="65"/>
      <c r="V445" s="65"/>
      <c r="W445" s="65"/>
      <c r="X445" s="65"/>
      <c r="Y445" s="65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0000" customHeight="1">
      <c r="B446" s="88"/>
      <c r="H446" s="220"/>
      <c r="I446" s="65"/>
      <c r="J446" s="162"/>
      <c r="K446" s="188"/>
      <c r="L446" s="162"/>
      <c r="O446" s="164"/>
      <c r="P446" s="65"/>
      <c r="Q446" s="13"/>
      <c r="R446" s="13"/>
      <c r="S446" s="65"/>
      <c r="T446" s="65"/>
      <c r="U446" s="65"/>
      <c r="V446" s="65"/>
      <c r="W446" s="65"/>
      <c r="X446" s="65"/>
      <c r="Y446" s="65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0000" customHeight="1">
      <c r="A447" s="156" t="s">
        <v>116</v>
      </c>
      <c r="B447" s="88"/>
      <c r="C447" s="279"/>
      <c r="D447" s="472"/>
      <c r="E447" s="158">
        <f>F447*120%</f>
        <v>0</v>
      </c>
      <c r="F447" s="158">
        <f>(D447-C447+1)*G447</f>
        <v>0</v>
      </c>
      <c r="G447" s="159">
        <f>M447*40</f>
        <v>0</v>
      </c>
      <c r="H447" s="277"/>
      <c r="I447" s="65"/>
      <c r="J447" s="467"/>
      <c r="K447" s="188"/>
      <c r="L447" s="162"/>
      <c r="M447" s="162"/>
      <c r="N447" s="163"/>
      <c r="O447" s="164"/>
      <c r="P447" s="65"/>
      <c r="Q447" s="13"/>
      <c r="R447" s="13"/>
      <c r="S447" s="65"/>
      <c r="T447" s="65"/>
      <c r="U447" s="65"/>
      <c r="V447" s="65"/>
      <c r="W447" s="65"/>
      <c r="X447" s="65"/>
      <c r="Y447" s="65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0000" customHeight="1">
      <c r="B448" s="88"/>
      <c r="H448" s="277"/>
      <c r="I448" s="65"/>
      <c r="J448" s="467"/>
      <c r="K448" s="188"/>
      <c r="L448" s="162"/>
      <c r="O448" s="164"/>
      <c r="P448" s="65"/>
      <c r="Q448" s="13"/>
      <c r="R448" s="13"/>
      <c r="S448" s="65"/>
      <c r="T448" s="65"/>
      <c r="U448" s="65"/>
      <c r="V448" s="65"/>
      <c r="W448" s="65"/>
      <c r="X448" s="65"/>
      <c r="Y448" s="65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0000" customHeight="1">
      <c r="B449" s="88"/>
      <c r="H449" s="277"/>
      <c r="I449" s="65"/>
      <c r="J449" s="467"/>
      <c r="K449" s="188"/>
      <c r="L449" s="162"/>
      <c r="O449" s="164"/>
      <c r="P449" s="65"/>
      <c r="Q449" s="13"/>
      <c r="R449" s="13"/>
      <c r="S449" s="65"/>
      <c r="T449" s="65"/>
      <c r="U449" s="65"/>
      <c r="V449" s="65"/>
      <c r="W449" s="65"/>
      <c r="X449" s="65"/>
      <c r="Y449" s="65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0000" customHeight="1">
      <c r="B450" s="88"/>
      <c r="H450" s="277"/>
      <c r="I450" s="65"/>
      <c r="J450" s="467"/>
      <c r="K450" s="65"/>
      <c r="L450" s="162"/>
      <c r="O450" s="164"/>
      <c r="P450" s="65"/>
      <c r="Q450" s="13"/>
      <c r="R450" s="13"/>
      <c r="S450" s="65"/>
      <c r="T450" s="65"/>
      <c r="U450" s="65"/>
      <c r="V450" s="65"/>
      <c r="W450" s="65"/>
      <c r="X450" s="65"/>
      <c r="Y450" s="65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0000" customHeight="1">
      <c r="B451" s="88"/>
      <c r="H451" s="169"/>
      <c r="I451" s="65"/>
      <c r="J451" s="162"/>
      <c r="K451" s="65"/>
      <c r="L451" s="162"/>
      <c r="O451" s="164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0000" customHeight="1">
      <c r="A452" s="156" t="s">
        <v>116</v>
      </c>
      <c r="B452" s="88"/>
      <c r="C452" s="279"/>
      <c r="D452" s="472"/>
      <c r="E452" s="158">
        <f>F452*120%</f>
        <v>0</v>
      </c>
      <c r="F452" s="158">
        <f>(D452-C452+1)*G452</f>
        <v>0</v>
      </c>
      <c r="G452" s="159">
        <f>M452*40</f>
        <v>0</v>
      </c>
      <c r="H452" s="162"/>
      <c r="I452" s="65"/>
      <c r="J452" s="467"/>
      <c r="K452" s="188"/>
      <c r="L452" s="162"/>
      <c r="M452" s="162"/>
      <c r="N452" s="163"/>
      <c r="O452" s="65"/>
      <c r="P452" s="65"/>
      <c r="Q452" s="13"/>
      <c r="R452" s="13"/>
      <c r="S452" s="65"/>
      <c r="T452" s="65"/>
      <c r="U452" s="65"/>
      <c r="V452" s="65"/>
      <c r="W452" s="65"/>
      <c r="X452" s="65"/>
      <c r="Y452" s="65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0000" customHeight="1">
      <c r="B453" s="88"/>
      <c r="H453" s="162"/>
      <c r="I453" s="65"/>
      <c r="J453" s="467"/>
      <c r="K453" s="188"/>
      <c r="L453" s="162"/>
      <c r="O453" s="65"/>
      <c r="P453" s="65"/>
      <c r="Q453" s="13"/>
      <c r="R453" s="13"/>
      <c r="S453" s="65"/>
      <c r="T453" s="65"/>
      <c r="U453" s="65"/>
      <c r="V453" s="65"/>
      <c r="W453" s="65"/>
      <c r="X453" s="65"/>
      <c r="Y453" s="65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0000" customHeight="1">
      <c r="B454" s="88"/>
      <c r="H454" s="162"/>
      <c r="I454" s="65"/>
      <c r="J454" s="467"/>
      <c r="K454" s="188"/>
      <c r="L454" s="162"/>
      <c r="O454" s="65"/>
      <c r="P454" s="65"/>
      <c r="Q454" s="13"/>
      <c r="R454" s="13"/>
      <c r="S454" s="65"/>
      <c r="T454" s="65"/>
      <c r="U454" s="65"/>
      <c r="V454" s="65"/>
      <c r="W454" s="65"/>
      <c r="X454" s="65"/>
      <c r="Y454" s="65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0000" customHeight="1">
      <c r="B455" s="88"/>
      <c r="H455" s="162"/>
      <c r="I455" s="65"/>
      <c r="J455" s="467"/>
      <c r="K455" s="65"/>
      <c r="L455" s="162"/>
      <c r="O455" s="65"/>
      <c r="P455" s="65"/>
      <c r="Q455" s="13"/>
      <c r="R455" s="13"/>
      <c r="S455" s="65"/>
      <c r="T455" s="65"/>
      <c r="U455" s="65"/>
      <c r="V455" s="65"/>
      <c r="W455" s="65"/>
      <c r="X455" s="65"/>
      <c r="Y455" s="65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0000" customHeight="1">
      <c r="B456" s="88"/>
      <c r="H456" s="169"/>
      <c r="I456" s="65"/>
      <c r="J456" s="162"/>
      <c r="K456" s="65"/>
      <c r="L456" s="162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0000" customHeight="1">
      <c r="A457" s="156" t="s">
        <v>116</v>
      </c>
      <c r="B457" s="88"/>
      <c r="C457" s="279"/>
      <c r="D457" s="472"/>
      <c r="E457" s="158">
        <f>F457*120%</f>
        <v>0</v>
      </c>
      <c r="F457" s="158">
        <f>(D457-C457+1)*G457</f>
        <v>0</v>
      </c>
      <c r="G457" s="159">
        <f>M457*40</f>
        <v>0</v>
      </c>
      <c r="H457" s="162"/>
      <c r="I457" s="65"/>
      <c r="J457" s="162"/>
      <c r="K457" s="65"/>
      <c r="L457" s="162"/>
      <c r="M457" s="162"/>
      <c r="N457" s="163"/>
      <c r="O457" s="65"/>
      <c r="P457" s="65"/>
      <c r="Q457" s="13"/>
      <c r="R457" s="13"/>
      <c r="S457" s="65"/>
      <c r="T457" s="65"/>
      <c r="U457" s="65"/>
      <c r="V457" s="65"/>
      <c r="W457" s="65"/>
      <c r="X457" s="65"/>
      <c r="Y457" s="65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0000" customHeight="1">
      <c r="B458" s="88"/>
      <c r="H458" s="162"/>
      <c r="I458" s="65"/>
      <c r="J458" s="162"/>
      <c r="K458" s="65"/>
      <c r="L458" s="162"/>
      <c r="O458" s="65"/>
      <c r="P458" s="65"/>
      <c r="Q458" s="13"/>
      <c r="R458" s="13"/>
      <c r="S458" s="65"/>
      <c r="T458" s="65"/>
      <c r="U458" s="65"/>
      <c r="V458" s="65"/>
      <c r="W458" s="65"/>
      <c r="X458" s="65"/>
      <c r="Y458" s="65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0000" customHeight="1">
      <c r="B459" s="88"/>
      <c r="H459" s="162"/>
      <c r="I459" s="65"/>
      <c r="J459" s="162"/>
      <c r="K459" s="65"/>
      <c r="L459" s="162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0000" customHeight="1">
      <c r="B460" s="88"/>
      <c r="H460" s="162"/>
      <c r="I460" s="65"/>
      <c r="J460" s="162"/>
      <c r="K460" s="65"/>
      <c r="L460" s="162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0000" customHeight="1">
      <c r="B461" s="88"/>
      <c r="H461" s="220"/>
      <c r="I461" s="65"/>
      <c r="J461" s="162"/>
      <c r="K461" s="65"/>
      <c r="L461" s="162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0000" customHeight="1">
      <c r="A462" s="156" t="s">
        <v>116</v>
      </c>
      <c r="B462" s="88"/>
      <c r="C462" s="279"/>
      <c r="D462" s="279"/>
      <c r="E462" s="158">
        <f>F462*120%</f>
        <v>0</v>
      </c>
      <c r="F462" s="158">
        <f>(D462-C462+1)*G462</f>
        <v>0</v>
      </c>
      <c r="G462" s="159">
        <f>M462*40</f>
        <v>0</v>
      </c>
      <c r="H462" s="162"/>
      <c r="I462" s="65"/>
      <c r="J462" s="162"/>
      <c r="K462" s="65"/>
      <c r="L462" s="162"/>
      <c r="M462" s="162"/>
      <c r="N462" s="163"/>
      <c r="O462" s="65"/>
      <c r="P462" s="65"/>
      <c r="Q462" s="13"/>
      <c r="R462" s="13"/>
      <c r="S462" s="65"/>
      <c r="T462" s="65"/>
      <c r="U462" s="65"/>
      <c r="V462" s="65"/>
      <c r="W462" s="65"/>
      <c r="X462" s="65"/>
      <c r="Y462" s="65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0000" customHeight="1">
      <c r="B463" s="88"/>
      <c r="H463" s="162"/>
      <c r="I463" s="65"/>
      <c r="J463" s="162"/>
      <c r="K463" s="65"/>
      <c r="L463" s="162"/>
      <c r="O463" s="65"/>
      <c r="P463" s="65"/>
      <c r="Q463" s="13"/>
      <c r="R463" s="13"/>
      <c r="S463" s="65"/>
      <c r="T463" s="65"/>
      <c r="U463" s="65"/>
      <c r="V463" s="65"/>
      <c r="W463" s="65"/>
      <c r="X463" s="65"/>
      <c r="Y463" s="65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0000" customHeight="1">
      <c r="B464" s="88"/>
      <c r="H464" s="162"/>
      <c r="I464" s="65"/>
      <c r="J464" s="162"/>
      <c r="K464" s="65"/>
      <c r="L464" s="162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0000" customHeight="1">
      <c r="B465" s="88"/>
      <c r="H465" s="65"/>
      <c r="I465" s="65"/>
      <c r="J465" s="162"/>
      <c r="K465" s="65"/>
      <c r="L465" s="162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0000" customHeight="1">
      <c r="B466" s="88"/>
      <c r="H466" s="169"/>
      <c r="I466" s="65"/>
      <c r="J466" s="65"/>
      <c r="K466" s="65"/>
      <c r="L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0000" customHeight="1">
      <c r="A467" s="156" t="s">
        <v>116</v>
      </c>
      <c r="B467" s="88"/>
      <c r="C467" s="279"/>
      <c r="D467" s="279"/>
      <c r="E467" s="158">
        <f>F467*120%</f>
        <v>0</v>
      </c>
      <c r="F467" s="158">
        <f>(D467-C467+1)*G467</f>
        <v>0</v>
      </c>
      <c r="G467" s="159">
        <f>M467*40</f>
        <v>0</v>
      </c>
      <c r="H467" s="162"/>
      <c r="I467" s="65"/>
      <c r="J467" s="162"/>
      <c r="K467" s="65"/>
      <c r="L467" s="162"/>
      <c r="M467" s="162"/>
      <c r="N467" s="163"/>
      <c r="O467" s="65"/>
      <c r="P467" s="65"/>
      <c r="Q467" s="13"/>
      <c r="R467" s="13"/>
      <c r="S467" s="65"/>
      <c r="T467" s="65"/>
      <c r="U467" s="65"/>
      <c r="V467" s="65"/>
      <c r="W467" s="65"/>
      <c r="X467" s="65"/>
      <c r="Y467" s="65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0000" customHeight="1">
      <c r="B468" s="88"/>
      <c r="H468" s="162"/>
      <c r="I468" s="65"/>
      <c r="J468" s="162"/>
      <c r="K468" s="188"/>
      <c r="L468" s="162"/>
      <c r="O468" s="65"/>
      <c r="P468" s="65"/>
      <c r="Q468" s="13"/>
      <c r="R468" s="13"/>
      <c r="S468" s="65"/>
      <c r="T468" s="65"/>
      <c r="U468" s="65"/>
      <c r="V468" s="65"/>
      <c r="W468" s="65"/>
      <c r="X468" s="65"/>
      <c r="Y468" s="65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0000" customHeight="1">
      <c r="B469" s="88"/>
      <c r="H469" s="162"/>
      <c r="I469" s="65"/>
      <c r="J469" s="162"/>
      <c r="K469" s="188"/>
      <c r="L469" s="162"/>
      <c r="O469" s="65"/>
      <c r="P469" s="65"/>
      <c r="Q469" s="13"/>
      <c r="R469" s="13"/>
      <c r="S469" s="65"/>
      <c r="T469" s="65"/>
      <c r="U469" s="65"/>
      <c r="V469" s="65"/>
      <c r="W469" s="65"/>
      <c r="X469" s="65"/>
      <c r="Y469" s="65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0000" customHeight="1">
      <c r="B470" s="88"/>
      <c r="H470" s="162"/>
      <c r="I470" s="65"/>
      <c r="J470" s="162"/>
      <c r="K470" s="65"/>
      <c r="L470" s="162"/>
      <c r="O470" s="65"/>
      <c r="P470" s="65"/>
      <c r="Q470" s="13"/>
      <c r="R470" s="13"/>
      <c r="S470" s="65"/>
      <c r="T470" s="65"/>
      <c r="U470" s="65"/>
      <c r="V470" s="65"/>
      <c r="W470" s="65"/>
      <c r="X470" s="65"/>
      <c r="Y470" s="65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0000" customHeight="1">
      <c r="B471" s="88"/>
      <c r="H471" s="169"/>
      <c r="I471" s="65"/>
      <c r="J471" s="65"/>
      <c r="K471" s="65"/>
      <c r="L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0000" customHeight="1">
      <c r="A472" s="156" t="s">
        <v>116</v>
      </c>
      <c r="B472" s="88"/>
      <c r="C472" s="279"/>
      <c r="D472" s="279"/>
      <c r="E472" s="158">
        <f>F472*120%</f>
        <v>0</v>
      </c>
      <c r="F472" s="158">
        <f>(D472-C472+1)*G472</f>
        <v>0</v>
      </c>
      <c r="G472" s="159">
        <f>M472*40</f>
        <v>0</v>
      </c>
      <c r="H472" s="162"/>
      <c r="I472" s="65"/>
      <c r="J472" s="162"/>
      <c r="K472" s="65"/>
      <c r="L472" s="162"/>
      <c r="M472" s="162"/>
      <c r="N472" s="163"/>
      <c r="O472" s="164"/>
      <c r="P472" s="65"/>
      <c r="Q472" s="13"/>
      <c r="R472" s="13"/>
      <c r="S472" s="65"/>
      <c r="T472" s="65"/>
      <c r="U472" s="65"/>
      <c r="V472" s="65"/>
      <c r="W472" s="65"/>
      <c r="X472" s="65"/>
      <c r="Y472" s="65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0000" customHeight="1">
      <c r="B473" s="88"/>
      <c r="H473" s="162"/>
      <c r="I473" s="65"/>
      <c r="J473" s="162"/>
      <c r="K473" s="188"/>
      <c r="L473" s="162"/>
      <c r="O473" s="164"/>
      <c r="P473" s="65"/>
      <c r="Q473" s="13"/>
      <c r="R473" s="13"/>
      <c r="S473" s="65"/>
      <c r="T473" s="65"/>
      <c r="U473" s="65"/>
      <c r="V473" s="65"/>
      <c r="W473" s="65"/>
      <c r="X473" s="65"/>
      <c r="Y473" s="65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0000" customHeight="1">
      <c r="B474" s="88"/>
      <c r="H474" s="162"/>
      <c r="I474" s="65"/>
      <c r="J474" s="162"/>
      <c r="K474" s="188"/>
      <c r="L474" s="162"/>
      <c r="O474" s="164"/>
      <c r="P474" s="65"/>
      <c r="Q474" s="13"/>
      <c r="R474" s="13"/>
      <c r="S474" s="65"/>
      <c r="T474" s="65"/>
      <c r="U474" s="65"/>
      <c r="V474" s="65"/>
      <c r="W474" s="65"/>
      <c r="X474" s="65"/>
      <c r="Y474" s="65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0000" customHeight="1">
      <c r="B475" s="88"/>
      <c r="H475" s="162"/>
      <c r="I475" s="65"/>
      <c r="J475" s="162"/>
      <c r="K475" s="65"/>
      <c r="L475" s="162"/>
      <c r="O475" s="164"/>
      <c r="P475" s="65"/>
      <c r="Q475" s="13"/>
      <c r="R475" s="13"/>
      <c r="S475" s="65"/>
      <c r="T475" s="65"/>
      <c r="U475" s="65"/>
      <c r="V475" s="65"/>
      <c r="W475" s="65"/>
      <c r="X475" s="65"/>
      <c r="Y475" s="65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0000" customHeight="1">
      <c r="B476" s="88"/>
      <c r="H476" s="169"/>
      <c r="I476" s="65"/>
      <c r="J476" s="65"/>
      <c r="K476" s="65"/>
      <c r="L476" s="65"/>
      <c r="O476" s="164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0000" customHeight="1">
      <c r="A477" s="156" t="s">
        <v>116</v>
      </c>
      <c r="B477" s="88"/>
      <c r="C477" s="279"/>
      <c r="D477" s="279"/>
      <c r="E477" s="158">
        <f>F477*120%</f>
        <v>0</v>
      </c>
      <c r="F477" s="158">
        <f>(D477-C477+1)*G477</f>
        <v>0</v>
      </c>
      <c r="G477" s="159">
        <f>M477*40</f>
        <v>0</v>
      </c>
      <c r="H477" s="162"/>
      <c r="I477" s="65"/>
      <c r="J477" s="162"/>
      <c r="K477" s="65"/>
      <c r="L477" s="162"/>
      <c r="M477" s="162"/>
      <c r="N477" s="163"/>
      <c r="O477" s="164"/>
      <c r="P477" s="65"/>
      <c r="Q477" s="13"/>
      <c r="R477" s="13"/>
      <c r="S477" s="65"/>
      <c r="T477" s="65"/>
      <c r="U477" s="65"/>
      <c r="V477" s="65"/>
      <c r="W477" s="65"/>
      <c r="X477" s="65"/>
      <c r="Y477" s="65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0000" customHeight="1">
      <c r="B478" s="88"/>
      <c r="H478" s="162"/>
      <c r="I478" s="65"/>
      <c r="J478" s="162"/>
      <c r="K478" s="65"/>
      <c r="L478" s="162"/>
      <c r="O478" s="164"/>
      <c r="P478" s="65"/>
      <c r="Q478" s="13"/>
      <c r="R478" s="13"/>
      <c r="S478" s="65"/>
      <c r="T478" s="65"/>
      <c r="U478" s="65"/>
      <c r="V478" s="65"/>
      <c r="W478" s="65"/>
      <c r="X478" s="65"/>
      <c r="Y478" s="65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0000" customHeight="1">
      <c r="B479" s="88"/>
      <c r="H479" s="162"/>
      <c r="I479" s="65"/>
      <c r="J479" s="162"/>
      <c r="K479" s="188"/>
      <c r="L479" s="162"/>
      <c r="O479" s="164"/>
      <c r="P479" s="65"/>
      <c r="Q479" s="13"/>
      <c r="R479" s="13"/>
      <c r="S479" s="65"/>
      <c r="T479" s="65"/>
      <c r="U479" s="65"/>
      <c r="V479" s="65"/>
      <c r="W479" s="65"/>
      <c r="X479" s="65"/>
      <c r="Y479" s="65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0000" customHeight="1">
      <c r="B480" s="88"/>
      <c r="H480" s="65"/>
      <c r="I480" s="65"/>
      <c r="J480" s="65"/>
      <c r="K480" s="65"/>
      <c r="L480" s="65"/>
      <c r="O480" s="164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0000" customHeight="1">
      <c r="B481" s="88"/>
      <c r="H481" s="169"/>
      <c r="I481" s="65"/>
      <c r="J481" s="65"/>
      <c r="K481" s="65"/>
      <c r="L481" s="65"/>
      <c r="O481" s="164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0000" customHeight="1">
      <c r="A482" s="156" t="s">
        <v>116</v>
      </c>
      <c r="B482" s="88"/>
      <c r="C482" s="279"/>
      <c r="D482" s="279"/>
      <c r="E482" s="158">
        <f>F482*120%</f>
        <v>0</v>
      </c>
      <c r="F482" s="158">
        <f>(D482-C482+1)*G482</f>
        <v>0</v>
      </c>
      <c r="G482" s="159">
        <f>M482*40</f>
        <v>0</v>
      </c>
      <c r="H482" s="162"/>
      <c r="I482" s="65"/>
      <c r="J482" s="162"/>
      <c r="K482" s="65"/>
      <c r="L482" s="162"/>
      <c r="M482" s="162"/>
      <c r="N482" s="163"/>
      <c r="O482" s="164"/>
      <c r="P482" s="65"/>
      <c r="Q482" s="13"/>
      <c r="R482" s="13"/>
      <c r="S482" s="65"/>
      <c r="T482" s="65"/>
      <c r="U482" s="65"/>
      <c r="V482" s="65"/>
      <c r="W482" s="65"/>
      <c r="X482" s="65"/>
      <c r="Y482" s="65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0000" customHeight="1">
      <c r="B483" s="88"/>
      <c r="H483" s="162"/>
      <c r="I483" s="65"/>
      <c r="J483" s="162"/>
      <c r="K483" s="188"/>
      <c r="L483" s="162"/>
      <c r="O483" s="164"/>
      <c r="P483" s="65"/>
      <c r="Q483" s="13"/>
      <c r="R483" s="13"/>
      <c r="S483" s="65"/>
      <c r="T483" s="65"/>
      <c r="U483" s="65"/>
      <c r="V483" s="65"/>
      <c r="W483" s="65"/>
      <c r="X483" s="65"/>
      <c r="Y483" s="65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0000" customHeight="1">
      <c r="B484" s="88"/>
      <c r="H484" s="162"/>
      <c r="I484" s="65"/>
      <c r="J484" s="162"/>
      <c r="K484" s="188"/>
      <c r="L484" s="162"/>
      <c r="O484" s="164"/>
      <c r="P484" s="65"/>
      <c r="Q484" s="13"/>
      <c r="R484" s="13"/>
      <c r="S484" s="65"/>
      <c r="T484" s="65"/>
      <c r="U484" s="65"/>
      <c r="V484" s="65"/>
      <c r="W484" s="65"/>
      <c r="X484" s="65"/>
      <c r="Y484" s="65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0000" customHeight="1">
      <c r="B485" s="88"/>
      <c r="H485" s="162"/>
      <c r="I485" s="65"/>
      <c r="J485" s="162"/>
      <c r="K485" s="65"/>
      <c r="L485" s="162"/>
      <c r="O485" s="164"/>
      <c r="P485" s="65"/>
      <c r="Q485" s="13"/>
      <c r="R485" s="13"/>
      <c r="S485" s="65"/>
      <c r="T485" s="65"/>
      <c r="U485" s="65"/>
      <c r="V485" s="65"/>
      <c r="W485" s="65"/>
      <c r="X485" s="65"/>
      <c r="Y485" s="65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0000" customHeight="1">
      <c r="B486" s="88"/>
      <c r="H486" s="169"/>
      <c r="I486" s="65"/>
      <c r="J486" s="65"/>
      <c r="K486" s="65"/>
      <c r="L486" s="65"/>
      <c r="O486" s="164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0000" customHeight="1">
      <c r="A487" s="156" t="s">
        <v>116</v>
      </c>
      <c r="B487" s="88"/>
      <c r="C487" s="279"/>
      <c r="D487" s="279"/>
      <c r="E487" s="158">
        <f>F487*120%</f>
        <v>0</v>
      </c>
      <c r="F487" s="158">
        <f>(D487-C487+1)*G487</f>
        <v>0</v>
      </c>
      <c r="G487" s="159">
        <f>M487*40</f>
        <v>0</v>
      </c>
      <c r="H487" s="162"/>
      <c r="I487" s="65"/>
      <c r="J487" s="162"/>
      <c r="K487" s="65"/>
      <c r="L487" s="162"/>
      <c r="M487" s="162"/>
      <c r="N487" s="163"/>
      <c r="O487" s="164"/>
      <c r="P487" s="65"/>
      <c r="Q487" s="13"/>
      <c r="R487" s="13"/>
      <c r="S487" s="65"/>
      <c r="T487" s="65"/>
      <c r="U487" s="65"/>
      <c r="V487" s="65"/>
      <c r="W487" s="65"/>
      <c r="X487" s="65"/>
      <c r="Y487" s="65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0000" customHeight="1">
      <c r="B488" s="88"/>
      <c r="H488" s="162"/>
      <c r="I488" s="65"/>
      <c r="J488" s="162"/>
      <c r="K488" s="188"/>
      <c r="L488" s="162"/>
      <c r="O488" s="164"/>
      <c r="P488" s="65"/>
      <c r="Q488" s="13"/>
      <c r="R488" s="13"/>
      <c r="S488" s="65"/>
      <c r="T488" s="65"/>
      <c r="U488" s="65"/>
      <c r="V488" s="65"/>
      <c r="W488" s="65"/>
      <c r="X488" s="65"/>
      <c r="Y488" s="65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0000" customHeight="1">
      <c r="B489" s="88"/>
      <c r="H489" s="162"/>
      <c r="I489" s="65"/>
      <c r="J489" s="162"/>
      <c r="K489" s="188"/>
      <c r="L489" s="162"/>
      <c r="O489" s="164"/>
      <c r="P489" s="65"/>
      <c r="Q489" s="13"/>
      <c r="R489" s="13"/>
      <c r="S489" s="65"/>
      <c r="T489" s="65"/>
      <c r="U489" s="65"/>
      <c r="V489" s="65"/>
      <c r="W489" s="65"/>
      <c r="X489" s="65"/>
      <c r="Y489" s="65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0000" customHeight="1">
      <c r="B490" s="88"/>
      <c r="H490" s="162"/>
      <c r="I490" s="65"/>
      <c r="J490" s="162"/>
      <c r="K490" s="65"/>
      <c r="L490" s="162"/>
      <c r="O490" s="164"/>
      <c r="P490" s="65"/>
      <c r="Q490" s="13"/>
      <c r="R490" s="13"/>
      <c r="S490" s="65"/>
      <c r="T490" s="65"/>
      <c r="U490" s="65"/>
      <c r="V490" s="65"/>
      <c r="W490" s="65"/>
      <c r="X490" s="65"/>
      <c r="Y490" s="65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0000" customHeight="1">
      <c r="B491" s="88"/>
      <c r="H491" s="169"/>
      <c r="I491" s="65"/>
      <c r="J491" s="65"/>
      <c r="K491" s="65"/>
      <c r="L491" s="65"/>
      <c r="O491" s="164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0000" customHeight="1">
      <c r="A492" s="156" t="s">
        <v>116</v>
      </c>
      <c r="B492" s="88"/>
      <c r="C492" s="279"/>
      <c r="D492" s="279"/>
      <c r="E492" s="158">
        <f>F492*120%</f>
        <v>0</v>
      </c>
      <c r="F492" s="158">
        <f>(D492-C492+1)*G492</f>
        <v>0</v>
      </c>
      <c r="G492" s="159">
        <f>M492*40</f>
        <v>0</v>
      </c>
      <c r="H492" s="162"/>
      <c r="I492" s="65"/>
      <c r="J492" s="162"/>
      <c r="K492" s="65"/>
      <c r="L492" s="162"/>
      <c r="M492" s="162"/>
      <c r="N492" s="163"/>
      <c r="O492" s="164"/>
      <c r="P492" s="65"/>
      <c r="Q492" s="13"/>
      <c r="R492" s="13"/>
      <c r="S492" s="65"/>
      <c r="T492" s="65"/>
      <c r="U492" s="65"/>
      <c r="V492" s="65"/>
      <c r="W492" s="65"/>
      <c r="X492" s="65"/>
      <c r="Y492" s="65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0000" customHeight="1">
      <c r="B493" s="88"/>
      <c r="H493" s="162"/>
      <c r="I493" s="65"/>
      <c r="J493" s="162"/>
      <c r="K493" s="188"/>
      <c r="L493" s="162"/>
      <c r="O493" s="164"/>
      <c r="P493" s="65"/>
      <c r="Q493" s="13"/>
      <c r="R493" s="13"/>
      <c r="S493" s="65"/>
      <c r="T493" s="65"/>
      <c r="U493" s="65"/>
      <c r="V493" s="65"/>
      <c r="W493" s="65"/>
      <c r="X493" s="65"/>
      <c r="Y493" s="65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0000" customHeight="1">
      <c r="B494" s="88"/>
      <c r="H494" s="65"/>
      <c r="I494" s="65"/>
      <c r="J494" s="65"/>
      <c r="K494" s="65"/>
      <c r="L494" s="65"/>
      <c r="O494" s="164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0000" customHeight="1">
      <c r="B495" s="88"/>
      <c r="H495" s="65"/>
      <c r="I495" s="65"/>
      <c r="J495" s="65"/>
      <c r="K495" s="65"/>
      <c r="L495" s="65"/>
      <c r="O495" s="164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0000" customHeight="1">
      <c r="B496" s="88"/>
      <c r="H496" s="169"/>
      <c r="I496" s="65"/>
      <c r="J496" s="65"/>
      <c r="K496" s="65"/>
      <c r="L496" s="65"/>
      <c r="O496" s="164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0000" customHeight="1">
      <c r="A497" s="156" t="s">
        <v>116</v>
      </c>
      <c r="B497" s="88"/>
      <c r="C497" s="279"/>
      <c r="D497" s="279"/>
      <c r="E497" s="158">
        <f>F497*120%</f>
        <v>0</v>
      </c>
      <c r="F497" s="158">
        <f>(D497-C497+1)*G497</f>
        <v>0</v>
      </c>
      <c r="G497" s="159">
        <f>M497*40</f>
        <v>0</v>
      </c>
      <c r="H497" s="277"/>
      <c r="I497" s="65"/>
      <c r="J497" s="162"/>
      <c r="K497" s="65"/>
      <c r="L497" s="162"/>
      <c r="M497" s="277"/>
      <c r="N497" s="163"/>
      <c r="O497" s="164"/>
      <c r="P497" s="165"/>
      <c r="Q497" s="13"/>
      <c r="R497" s="13"/>
      <c r="S497" s="65"/>
      <c r="T497" s="65"/>
      <c r="U497" s="165"/>
      <c r="V497" s="165"/>
      <c r="W497" s="165"/>
      <c r="X497" s="165"/>
      <c r="Y497" s="165"/>
      <c r="Z497" s="166"/>
      <c r="AA497" s="166"/>
      <c r="AB497" s="166"/>
      <c r="AC497" s="166"/>
      <c r="AD497" s="166"/>
      <c r="AE497" s="166"/>
      <c r="AF497" s="166"/>
      <c r="AG497" s="166"/>
      <c r="AH497" s="166"/>
    </row>
    <row r="498" spans="1:34" ht="15.750000" customHeight="1">
      <c r="B498" s="88"/>
      <c r="H498" s="447"/>
      <c r="I498" s="65"/>
      <c r="J498" s="277"/>
      <c r="K498" s="188"/>
      <c r="L498" s="277"/>
      <c r="O498" s="164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6"/>
      <c r="AA498" s="166"/>
      <c r="AB498" s="166"/>
      <c r="AC498" s="166"/>
      <c r="AD498" s="166"/>
      <c r="AE498" s="166"/>
      <c r="AF498" s="166"/>
      <c r="AG498" s="166"/>
      <c r="AH498" s="166"/>
    </row>
    <row r="499" spans="1:34" ht="15.750000" customHeight="1">
      <c r="B499" s="166"/>
      <c r="H499" s="447"/>
      <c r="I499" s="65"/>
      <c r="J499" s="277"/>
      <c r="K499" s="65"/>
      <c r="L499" s="277"/>
      <c r="O499" s="164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6"/>
      <c r="AA499" s="166"/>
      <c r="AB499" s="166"/>
      <c r="AC499" s="166"/>
      <c r="AD499" s="166"/>
      <c r="AE499" s="166"/>
      <c r="AF499" s="166"/>
      <c r="AG499" s="166"/>
      <c r="AH499" s="166"/>
    </row>
    <row r="500" spans="1:34" ht="15.750000" customHeight="1">
      <c r="B500" s="166"/>
      <c r="H500" s="277"/>
      <c r="I500" s="65"/>
      <c r="J500" s="277"/>
      <c r="K500" s="65"/>
      <c r="L500" s="277"/>
      <c r="O500" s="164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6"/>
      <c r="AA500" s="166"/>
      <c r="AB500" s="166"/>
      <c r="AC500" s="166"/>
      <c r="AD500" s="166"/>
      <c r="AE500" s="166"/>
      <c r="AF500" s="166"/>
      <c r="AG500" s="166"/>
      <c r="AH500" s="166"/>
    </row>
    <row r="501" spans="1:34" ht="15.750000" customHeight="1">
      <c r="B501" s="166"/>
      <c r="H501" s="460"/>
      <c r="I501" s="65"/>
      <c r="J501" s="277"/>
      <c r="K501" s="65"/>
      <c r="L501" s="277"/>
      <c r="O501" s="164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6"/>
      <c r="AA501" s="166"/>
      <c r="AB501" s="166"/>
      <c r="AC501" s="166"/>
      <c r="AD501" s="166"/>
      <c r="AE501" s="166"/>
      <c r="AF501" s="166"/>
      <c r="AG501" s="166"/>
      <c r="AH501" s="166"/>
    </row>
    <row r="502" spans="1:34" ht="15.750000" customHeight="1">
      <c r="A502" s="156" t="s">
        <v>116</v>
      </c>
      <c r="B502" s="88"/>
      <c r="C502" s="279"/>
      <c r="D502" s="279"/>
      <c r="E502" s="158">
        <f>F502*120%</f>
        <v>0</v>
      </c>
      <c r="F502" s="158">
        <f>(D502-C502+1)*G502</f>
        <v>0</v>
      </c>
      <c r="G502" s="159">
        <f>M502*40</f>
        <v>0</v>
      </c>
      <c r="H502" s="162"/>
      <c r="I502" s="65"/>
      <c r="J502" s="162"/>
      <c r="K502" s="65"/>
      <c r="L502" s="162"/>
      <c r="M502" s="162"/>
      <c r="N502" s="163"/>
      <c r="O502" s="164"/>
      <c r="P502" s="65"/>
      <c r="Q502" s="13"/>
      <c r="R502" s="13"/>
      <c r="S502" s="65"/>
      <c r="T502" s="65"/>
      <c r="U502" s="65"/>
      <c r="V502" s="65"/>
      <c r="W502" s="65"/>
      <c r="X502" s="65"/>
      <c r="Y502" s="65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0000" customHeight="1">
      <c r="B503" s="88"/>
      <c r="H503" s="162"/>
      <c r="I503" s="65"/>
      <c r="J503" s="162"/>
      <c r="K503" s="188"/>
      <c r="L503" s="162"/>
      <c r="O503" s="164"/>
      <c r="P503" s="65"/>
      <c r="Q503" s="13"/>
      <c r="R503" s="13"/>
      <c r="S503" s="65"/>
      <c r="T503" s="65"/>
      <c r="U503" s="65"/>
      <c r="V503" s="65"/>
      <c r="W503" s="65"/>
      <c r="X503" s="65"/>
      <c r="Y503" s="65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0000" customHeight="1">
      <c r="B504" s="88"/>
      <c r="H504" s="162"/>
      <c r="I504" s="65"/>
      <c r="J504" s="162"/>
      <c r="K504" s="188"/>
      <c r="L504" s="162"/>
      <c r="O504" s="164"/>
      <c r="P504" s="65"/>
      <c r="Q504" s="13"/>
      <c r="R504" s="13"/>
      <c r="S504" s="65"/>
      <c r="T504" s="65"/>
      <c r="U504" s="65"/>
      <c r="V504" s="65"/>
      <c r="W504" s="65"/>
      <c r="X504" s="65"/>
      <c r="Y504" s="65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0000" customHeight="1">
      <c r="B505" s="88"/>
      <c r="H505" s="65"/>
      <c r="I505" s="65"/>
      <c r="J505" s="65"/>
      <c r="K505" s="65"/>
      <c r="L505" s="65"/>
      <c r="O505" s="164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0000" customHeight="1">
      <c r="B506" s="88"/>
      <c r="H506" s="169"/>
      <c r="I506" s="65"/>
      <c r="J506" s="65"/>
      <c r="K506" s="65"/>
      <c r="L506" s="65"/>
      <c r="O506" s="164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0000" customHeight="1">
      <c r="A507" s="156" t="s">
        <v>116</v>
      </c>
      <c r="B507" s="88"/>
      <c r="C507" s="279"/>
      <c r="D507" s="279"/>
      <c r="E507" s="158">
        <f>F507*120%</f>
        <v>0</v>
      </c>
      <c r="F507" s="158">
        <f>(D507-C507+1)*G507</f>
        <v>0</v>
      </c>
      <c r="G507" s="159">
        <f>M507*40</f>
        <v>0</v>
      </c>
      <c r="H507" s="162"/>
      <c r="I507" s="65"/>
      <c r="J507" s="467"/>
      <c r="K507" s="188"/>
      <c r="L507" s="162"/>
      <c r="M507" s="162"/>
      <c r="N507" s="163"/>
      <c r="O507" s="164"/>
      <c r="P507" s="65"/>
      <c r="Q507" s="13"/>
      <c r="R507" s="13"/>
      <c r="S507" s="65"/>
      <c r="T507" s="65"/>
      <c r="U507" s="65"/>
      <c r="V507" s="65"/>
      <c r="W507" s="65"/>
      <c r="X507" s="65"/>
      <c r="Y507" s="65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0000" customHeight="1">
      <c r="B508" s="88"/>
      <c r="H508" s="162"/>
      <c r="I508" s="65"/>
      <c r="J508" s="467"/>
      <c r="K508" s="188"/>
      <c r="L508" s="162"/>
      <c r="O508" s="164"/>
      <c r="P508" s="65"/>
      <c r="Q508" s="13"/>
      <c r="R508" s="13"/>
      <c r="S508" s="65"/>
      <c r="T508" s="65"/>
      <c r="U508" s="65"/>
      <c r="V508" s="65"/>
      <c r="W508" s="65"/>
      <c r="X508" s="65"/>
      <c r="Y508" s="65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0000" customHeight="1">
      <c r="B509" s="88"/>
      <c r="H509" s="162"/>
      <c r="I509" s="65"/>
      <c r="J509" s="467"/>
      <c r="K509" s="188"/>
      <c r="L509" s="162"/>
      <c r="O509" s="164"/>
      <c r="P509" s="65"/>
      <c r="Q509" s="13"/>
      <c r="R509" s="13"/>
      <c r="S509" s="65"/>
      <c r="T509" s="65"/>
      <c r="U509" s="65"/>
      <c r="V509" s="65"/>
      <c r="W509" s="65"/>
      <c r="X509" s="65"/>
      <c r="Y509" s="65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0000" customHeight="1">
      <c r="B510" s="88"/>
      <c r="H510" s="162"/>
      <c r="I510" s="65"/>
      <c r="J510" s="467"/>
      <c r="K510" s="65"/>
      <c r="L510" s="162"/>
      <c r="O510" s="164"/>
      <c r="P510" s="65"/>
      <c r="Q510" s="13"/>
      <c r="R510" s="13"/>
      <c r="S510" s="65"/>
      <c r="T510" s="65"/>
      <c r="U510" s="65"/>
      <c r="V510" s="65"/>
      <c r="W510" s="65"/>
      <c r="X510" s="65"/>
      <c r="Y510" s="65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0000" customHeight="1">
      <c r="B511" s="88"/>
      <c r="H511" s="169"/>
      <c r="I511" s="65"/>
      <c r="J511" s="162"/>
      <c r="K511" s="65"/>
      <c r="L511" s="162"/>
      <c r="O511" s="164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0000" customHeight="1">
      <c r="A512" s="156" t="s">
        <v>116</v>
      </c>
      <c r="B512" s="88"/>
      <c r="C512" s="279"/>
      <c r="D512" s="279"/>
      <c r="E512" s="158">
        <f>F512*120%</f>
        <v>0</v>
      </c>
      <c r="F512" s="158">
        <f>(D512-C512+1)*G512</f>
        <v>0</v>
      </c>
      <c r="G512" s="159">
        <f>M512*40</f>
        <v>0</v>
      </c>
      <c r="H512" s="162"/>
      <c r="I512" s="65"/>
      <c r="J512" s="162"/>
      <c r="K512" s="65"/>
      <c r="L512" s="162"/>
      <c r="M512" s="162"/>
      <c r="N512" s="163"/>
      <c r="O512" s="164"/>
      <c r="P512" s="65"/>
      <c r="Q512" s="13"/>
      <c r="R512" s="13"/>
      <c r="S512" s="65"/>
      <c r="T512" s="65"/>
      <c r="U512" s="65"/>
      <c r="V512" s="65"/>
      <c r="W512" s="65"/>
      <c r="X512" s="65"/>
      <c r="Y512" s="65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0000" customHeight="1">
      <c r="B513" s="88"/>
      <c r="H513" s="162"/>
      <c r="I513" s="65"/>
      <c r="J513" s="162"/>
      <c r="K513" s="188"/>
      <c r="L513" s="162"/>
      <c r="O513" s="164"/>
      <c r="P513" s="65"/>
      <c r="Q513" s="13"/>
      <c r="R513" s="13"/>
      <c r="S513" s="65"/>
      <c r="T513" s="65"/>
      <c r="U513" s="65"/>
      <c r="V513" s="65"/>
      <c r="W513" s="65"/>
      <c r="X513" s="65"/>
      <c r="Y513" s="65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0000" customHeight="1">
      <c r="B514" s="88"/>
      <c r="H514" s="162"/>
      <c r="I514" s="65"/>
      <c r="J514" s="162"/>
      <c r="K514" s="188"/>
      <c r="L514" s="162"/>
      <c r="O514" s="164"/>
      <c r="P514" s="65"/>
      <c r="Q514" s="13"/>
      <c r="R514" s="13"/>
      <c r="S514" s="65"/>
      <c r="T514" s="65"/>
      <c r="U514" s="65"/>
      <c r="V514" s="65"/>
      <c r="W514" s="65"/>
      <c r="X514" s="65"/>
      <c r="Y514" s="65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0000" customHeight="1">
      <c r="B515" s="88"/>
      <c r="H515" s="162"/>
      <c r="I515" s="65"/>
      <c r="J515" s="162"/>
      <c r="K515" s="65"/>
      <c r="L515" s="162"/>
      <c r="O515" s="164"/>
      <c r="P515" s="65"/>
      <c r="Q515" s="13"/>
      <c r="R515" s="13"/>
      <c r="S515" s="65"/>
      <c r="T515" s="65"/>
      <c r="U515" s="65"/>
      <c r="V515" s="65"/>
      <c r="W515" s="65"/>
      <c r="X515" s="65"/>
      <c r="Y515" s="65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0000" customHeight="1">
      <c r="B516" s="88"/>
      <c r="H516" s="169"/>
      <c r="I516" s="65"/>
      <c r="J516" s="65"/>
      <c r="K516" s="65"/>
      <c r="L516" s="65"/>
      <c r="O516" s="164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0000" customHeight="1">
      <c r="A517" s="156" t="s">
        <v>116</v>
      </c>
      <c r="B517" s="88"/>
      <c r="C517" s="279"/>
      <c r="D517" s="279"/>
      <c r="E517" s="158">
        <f>F517*120%</f>
        <v>0</v>
      </c>
      <c r="F517" s="158">
        <f>(D517-C517+1)*G517</f>
        <v>0</v>
      </c>
      <c r="G517" s="159">
        <f>M517*40</f>
        <v>0</v>
      </c>
      <c r="H517" s="277"/>
      <c r="I517" s="65"/>
      <c r="J517" s="277"/>
      <c r="K517" s="65"/>
      <c r="L517" s="277"/>
      <c r="M517" s="162"/>
      <c r="N517" s="163"/>
      <c r="O517" s="164"/>
      <c r="P517" s="65"/>
      <c r="Q517" s="13"/>
      <c r="R517" s="13"/>
      <c r="S517" s="65"/>
      <c r="T517" s="65"/>
      <c r="U517" s="65"/>
      <c r="V517" s="65"/>
      <c r="W517" s="65"/>
      <c r="X517" s="65"/>
      <c r="Y517" s="65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0000" customHeight="1">
      <c r="B518" s="88"/>
      <c r="H518" s="277"/>
      <c r="I518" s="65"/>
      <c r="J518" s="277"/>
      <c r="K518" s="188"/>
      <c r="L518" s="277"/>
      <c r="O518" s="164"/>
      <c r="P518" s="65"/>
      <c r="Q518" s="13"/>
      <c r="R518" s="13"/>
      <c r="S518" s="65"/>
      <c r="T518" s="65"/>
      <c r="U518" s="65"/>
      <c r="V518" s="65"/>
      <c r="W518" s="65"/>
      <c r="X518" s="65"/>
      <c r="Y518" s="65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0000" customHeight="1">
      <c r="B519" s="88"/>
      <c r="H519" s="277"/>
      <c r="I519" s="65"/>
      <c r="J519" s="277"/>
      <c r="K519" s="188"/>
      <c r="L519" s="277"/>
      <c r="O519" s="164"/>
      <c r="P519" s="65"/>
      <c r="Q519" s="13"/>
      <c r="R519" s="13"/>
      <c r="S519" s="65"/>
      <c r="T519" s="65"/>
      <c r="U519" s="65"/>
      <c r="V519" s="65"/>
      <c r="W519" s="65"/>
      <c r="X519" s="65"/>
      <c r="Y519" s="65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0000" customHeight="1">
      <c r="B520" s="88"/>
      <c r="H520" s="277"/>
      <c r="I520" s="65"/>
      <c r="J520" s="277"/>
      <c r="K520" s="65"/>
      <c r="L520" s="277"/>
      <c r="O520" s="164"/>
      <c r="P520" s="65"/>
      <c r="Q520" s="13"/>
      <c r="R520" s="13"/>
      <c r="S520" s="65"/>
      <c r="T520" s="65"/>
      <c r="U520" s="65"/>
      <c r="V520" s="65"/>
      <c r="W520" s="65"/>
      <c r="X520" s="65"/>
      <c r="Y520" s="65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0000" customHeight="1">
      <c r="B521" s="88"/>
      <c r="H521" s="169"/>
      <c r="I521" s="65"/>
      <c r="J521" s="162"/>
      <c r="K521" s="65"/>
      <c r="L521" s="162"/>
      <c r="O521" s="164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0000" customHeight="1">
      <c r="A522" s="156" t="s">
        <v>116</v>
      </c>
      <c r="B522" s="88"/>
      <c r="C522" s="279"/>
      <c r="D522" s="279"/>
      <c r="E522" s="158">
        <f>F522*120%</f>
        <v>0</v>
      </c>
      <c r="F522" s="158">
        <f>(D522-C522+1)*G522</f>
        <v>0</v>
      </c>
      <c r="G522" s="159">
        <f>M522*40</f>
        <v>0</v>
      </c>
      <c r="H522" s="162"/>
      <c r="I522" s="65"/>
      <c r="J522" s="162"/>
      <c r="K522" s="65"/>
      <c r="L522" s="162"/>
      <c r="M522" s="162"/>
      <c r="N522" s="163"/>
      <c r="O522" s="164"/>
      <c r="P522" s="65"/>
      <c r="Q522" s="13"/>
      <c r="R522" s="13"/>
      <c r="S522" s="65"/>
      <c r="T522" s="65"/>
      <c r="U522" s="65"/>
      <c r="V522" s="65"/>
      <c r="W522" s="65"/>
      <c r="X522" s="65"/>
      <c r="Y522" s="65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0000" customHeight="1">
      <c r="B523" s="88"/>
      <c r="H523" s="65"/>
      <c r="I523" s="65"/>
      <c r="J523" s="65"/>
      <c r="K523" s="65"/>
      <c r="L523" s="65"/>
      <c r="O523" s="164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0000" customHeight="1">
      <c r="B524" s="88"/>
      <c r="H524" s="65"/>
      <c r="I524" s="65"/>
      <c r="J524" s="65"/>
      <c r="K524" s="65"/>
      <c r="L524" s="65"/>
      <c r="O524" s="164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0000" customHeight="1">
      <c r="B525" s="88"/>
      <c r="H525" s="65"/>
      <c r="I525" s="65"/>
      <c r="J525" s="65"/>
      <c r="K525" s="65"/>
      <c r="L525" s="65"/>
      <c r="O525" s="164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0000" customHeight="1">
      <c r="B526" s="88"/>
      <c r="H526" s="169"/>
      <c r="I526" s="65"/>
      <c r="J526" s="65"/>
      <c r="K526" s="65"/>
      <c r="L526" s="65"/>
      <c r="O526" s="164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0000" customHeight="1">
      <c r="A527" s="156" t="s">
        <v>116</v>
      </c>
      <c r="B527" s="88"/>
      <c r="C527" s="279"/>
      <c r="D527" s="279"/>
      <c r="E527" s="158">
        <f>F527*120%</f>
        <v>0</v>
      </c>
      <c r="F527" s="158">
        <f>(D527-C527+1)*G527</f>
        <v>0</v>
      </c>
      <c r="G527" s="159">
        <f>M527*40</f>
        <v>0</v>
      </c>
      <c r="H527" s="162"/>
      <c r="I527" s="65"/>
      <c r="J527" s="162"/>
      <c r="K527" s="65"/>
      <c r="L527" s="162"/>
      <c r="M527" s="162"/>
      <c r="N527" s="163"/>
      <c r="O527" s="164"/>
      <c r="P527" s="65"/>
      <c r="Q527" s="13"/>
      <c r="R527" s="13"/>
      <c r="S527" s="65"/>
      <c r="T527" s="65"/>
      <c r="U527" s="65"/>
      <c r="V527" s="65"/>
      <c r="W527" s="65"/>
      <c r="X527" s="65"/>
      <c r="Y527" s="65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0000" customHeight="1">
      <c r="B528" s="88"/>
      <c r="H528" s="162"/>
      <c r="I528" s="65"/>
      <c r="J528" s="162"/>
      <c r="K528" s="188"/>
      <c r="L528" s="162"/>
      <c r="O528" s="164"/>
      <c r="P528" s="65"/>
      <c r="Q528" s="13"/>
      <c r="R528" s="13"/>
      <c r="S528" s="65"/>
      <c r="T528" s="65"/>
      <c r="U528" s="65"/>
      <c r="V528" s="65"/>
      <c r="W528" s="65"/>
      <c r="X528" s="65"/>
      <c r="Y528" s="65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0000" customHeight="1">
      <c r="B529" s="88"/>
      <c r="H529" s="162"/>
      <c r="I529" s="65"/>
      <c r="J529" s="162"/>
      <c r="K529" s="188"/>
      <c r="L529" s="162"/>
      <c r="O529" s="164"/>
      <c r="P529" s="65"/>
      <c r="Q529" s="13"/>
      <c r="R529" s="13"/>
      <c r="S529" s="65"/>
      <c r="T529" s="65"/>
      <c r="U529" s="65"/>
      <c r="V529" s="65"/>
      <c r="W529" s="65"/>
      <c r="X529" s="65"/>
      <c r="Y529" s="65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0000" customHeight="1">
      <c r="B530" s="88"/>
      <c r="H530" s="65"/>
      <c r="I530" s="65"/>
      <c r="J530" s="65"/>
      <c r="K530" s="65"/>
      <c r="L530" s="65"/>
      <c r="O530" s="164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0000" customHeight="1">
      <c r="B531" s="88"/>
      <c r="H531" s="169"/>
      <c r="I531" s="65"/>
      <c r="J531" s="65"/>
      <c r="K531" s="65"/>
      <c r="L531" s="65"/>
      <c r="O531" s="164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0000" customHeight="1">
      <c r="A532" s="156" t="s">
        <v>116</v>
      </c>
      <c r="B532" s="88"/>
      <c r="C532" s="241"/>
      <c r="D532" s="241"/>
      <c r="E532" s="158">
        <f>F532*120%</f>
        <v>0</v>
      </c>
      <c r="F532" s="158">
        <f>(D532-C532+1)*G532</f>
        <v>0</v>
      </c>
      <c r="G532" s="159">
        <f>M532*40</f>
        <v>0</v>
      </c>
      <c r="H532" s="277"/>
      <c r="I532" s="65"/>
      <c r="J532" s="277"/>
      <c r="K532" s="65"/>
      <c r="L532" s="277"/>
      <c r="M532" s="13"/>
      <c r="N532" s="163"/>
      <c r="O532" s="13"/>
      <c r="P532" s="65"/>
      <c r="Q532" s="65"/>
      <c r="R532" s="65"/>
      <c r="S532" s="253"/>
      <c r="T532" s="13"/>
      <c r="U532" s="165"/>
      <c r="V532" s="165"/>
      <c r="W532" s="165"/>
      <c r="X532" s="165"/>
      <c r="Y532" s="165"/>
      <c r="Z532" s="166"/>
      <c r="AA532" s="166"/>
      <c r="AB532" s="166"/>
      <c r="AC532" s="166"/>
      <c r="AD532" s="166"/>
      <c r="AE532" s="166"/>
      <c r="AF532" s="166"/>
      <c r="AG532" s="166"/>
      <c r="AH532" s="166"/>
    </row>
    <row r="533" spans="1:34" ht="15.750000" customHeight="1">
      <c r="B533" s="88"/>
      <c r="H533" s="277"/>
      <c r="I533" s="65"/>
      <c r="J533" s="277"/>
      <c r="K533" s="188"/>
      <c r="L533" s="277"/>
      <c r="O533" s="13"/>
      <c r="P533" s="65"/>
      <c r="Q533" s="65"/>
      <c r="R533" s="65"/>
      <c r="S533" s="253"/>
      <c r="T533" s="13"/>
      <c r="U533" s="165"/>
      <c r="V533" s="165"/>
      <c r="W533" s="165"/>
      <c r="X533" s="165"/>
      <c r="Y533" s="165"/>
      <c r="Z533" s="166"/>
      <c r="AA533" s="166"/>
      <c r="AB533" s="166"/>
      <c r="AC533" s="166"/>
      <c r="AD533" s="166"/>
      <c r="AE533" s="166"/>
      <c r="AF533" s="166"/>
      <c r="AG533" s="166"/>
      <c r="AH533" s="166"/>
    </row>
    <row r="534" spans="1:34" ht="15.750000" customHeight="1">
      <c r="B534" s="88"/>
      <c r="H534" s="277"/>
      <c r="I534" s="65"/>
      <c r="J534" s="277"/>
      <c r="K534" s="65"/>
      <c r="L534" s="277"/>
      <c r="O534" s="13"/>
      <c r="P534" s="65"/>
      <c r="Q534" s="65"/>
      <c r="R534" s="65"/>
      <c r="S534" s="253"/>
      <c r="T534" s="13"/>
      <c r="U534" s="165"/>
      <c r="V534" s="165"/>
      <c r="W534" s="165"/>
      <c r="X534" s="165"/>
      <c r="Y534" s="165"/>
      <c r="Z534" s="166"/>
      <c r="AA534" s="166"/>
      <c r="AB534" s="166"/>
      <c r="AC534" s="166"/>
      <c r="AD534" s="166"/>
      <c r="AE534" s="166"/>
      <c r="AF534" s="166"/>
      <c r="AG534" s="166"/>
      <c r="AH534" s="166"/>
    </row>
    <row r="535" spans="1:34" ht="15.750000" customHeight="1">
      <c r="B535" s="88"/>
      <c r="H535" s="473"/>
      <c r="I535" s="65"/>
      <c r="J535" s="277"/>
      <c r="K535" s="65"/>
      <c r="L535" s="277"/>
      <c r="O535" s="13"/>
      <c r="P535" s="65"/>
      <c r="Q535" s="65"/>
      <c r="R535" s="65"/>
      <c r="S535" s="253"/>
      <c r="T535" s="13"/>
      <c r="U535" s="165"/>
      <c r="V535" s="165"/>
      <c r="W535" s="165"/>
      <c r="X535" s="165"/>
      <c r="Y535" s="165"/>
      <c r="Z535" s="166"/>
      <c r="AA535" s="166"/>
      <c r="AB535" s="166"/>
      <c r="AC535" s="166"/>
      <c r="AD535" s="166"/>
      <c r="AE535" s="166"/>
      <c r="AF535" s="166"/>
      <c r="AG535" s="166"/>
      <c r="AH535" s="166"/>
    </row>
    <row r="536" spans="1:34" ht="16.500000" customHeight="1">
      <c r="B536" s="88"/>
      <c r="H536" s="473"/>
      <c r="I536" s="65"/>
      <c r="J536" s="277"/>
      <c r="K536" s="188"/>
      <c r="L536" s="277"/>
      <c r="O536" s="13"/>
      <c r="P536" s="65"/>
      <c r="Q536" s="65"/>
      <c r="R536" s="65"/>
      <c r="S536" s="165"/>
      <c r="T536" s="165"/>
      <c r="U536" s="165"/>
      <c r="V536" s="165"/>
      <c r="W536" s="165"/>
      <c r="X536" s="165"/>
      <c r="Y536" s="165"/>
      <c r="Z536" s="166"/>
      <c r="AA536" s="166"/>
      <c r="AB536" s="166"/>
      <c r="AC536" s="166"/>
      <c r="AD536" s="166"/>
      <c r="AE536" s="166"/>
      <c r="AF536" s="166"/>
      <c r="AG536" s="166"/>
      <c r="AH536" s="166"/>
    </row>
    <row r="537" spans="1:34" ht="15.750000" customHeight="1">
      <c r="A537" s="156" t="s">
        <v>116</v>
      </c>
      <c r="B537" s="88"/>
      <c r="C537" s="241"/>
      <c r="D537" s="241"/>
      <c r="E537" s="158">
        <f>F537*120%</f>
        <v>0</v>
      </c>
      <c r="F537" s="158">
        <f>(D537-C537+1)*G537</f>
        <v>0</v>
      </c>
      <c r="G537" s="159">
        <f>M537*40</f>
        <v>0</v>
      </c>
      <c r="H537" s="277"/>
      <c r="I537" s="65"/>
      <c r="J537" s="277"/>
      <c r="K537" s="65"/>
      <c r="L537" s="277"/>
      <c r="M537" s="179"/>
      <c r="N537" s="163"/>
      <c r="O537" s="188"/>
      <c r="P537" s="65"/>
      <c r="Q537" s="65"/>
      <c r="R537" s="65"/>
      <c r="S537" s="13"/>
      <c r="T537" s="65"/>
      <c r="U537" s="65"/>
      <c r="V537" s="65"/>
      <c r="W537" s="65"/>
      <c r="X537" s="65"/>
      <c r="Y537" s="65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0000" customHeight="1">
      <c r="B538" s="88"/>
      <c r="H538" s="277"/>
      <c r="I538" s="65"/>
      <c r="J538" s="277"/>
      <c r="K538" s="65"/>
      <c r="L538" s="277"/>
      <c r="O538" s="188"/>
      <c r="P538" s="65"/>
      <c r="Q538" s="65"/>
      <c r="R538" s="65"/>
      <c r="S538" s="13"/>
      <c r="T538" s="65"/>
      <c r="U538" s="65"/>
      <c r="V538" s="65"/>
      <c r="W538" s="65"/>
      <c r="X538" s="65"/>
      <c r="Y538" s="65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0000" customHeight="1">
      <c r="B539" s="88"/>
      <c r="H539" s="277"/>
      <c r="I539" s="65"/>
      <c r="J539" s="162"/>
      <c r="K539" s="188"/>
      <c r="L539" s="277"/>
      <c r="O539" s="188"/>
      <c r="P539" s="65"/>
      <c r="Q539" s="65"/>
      <c r="R539" s="65"/>
      <c r="S539" s="13"/>
      <c r="T539" s="65"/>
      <c r="U539" s="65"/>
      <c r="V539" s="65"/>
      <c r="W539" s="65"/>
      <c r="X539" s="65"/>
      <c r="Y539" s="65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0000" customHeight="1">
      <c r="B540" s="88"/>
      <c r="H540" s="277"/>
      <c r="I540" s="65"/>
      <c r="J540" s="277"/>
      <c r="K540" s="65"/>
      <c r="L540" s="277"/>
      <c r="O540" s="188"/>
      <c r="P540" s="65"/>
      <c r="Q540" s="65"/>
      <c r="R540" s="65"/>
      <c r="S540" s="13"/>
      <c r="T540" s="65"/>
      <c r="U540" s="65"/>
      <c r="V540" s="65"/>
      <c r="W540" s="65"/>
      <c r="X540" s="65"/>
      <c r="Y540" s="65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0000" customHeight="1">
      <c r="B541" s="88"/>
      <c r="H541" s="460"/>
      <c r="I541" s="65"/>
      <c r="J541" s="277"/>
      <c r="K541" s="188"/>
      <c r="L541" s="277"/>
      <c r="O541" s="188"/>
      <c r="P541" s="65"/>
      <c r="Q541" s="65"/>
      <c r="R541" s="65"/>
      <c r="S541" s="13"/>
      <c r="T541" s="65"/>
      <c r="U541" s="65"/>
      <c r="V541" s="65"/>
      <c r="W541" s="65"/>
      <c r="X541" s="65"/>
      <c r="Y541" s="65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0000" customHeight="1">
      <c r="A542" s="156" t="s">
        <v>116</v>
      </c>
      <c r="B542" s="88"/>
      <c r="C542" s="241"/>
      <c r="D542" s="241"/>
      <c r="E542" s="158">
        <f>F542*120%</f>
        <v>0</v>
      </c>
      <c r="F542" s="158">
        <f>(D542-C542+1)*G542</f>
        <v>0</v>
      </c>
      <c r="G542" s="159">
        <f>M542*40</f>
        <v>0</v>
      </c>
      <c r="H542" s="277"/>
      <c r="I542" s="65"/>
      <c r="J542" s="277"/>
      <c r="K542" s="188"/>
      <c r="L542" s="277"/>
      <c r="M542" s="179"/>
      <c r="N542" s="163"/>
      <c r="O542" s="188"/>
      <c r="P542" s="65"/>
      <c r="Q542" s="65"/>
      <c r="R542" s="65"/>
      <c r="S542" s="13"/>
      <c r="T542" s="65"/>
      <c r="U542" s="65"/>
      <c r="V542" s="65"/>
      <c r="W542" s="65"/>
      <c r="X542" s="65"/>
      <c r="Y542" s="65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0000" customHeight="1">
      <c r="B543" s="88"/>
      <c r="H543" s="277"/>
      <c r="I543" s="65"/>
      <c r="J543" s="277"/>
      <c r="K543" s="65"/>
      <c r="L543" s="277"/>
      <c r="O543" s="188"/>
      <c r="P543" s="65"/>
      <c r="Q543" s="65"/>
      <c r="R543" s="65"/>
      <c r="S543" s="13"/>
      <c r="T543" s="65"/>
      <c r="U543" s="65"/>
      <c r="V543" s="65"/>
      <c r="W543" s="65"/>
      <c r="X543" s="65"/>
      <c r="Y543" s="65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0000" customHeight="1">
      <c r="B544" s="88"/>
      <c r="H544" s="277"/>
      <c r="I544" s="65"/>
      <c r="J544" s="277"/>
      <c r="K544" s="188"/>
      <c r="L544" s="277"/>
      <c r="O544" s="188"/>
      <c r="P544" s="65"/>
      <c r="Q544" s="65"/>
      <c r="R544" s="65"/>
      <c r="S544" s="13"/>
      <c r="T544" s="65"/>
      <c r="U544" s="65"/>
      <c r="V544" s="65"/>
      <c r="W544" s="65"/>
      <c r="X544" s="65"/>
      <c r="Y544" s="65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0000" customHeight="1">
      <c r="B545" s="88"/>
      <c r="H545" s="277"/>
      <c r="I545" s="65"/>
      <c r="J545" s="277"/>
      <c r="K545" s="65"/>
      <c r="L545" s="277"/>
      <c r="O545" s="188"/>
      <c r="P545" s="65"/>
      <c r="Q545" s="65"/>
      <c r="R545" s="65"/>
      <c r="S545" s="13"/>
      <c r="T545" s="65"/>
      <c r="U545" s="65"/>
      <c r="V545" s="65"/>
      <c r="W545" s="65"/>
      <c r="X545" s="65"/>
      <c r="Y545" s="65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0000" customHeight="1">
      <c r="B546" s="1"/>
      <c r="H546" s="169"/>
      <c r="I546" s="65"/>
      <c r="J546" s="65"/>
      <c r="K546" s="65"/>
      <c r="L546" s="65"/>
      <c r="O546" s="188"/>
      <c r="P546" s="65"/>
      <c r="Q546" s="65"/>
      <c r="R546" s="65"/>
      <c r="S546" s="13"/>
      <c r="T546" s="65"/>
      <c r="U546" s="65"/>
      <c r="V546" s="65"/>
      <c r="W546" s="65"/>
      <c r="X546" s="65"/>
      <c r="Y546" s="65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0000" customHeight="1">
      <c r="A547" s="156" t="s">
        <v>116</v>
      </c>
      <c r="B547" s="88"/>
      <c r="C547" s="241"/>
      <c r="D547" s="241"/>
      <c r="E547" s="158">
        <f>F547*120%</f>
        <v>0</v>
      </c>
      <c r="F547" s="158">
        <f>(D547-C547+1)*G547</f>
        <v>0</v>
      </c>
      <c r="G547" s="159">
        <f>M547*40</f>
        <v>0</v>
      </c>
      <c r="H547" s="162"/>
      <c r="I547" s="65"/>
      <c r="J547" s="162"/>
      <c r="K547" s="65"/>
      <c r="L547" s="162"/>
      <c r="M547" s="162"/>
      <c r="N547" s="163"/>
      <c r="O547" s="164"/>
      <c r="P547" s="65"/>
      <c r="Q547" s="13"/>
      <c r="R547" s="13"/>
      <c r="S547" s="65"/>
      <c r="T547" s="65"/>
      <c r="U547" s="65"/>
      <c r="V547" s="65"/>
      <c r="W547" s="65"/>
      <c r="X547" s="65"/>
      <c r="Y547" s="65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0000" customHeight="1">
      <c r="B548" s="88"/>
      <c r="H548" s="65"/>
      <c r="I548" s="65"/>
      <c r="J548" s="65"/>
      <c r="K548" s="65"/>
      <c r="L548" s="65"/>
      <c r="O548" s="164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0000" customHeight="1">
      <c r="B549" s="88"/>
      <c r="H549" s="65"/>
      <c r="I549" s="65"/>
      <c r="J549" s="65"/>
      <c r="K549" s="65"/>
      <c r="L549" s="65"/>
      <c r="O549" s="164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0000" customHeight="1">
      <c r="B550" s="88"/>
      <c r="H550" s="65"/>
      <c r="I550" s="65"/>
      <c r="J550" s="65"/>
      <c r="K550" s="65"/>
      <c r="L550" s="65"/>
      <c r="O550" s="164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0000" customHeight="1">
      <c r="B551" s="88"/>
      <c r="H551" s="169"/>
      <c r="I551" s="65"/>
      <c r="J551" s="65"/>
      <c r="K551" s="65"/>
      <c r="L551" s="65"/>
      <c r="O551" s="164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0000" customHeight="1">
      <c r="A552" s="156" t="s">
        <v>116</v>
      </c>
      <c r="B552" s="88"/>
      <c r="C552" s="240"/>
      <c r="D552" s="240"/>
      <c r="E552" s="158">
        <f>F552*120%</f>
        <v>0</v>
      </c>
      <c r="F552" s="158">
        <f>(D552-C552+1)*G552</f>
        <v>0</v>
      </c>
      <c r="G552" s="159">
        <f>M552*40</f>
        <v>0</v>
      </c>
      <c r="H552" s="277"/>
      <c r="I552" s="65"/>
      <c r="J552" s="277"/>
      <c r="K552" s="188"/>
      <c r="L552" s="277"/>
      <c r="M552" s="179"/>
      <c r="N552" s="163"/>
      <c r="O552" s="188"/>
      <c r="P552" s="65"/>
      <c r="Q552" s="65"/>
      <c r="R552" s="65"/>
      <c r="S552" s="13"/>
      <c r="T552" s="65"/>
      <c r="U552" s="65"/>
      <c r="V552" s="65"/>
      <c r="W552" s="65"/>
      <c r="X552" s="65"/>
      <c r="Y552" s="65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0000" customHeight="1">
      <c r="B553" s="88"/>
      <c r="H553" s="277"/>
      <c r="I553" s="65"/>
      <c r="J553" s="277"/>
      <c r="K553" s="65"/>
      <c r="L553" s="277"/>
      <c r="O553" s="188"/>
      <c r="P553" s="65"/>
      <c r="Q553" s="65"/>
      <c r="R553" s="65"/>
      <c r="S553" s="13"/>
      <c r="T553" s="65"/>
      <c r="U553" s="65"/>
      <c r="V553" s="65"/>
      <c r="W553" s="65"/>
      <c r="X553" s="65"/>
      <c r="Y553" s="65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0000" customHeight="1">
      <c r="B554" s="88"/>
      <c r="H554" s="277"/>
      <c r="I554" s="65"/>
      <c r="J554" s="277"/>
      <c r="K554" s="188"/>
      <c r="L554" s="277"/>
      <c r="O554" s="188"/>
      <c r="P554" s="65"/>
      <c r="Q554" s="65"/>
      <c r="R554" s="65"/>
      <c r="S554" s="13"/>
      <c r="T554" s="65"/>
      <c r="U554" s="65"/>
      <c r="V554" s="65"/>
      <c r="W554" s="65"/>
      <c r="X554" s="65"/>
      <c r="Y554" s="65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0000" customHeight="1">
      <c r="B555" s="88"/>
      <c r="H555" s="277"/>
      <c r="I555" s="65"/>
      <c r="J555" s="277"/>
      <c r="K555" s="65"/>
      <c r="L555" s="277"/>
      <c r="O555" s="188"/>
      <c r="P555" s="65"/>
      <c r="Q555" s="65"/>
      <c r="R555" s="65"/>
      <c r="S555" s="13"/>
      <c r="T555" s="65"/>
      <c r="U555" s="65"/>
      <c r="V555" s="65"/>
      <c r="W555" s="65"/>
      <c r="X555" s="65"/>
      <c r="Y555" s="65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0000" customHeight="1">
      <c r="B556" s="1"/>
      <c r="H556" s="169"/>
      <c r="I556" s="65"/>
      <c r="J556" s="65"/>
      <c r="K556" s="65"/>
      <c r="L556" s="65"/>
      <c r="O556" s="188"/>
      <c r="P556" s="65"/>
      <c r="Q556" s="65"/>
      <c r="R556" s="65"/>
      <c r="S556" s="13"/>
      <c r="T556" s="65"/>
      <c r="U556" s="65"/>
      <c r="V556" s="65"/>
      <c r="W556" s="65"/>
      <c r="X556" s="65"/>
      <c r="Y556" s="65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0000" customHeight="1">
      <c r="A557" s="156" t="s">
        <v>116</v>
      </c>
      <c r="B557" s="88"/>
      <c r="C557" s="241"/>
      <c r="D557" s="241"/>
      <c r="E557" s="158">
        <f>F557*120%</f>
        <v>0</v>
      </c>
      <c r="F557" s="158">
        <f>(D557-C557+1)*G557</f>
        <v>0</v>
      </c>
      <c r="G557" s="159">
        <f>M557*40</f>
        <v>0</v>
      </c>
      <c r="H557" s="162"/>
      <c r="I557" s="65"/>
      <c r="J557" s="162"/>
      <c r="K557" s="65"/>
      <c r="L557" s="162"/>
      <c r="M557" s="162"/>
      <c r="N557" s="163"/>
      <c r="O557" s="164"/>
      <c r="P557" s="65"/>
      <c r="Q557" s="13"/>
      <c r="R557" s="13"/>
      <c r="S557" s="65"/>
      <c r="T557" s="65"/>
      <c r="U557" s="65"/>
      <c r="V557" s="65"/>
      <c r="W557" s="65"/>
      <c r="X557" s="65"/>
      <c r="Y557" s="65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0000" customHeight="1">
      <c r="B558" s="88"/>
      <c r="H558" s="162"/>
      <c r="I558" s="65"/>
      <c r="J558" s="162"/>
      <c r="K558" s="188"/>
      <c r="L558" s="162"/>
      <c r="O558" s="164"/>
      <c r="P558" s="65"/>
      <c r="Q558" s="13"/>
      <c r="R558" s="13"/>
      <c r="S558" s="65"/>
      <c r="T558" s="65"/>
      <c r="U558" s="65"/>
      <c r="V558" s="65"/>
      <c r="W558" s="65"/>
      <c r="X558" s="65"/>
      <c r="Y558" s="65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0000" customHeight="1">
      <c r="B559" s="88"/>
      <c r="H559" s="162"/>
      <c r="I559" s="65"/>
      <c r="J559" s="162"/>
      <c r="K559" s="188"/>
      <c r="L559" s="162"/>
      <c r="O559" s="164"/>
      <c r="P559" s="65"/>
      <c r="Q559" s="13"/>
      <c r="R559" s="13"/>
      <c r="S559" s="65"/>
      <c r="T559" s="65"/>
      <c r="U559" s="65"/>
      <c r="V559" s="65"/>
      <c r="W559" s="65"/>
      <c r="X559" s="65"/>
      <c r="Y559" s="65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0000" customHeight="1">
      <c r="B560" s="88"/>
      <c r="H560" s="65"/>
      <c r="I560" s="65"/>
      <c r="J560" s="65"/>
      <c r="K560" s="65"/>
      <c r="L560" s="65"/>
      <c r="O560" s="164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0000" customHeight="1">
      <c r="B561" s="88"/>
      <c r="H561" s="169"/>
      <c r="I561" s="65"/>
      <c r="J561" s="65"/>
      <c r="K561" s="65"/>
      <c r="L561" s="65"/>
      <c r="O561" s="164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0000" customHeight="1">
      <c r="A562" s="156" t="s">
        <v>116</v>
      </c>
      <c r="B562" s="88"/>
      <c r="C562" s="241"/>
      <c r="D562" s="241"/>
      <c r="E562" s="158">
        <f>F562*120%</f>
        <v>0</v>
      </c>
      <c r="F562" s="158">
        <f>(D562-C562+1)*G562</f>
        <v>0</v>
      </c>
      <c r="G562" s="159">
        <f>M562*40</f>
        <v>0</v>
      </c>
      <c r="H562" s="162"/>
      <c r="I562" s="65"/>
      <c r="J562" s="162"/>
      <c r="K562" s="65"/>
      <c r="L562" s="162"/>
      <c r="M562" s="162"/>
      <c r="N562" s="163"/>
      <c r="O562" s="190"/>
      <c r="P562" s="65"/>
      <c r="Q562" s="13"/>
      <c r="R562" s="13"/>
      <c r="S562" s="65"/>
      <c r="T562" s="65"/>
      <c r="U562" s="65"/>
      <c r="V562" s="65"/>
      <c r="W562" s="65"/>
      <c r="X562" s="65"/>
      <c r="Y562" s="65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0000" customHeight="1">
      <c r="B563" s="1"/>
      <c r="H563" s="162"/>
      <c r="I563" s="65"/>
      <c r="J563" s="162"/>
      <c r="K563" s="65"/>
      <c r="L563" s="162"/>
      <c r="O563" s="190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0000" customHeight="1">
      <c r="B564" s="1"/>
      <c r="H564" s="162"/>
      <c r="I564" s="65"/>
      <c r="J564" s="162"/>
      <c r="K564" s="65"/>
      <c r="L564" s="162"/>
      <c r="O564" s="190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0000" customHeight="1">
      <c r="B565" s="1"/>
      <c r="H565" s="162"/>
      <c r="I565" s="65"/>
      <c r="J565" s="162"/>
      <c r="K565" s="65"/>
      <c r="L565" s="162"/>
      <c r="O565" s="190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0000" customHeight="1">
      <c r="B566" s="1"/>
      <c r="H566" s="220"/>
      <c r="I566" s="65"/>
      <c r="J566" s="162"/>
      <c r="K566" s="65"/>
      <c r="L566" s="162"/>
      <c r="O566" s="190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0000" customHeight="1">
      <c r="A567" s="156" t="s">
        <v>116</v>
      </c>
      <c r="B567" s="88"/>
      <c r="C567" s="241"/>
      <c r="D567" s="241"/>
      <c r="E567" s="158">
        <f>F567*120%</f>
        <v>0</v>
      </c>
      <c r="F567" s="158">
        <f>(D567-C567+1)*G567</f>
        <v>0</v>
      </c>
      <c r="G567" s="159">
        <f>M567*40</f>
        <v>0</v>
      </c>
      <c r="H567" s="162"/>
      <c r="I567" s="65"/>
      <c r="J567" s="162"/>
      <c r="K567" s="65"/>
      <c r="L567" s="162"/>
      <c r="M567" s="162"/>
      <c r="N567" s="163"/>
      <c r="O567" s="190"/>
      <c r="P567" s="65"/>
      <c r="Q567" s="13"/>
      <c r="R567" s="13"/>
      <c r="S567" s="65"/>
      <c r="T567" s="65"/>
      <c r="U567" s="65" t="s">
        <v>11891</v>
      </c>
      <c r="V567" s="65"/>
      <c r="W567" s="65"/>
      <c r="X567" s="65"/>
      <c r="Y567" s="65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0000" customHeight="1">
      <c r="B568" s="88"/>
      <c r="H568" s="162"/>
      <c r="I568" s="65"/>
      <c r="J568" s="162"/>
      <c r="K568" s="65"/>
      <c r="L568" s="162"/>
      <c r="O568" s="190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0000" customHeight="1">
      <c r="B569" s="1"/>
      <c r="H569" s="162"/>
      <c r="I569" s="65"/>
      <c r="J569" s="162"/>
      <c r="K569" s="65"/>
      <c r="L569" s="162"/>
      <c r="O569" s="190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0000" customHeight="1">
      <c r="B570" s="1"/>
      <c r="H570" s="162"/>
      <c r="I570" s="65"/>
      <c r="J570" s="162"/>
      <c r="K570" s="65"/>
      <c r="L570" s="162"/>
      <c r="O570" s="190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0000" customHeight="1">
      <c r="B571" s="1"/>
      <c r="H571" s="169"/>
      <c r="I571" s="65"/>
      <c r="J571" s="162"/>
      <c r="K571" s="65"/>
      <c r="L571" s="162"/>
      <c r="O571" s="190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0000" customHeight="1">
      <c r="A572" s="156" t="s">
        <v>116</v>
      </c>
      <c r="B572" s="88"/>
      <c r="C572" s="241"/>
      <c r="D572" s="241"/>
      <c r="E572" s="158">
        <f>F572*120%</f>
        <v>0</v>
      </c>
      <c r="F572" s="158">
        <f>(D572-C572+1)*G572</f>
        <v>0</v>
      </c>
      <c r="G572" s="159">
        <f>M572*40</f>
        <v>0</v>
      </c>
      <c r="H572" s="277"/>
      <c r="I572" s="65"/>
      <c r="J572" s="277"/>
      <c r="K572" s="65"/>
      <c r="L572" s="277"/>
      <c r="M572" s="277"/>
      <c r="N572" s="163"/>
      <c r="O572" s="190"/>
      <c r="P572" s="65"/>
      <c r="Q572" s="13"/>
      <c r="R572" s="13"/>
      <c r="S572" s="65"/>
      <c r="T572" s="65"/>
      <c r="U572" s="65"/>
      <c r="V572" s="65"/>
      <c r="W572" s="65"/>
      <c r="X572" s="65"/>
      <c r="Y572" s="65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0000" customHeight="1">
      <c r="B573" s="88"/>
      <c r="H573" s="277"/>
      <c r="I573" s="65"/>
      <c r="J573" s="277"/>
      <c r="K573" s="188"/>
      <c r="L573" s="277"/>
      <c r="O573" s="190"/>
      <c r="P573" s="65"/>
      <c r="Q573" s="13"/>
      <c r="R573" s="13"/>
      <c r="S573" s="65"/>
      <c r="T573" s="65"/>
      <c r="U573" s="65"/>
      <c r="V573" s="65"/>
      <c r="W573" s="65"/>
      <c r="X573" s="65"/>
      <c r="Y573" s="65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0000" customHeight="1">
      <c r="B574" s="88"/>
      <c r="H574" s="277"/>
      <c r="I574" s="65"/>
      <c r="J574" s="277"/>
      <c r="K574" s="65"/>
      <c r="L574" s="277"/>
      <c r="O574" s="190"/>
      <c r="P574" s="65"/>
      <c r="Q574" s="13"/>
      <c r="R574" s="13"/>
      <c r="S574" s="65"/>
      <c r="T574" s="65"/>
      <c r="U574" s="65"/>
      <c r="V574" s="65"/>
      <c r="W574" s="65"/>
      <c r="X574" s="65"/>
      <c r="Y574" s="65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0000" customHeight="1">
      <c r="B575" s="88"/>
      <c r="H575" s="65"/>
      <c r="I575" s="65"/>
      <c r="J575" s="162"/>
      <c r="K575" s="65"/>
      <c r="L575" s="162"/>
      <c r="O575" s="190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0000" customHeight="1">
      <c r="B576" s="88"/>
      <c r="H576" s="169"/>
      <c r="I576" s="65"/>
      <c r="J576" s="162"/>
      <c r="K576" s="65"/>
      <c r="L576" s="162"/>
      <c r="O576" s="190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0000" customHeight="1">
      <c r="A577" s="156" t="s">
        <v>116</v>
      </c>
      <c r="B577" s="88"/>
      <c r="C577" s="241"/>
      <c r="D577" s="241"/>
      <c r="E577" s="158">
        <f>F577*120%</f>
        <v>0</v>
      </c>
      <c r="F577" s="158">
        <f>(D577-C577+1)*G577</f>
        <v>0</v>
      </c>
      <c r="G577" s="159">
        <f>M577*40</f>
        <v>0</v>
      </c>
      <c r="H577" s="162"/>
      <c r="I577" s="65"/>
      <c r="J577" s="277"/>
      <c r="K577" s="65"/>
      <c r="L577" s="162"/>
      <c r="M577" s="162"/>
      <c r="N577" s="163"/>
      <c r="O577" s="190"/>
      <c r="P577" s="65"/>
      <c r="Q577" s="13"/>
      <c r="R577" s="13"/>
      <c r="S577" s="65"/>
      <c r="T577" s="65"/>
      <c r="U577" s="65"/>
      <c r="V577" s="65"/>
      <c r="W577" s="65"/>
      <c r="X577" s="65"/>
      <c r="Y577" s="65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0000" customHeight="1">
      <c r="B578" s="88"/>
      <c r="H578" s="162"/>
      <c r="I578" s="65"/>
      <c r="J578" s="162"/>
      <c r="K578" s="65"/>
      <c r="L578" s="162"/>
      <c r="O578" s="190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0000" customHeight="1">
      <c r="B579" s="88"/>
      <c r="H579" s="162"/>
      <c r="I579" s="65"/>
      <c r="J579" s="162"/>
      <c r="K579" s="65"/>
      <c r="L579" s="162"/>
      <c r="O579" s="190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0000" customHeight="1">
      <c r="B580" s="88"/>
      <c r="H580" s="162"/>
      <c r="I580" s="65"/>
      <c r="J580" s="162"/>
      <c r="K580" s="65"/>
      <c r="L580" s="162"/>
      <c r="O580" s="190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0000" customHeight="1">
      <c r="B581" s="88"/>
      <c r="H581" s="220"/>
      <c r="I581" s="65"/>
      <c r="J581" s="162"/>
      <c r="K581" s="65"/>
      <c r="L581" s="162"/>
      <c r="O581" s="190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0000" customHeight="1">
      <c r="A582" s="156" t="s">
        <v>116</v>
      </c>
      <c r="B582" s="88"/>
      <c r="C582" s="241"/>
      <c r="D582" s="241"/>
      <c r="E582" s="158">
        <f>F582*120%</f>
        <v>0</v>
      </c>
      <c r="F582" s="158">
        <f>(D582-C582+1)*G582</f>
        <v>0</v>
      </c>
      <c r="G582" s="159">
        <f>M582*40</f>
        <v>0</v>
      </c>
      <c r="H582" s="162"/>
      <c r="I582" s="65"/>
      <c r="J582" s="467"/>
      <c r="K582" s="188"/>
      <c r="L582" s="162"/>
      <c r="M582" s="162"/>
      <c r="N582" s="163"/>
      <c r="O582" s="190"/>
      <c r="P582" s="65"/>
      <c r="Q582" s="13"/>
      <c r="R582" s="13"/>
      <c r="S582" s="65"/>
      <c r="T582" s="65"/>
      <c r="U582" s="65"/>
      <c r="V582" s="65"/>
      <c r="W582" s="65"/>
      <c r="X582" s="65"/>
      <c r="Y582" s="65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0000" customHeight="1">
      <c r="B583" s="88"/>
      <c r="H583" s="162"/>
      <c r="I583" s="65"/>
      <c r="J583" s="467"/>
      <c r="K583" s="188"/>
      <c r="L583" s="162"/>
      <c r="O583" s="190"/>
      <c r="P583" s="65"/>
      <c r="Q583" s="13"/>
      <c r="R583" s="13"/>
      <c r="S583" s="65"/>
      <c r="T583" s="65"/>
      <c r="U583" s="65"/>
      <c r="V583" s="65"/>
      <c r="W583" s="65"/>
      <c r="X583" s="65"/>
      <c r="Y583" s="65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0000" customHeight="1">
      <c r="B584" s="88"/>
      <c r="H584" s="162"/>
      <c r="I584" s="65"/>
      <c r="J584" s="467"/>
      <c r="K584" s="188"/>
      <c r="L584" s="162"/>
      <c r="O584" s="190"/>
      <c r="P584" s="65"/>
      <c r="Q584" s="13"/>
      <c r="R584" s="13"/>
      <c r="S584" s="65"/>
      <c r="T584" s="65"/>
      <c r="U584" s="65"/>
      <c r="V584" s="65"/>
      <c r="W584" s="65"/>
      <c r="X584" s="65"/>
      <c r="Y584" s="65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0000" customHeight="1">
      <c r="B585" s="88"/>
      <c r="H585" s="162"/>
      <c r="I585" s="65"/>
      <c r="J585" s="467"/>
      <c r="K585" s="65"/>
      <c r="L585" s="162"/>
      <c r="O585" s="190"/>
      <c r="P585" s="65"/>
      <c r="Q585" s="13"/>
      <c r="R585" s="13"/>
      <c r="S585" s="65"/>
      <c r="T585" s="65"/>
      <c r="U585" s="65"/>
      <c r="V585" s="65"/>
      <c r="W585" s="65"/>
      <c r="X585" s="65"/>
      <c r="Y585" s="65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0000" customHeight="1">
      <c r="B586" s="88"/>
      <c r="H586" s="169"/>
      <c r="I586" s="65"/>
      <c r="J586" s="162"/>
      <c r="K586" s="65"/>
      <c r="L586" s="162"/>
      <c r="O586" s="190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0000" customHeight="1">
      <c r="A587" s="156" t="s">
        <v>116</v>
      </c>
      <c r="B587" s="88"/>
      <c r="C587" s="241"/>
      <c r="D587" s="241"/>
      <c r="E587" s="158">
        <f>F587*120%</f>
        <v>0</v>
      </c>
      <c r="F587" s="158">
        <f>(D587-C587+1)*G587</f>
        <v>0</v>
      </c>
      <c r="G587" s="159">
        <f>M587*40</f>
        <v>0</v>
      </c>
      <c r="H587" s="162"/>
      <c r="I587" s="65"/>
      <c r="J587" s="277"/>
      <c r="K587" s="65"/>
      <c r="L587" s="162"/>
      <c r="M587" s="162"/>
      <c r="N587" s="163"/>
      <c r="O587" s="190"/>
      <c r="P587" s="65"/>
      <c r="Q587" s="13"/>
      <c r="R587" s="13"/>
      <c r="S587" s="65"/>
      <c r="T587" s="65"/>
      <c r="U587" s="65"/>
      <c r="V587" s="65"/>
      <c r="W587" s="65"/>
      <c r="X587" s="65"/>
      <c r="Y587" s="65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0000" customHeight="1">
      <c r="B588" s="88"/>
      <c r="H588" s="65"/>
      <c r="I588" s="65"/>
      <c r="J588" s="162"/>
      <c r="K588" s="65"/>
      <c r="L588" s="162"/>
      <c r="O588" s="190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0000" customHeight="1">
      <c r="B589" s="88"/>
      <c r="H589" s="65"/>
      <c r="I589" s="65"/>
      <c r="J589" s="162"/>
      <c r="K589" s="65"/>
      <c r="L589" s="162"/>
      <c r="O589" s="190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0000" customHeight="1">
      <c r="B590" s="88"/>
      <c r="H590" s="65"/>
      <c r="I590" s="65"/>
      <c r="J590" s="162"/>
      <c r="K590" s="65"/>
      <c r="L590" s="162"/>
      <c r="O590" s="190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0000" customHeight="1">
      <c r="B591" s="88"/>
      <c r="H591" s="169"/>
      <c r="I591" s="65"/>
      <c r="J591" s="162"/>
      <c r="K591" s="65"/>
      <c r="L591" s="162"/>
      <c r="O591" s="190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0000" customHeight="1">
      <c r="A592" s="156" t="s">
        <v>116</v>
      </c>
      <c r="B592" s="88"/>
      <c r="C592" s="241"/>
      <c r="D592" s="241"/>
      <c r="E592" s="158">
        <f>F592*120%</f>
        <v>0</v>
      </c>
      <c r="F592" s="158">
        <f>(D592-C592+1)*G592</f>
        <v>0</v>
      </c>
      <c r="G592" s="159">
        <f>M592*40</f>
        <v>0</v>
      </c>
      <c r="H592" s="161"/>
      <c r="I592" s="65"/>
      <c r="J592" s="162"/>
      <c r="K592" s="65"/>
      <c r="L592" s="162"/>
      <c r="M592" s="162"/>
      <c r="N592" s="163"/>
      <c r="O592" s="164"/>
      <c r="P592" s="65"/>
      <c r="Q592" s="13"/>
      <c r="R592" s="13"/>
      <c r="S592" s="65"/>
      <c r="T592" s="65"/>
      <c r="U592" s="65"/>
      <c r="V592" s="65"/>
      <c r="W592" s="65"/>
      <c r="X592" s="65"/>
      <c r="Y592" s="65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0000" customHeight="1">
      <c r="B593" s="88"/>
      <c r="H593" s="162"/>
      <c r="I593" s="65"/>
      <c r="J593" s="162"/>
      <c r="K593" s="188"/>
      <c r="L593" s="162"/>
      <c r="O593" s="164"/>
      <c r="P593" s="65"/>
      <c r="Q593" s="13"/>
      <c r="R593" s="13"/>
      <c r="S593" s="65"/>
      <c r="T593" s="65"/>
      <c r="U593" s="65"/>
      <c r="V593" s="65"/>
      <c r="W593" s="65"/>
      <c r="X593" s="65"/>
      <c r="Y593" s="65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0000" customHeight="1">
      <c r="B594" s="88"/>
      <c r="H594" s="162"/>
      <c r="I594" s="65"/>
      <c r="J594" s="162"/>
      <c r="K594" s="188"/>
      <c r="L594" s="162"/>
      <c r="O594" s="164"/>
      <c r="P594" s="65"/>
      <c r="Q594" s="13"/>
      <c r="R594" s="13"/>
      <c r="S594" s="65"/>
      <c r="T594" s="65"/>
      <c r="U594" s="65"/>
      <c r="V594" s="65"/>
      <c r="W594" s="65"/>
      <c r="X594" s="65"/>
      <c r="Y594" s="65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0000" customHeight="1">
      <c r="B595" s="88"/>
      <c r="H595" s="162"/>
      <c r="I595" s="65"/>
      <c r="J595" s="162"/>
      <c r="K595" s="65"/>
      <c r="L595" s="162"/>
      <c r="O595" s="164"/>
      <c r="P595" s="65"/>
      <c r="Q595" s="13"/>
      <c r="R595" s="13"/>
      <c r="S595" s="65"/>
      <c r="T595" s="65"/>
      <c r="U595" s="65"/>
      <c r="V595" s="65"/>
      <c r="W595" s="65"/>
      <c r="X595" s="65"/>
      <c r="Y595" s="65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0000" customHeight="1">
      <c r="B596" s="88"/>
      <c r="H596" s="220"/>
      <c r="I596" s="65"/>
      <c r="J596" s="162"/>
      <c r="K596" s="65"/>
      <c r="L596" s="162"/>
      <c r="O596" s="164"/>
      <c r="P596" s="65"/>
      <c r="Q596" s="13"/>
      <c r="R596" s="13"/>
      <c r="S596" s="65"/>
      <c r="T596" s="65"/>
      <c r="U596" s="65"/>
      <c r="V596" s="65"/>
      <c r="W596" s="65"/>
      <c r="X596" s="65"/>
      <c r="Y596" s="65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0000" customHeight="1">
      <c r="A597" s="156" t="s">
        <v>116</v>
      </c>
      <c r="B597" s="88"/>
      <c r="C597" s="241"/>
      <c r="D597" s="241"/>
      <c r="E597" s="158">
        <f>F597*120%</f>
        <v>0</v>
      </c>
      <c r="F597" s="158">
        <f>(D597-C597+1)*G597</f>
        <v>0</v>
      </c>
      <c r="G597" s="159">
        <f>M597*40</f>
        <v>0</v>
      </c>
      <c r="H597" s="162"/>
      <c r="I597" s="65"/>
      <c r="J597" s="467"/>
      <c r="K597" s="188"/>
      <c r="L597" s="162"/>
      <c r="M597" s="162"/>
      <c r="N597" s="163"/>
      <c r="O597" s="190"/>
      <c r="P597" s="65"/>
      <c r="Q597" s="13"/>
      <c r="R597" s="13"/>
      <c r="S597" s="65"/>
      <c r="T597" s="65"/>
      <c r="U597" s="65"/>
      <c r="V597" s="65"/>
      <c r="W597" s="65"/>
      <c r="X597" s="65"/>
      <c r="Y597" s="65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0000" customHeight="1">
      <c r="B598" s="88"/>
      <c r="H598" s="162"/>
      <c r="I598" s="65"/>
      <c r="J598" s="467"/>
      <c r="K598" s="188"/>
      <c r="L598" s="162"/>
      <c r="O598" s="190"/>
      <c r="P598" s="65"/>
      <c r="Q598" s="13"/>
      <c r="R598" s="13"/>
      <c r="S598" s="65"/>
      <c r="T598" s="65"/>
      <c r="U598" s="65"/>
      <c r="V598" s="65"/>
      <c r="W598" s="65"/>
      <c r="X598" s="65"/>
      <c r="Y598" s="65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0000" customHeight="1">
      <c r="B599" s="88"/>
      <c r="H599" s="162"/>
      <c r="I599" s="65"/>
      <c r="J599" s="467"/>
      <c r="K599" s="188"/>
      <c r="L599" s="162"/>
      <c r="O599" s="190"/>
      <c r="P599" s="65"/>
      <c r="Q599" s="13"/>
      <c r="R599" s="13"/>
      <c r="S599" s="65"/>
      <c r="T599" s="65"/>
      <c r="U599" s="65"/>
      <c r="V599" s="65"/>
      <c r="W599" s="65"/>
      <c r="X599" s="65"/>
      <c r="Y599" s="65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0000" customHeight="1">
      <c r="B600" s="88"/>
      <c r="H600" s="162"/>
      <c r="I600" s="65"/>
      <c r="J600" s="467"/>
      <c r="K600" s="65"/>
      <c r="L600" s="162"/>
      <c r="O600" s="190"/>
      <c r="P600" s="65"/>
      <c r="Q600" s="13"/>
      <c r="R600" s="13"/>
      <c r="S600" s="65"/>
      <c r="T600" s="65"/>
      <c r="U600" s="65"/>
      <c r="V600" s="65"/>
      <c r="W600" s="65"/>
      <c r="X600" s="65"/>
      <c r="Y600" s="65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0000" customHeight="1">
      <c r="B601" s="88"/>
      <c r="H601" s="169"/>
      <c r="I601" s="65"/>
      <c r="J601" s="162"/>
      <c r="K601" s="65"/>
      <c r="L601" s="162"/>
      <c r="O601" s="190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0000" customHeight="1">
      <c r="A602" s="156" t="s">
        <v>116</v>
      </c>
      <c r="B602" s="88"/>
      <c r="C602" s="241"/>
      <c r="D602" s="157"/>
      <c r="E602" s="158">
        <f>F602*120%</f>
        <v>0</v>
      </c>
      <c r="F602" s="158">
        <f>(D602-C602+1)*G602</f>
        <v>0</v>
      </c>
      <c r="G602" s="159">
        <f>M602*40</f>
        <v>0</v>
      </c>
      <c r="H602" s="162"/>
      <c r="I602" s="65"/>
      <c r="J602" s="162"/>
      <c r="K602" s="65"/>
      <c r="L602" s="162"/>
      <c r="M602" s="162"/>
      <c r="N602" s="163"/>
      <c r="O602" s="190"/>
      <c r="P602" s="65"/>
      <c r="Q602" s="13"/>
      <c r="R602" s="13"/>
      <c r="S602" s="65"/>
      <c r="T602" s="65"/>
      <c r="U602" s="65"/>
      <c r="V602" s="65"/>
      <c r="W602" s="65"/>
      <c r="X602" s="65"/>
      <c r="Y602" s="65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0000" customHeight="1">
      <c r="B603" s="88"/>
      <c r="H603" s="162"/>
      <c r="I603" s="65"/>
      <c r="J603" s="162"/>
      <c r="K603" s="65"/>
      <c r="L603" s="162"/>
      <c r="O603" s="190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0000" customHeight="1">
      <c r="B604" s="88"/>
      <c r="H604" s="162"/>
      <c r="I604" s="65"/>
      <c r="J604" s="162"/>
      <c r="K604" s="65"/>
      <c r="L604" s="162"/>
      <c r="O604" s="190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0000" customHeight="1">
      <c r="B605" s="88"/>
      <c r="H605" s="162"/>
      <c r="I605" s="65"/>
      <c r="J605" s="162"/>
      <c r="K605" s="65"/>
      <c r="L605" s="162"/>
      <c r="O605" s="190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0000" customHeight="1">
      <c r="B606" s="88"/>
      <c r="H606" s="220"/>
      <c r="I606" s="65"/>
      <c r="J606" s="162"/>
      <c r="K606" s="65"/>
      <c r="L606" s="162"/>
      <c r="O606" s="190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0000" customHeight="1">
      <c r="A607" s="156" t="s">
        <v>116</v>
      </c>
      <c r="B607" s="88"/>
      <c r="C607" s="241"/>
      <c r="D607" s="241"/>
      <c r="E607" s="158">
        <f>F607*120%</f>
        <v>0</v>
      </c>
      <c r="F607" s="158">
        <f>(D607-C607+1)*G607</f>
        <v>0</v>
      </c>
      <c r="G607" s="159">
        <f>M607*40</f>
        <v>0</v>
      </c>
      <c r="H607" s="277"/>
      <c r="I607" s="65"/>
      <c r="J607" s="277"/>
      <c r="K607" s="65"/>
      <c r="L607" s="162"/>
      <c r="M607" s="162"/>
      <c r="N607" s="163"/>
      <c r="O607" s="164"/>
      <c r="P607" s="190"/>
      <c r="Q607" s="13"/>
      <c r="R607" s="13"/>
      <c r="S607" s="65"/>
      <c r="T607" s="65"/>
      <c r="U607" s="65"/>
      <c r="V607" s="65"/>
      <c r="W607" s="65"/>
      <c r="X607" s="65"/>
      <c r="Y607" s="65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0000" customHeight="1">
      <c r="B608" s="88"/>
      <c r="H608" s="277"/>
      <c r="I608" s="65"/>
      <c r="J608" s="277"/>
      <c r="K608" s="188"/>
      <c r="L608" s="162"/>
      <c r="O608" s="164"/>
      <c r="P608" s="190"/>
      <c r="Q608" s="13"/>
      <c r="R608" s="13"/>
      <c r="S608" s="65"/>
      <c r="T608" s="65"/>
      <c r="U608" s="65"/>
      <c r="V608" s="65"/>
      <c r="W608" s="65"/>
      <c r="X608" s="65"/>
      <c r="Y608" s="65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0000" customHeight="1">
      <c r="B609" s="88"/>
      <c r="H609" s="277"/>
      <c r="I609" s="65"/>
      <c r="J609" s="277"/>
      <c r="K609" s="188"/>
      <c r="L609" s="162"/>
      <c r="O609" s="164"/>
      <c r="P609" s="190"/>
      <c r="Q609" s="13"/>
      <c r="R609" s="13"/>
      <c r="S609" s="65"/>
      <c r="T609" s="65"/>
      <c r="U609" s="65"/>
      <c r="V609" s="65"/>
      <c r="W609" s="65"/>
      <c r="X609" s="65"/>
      <c r="Y609" s="65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0000" customHeight="1">
      <c r="B610" s="88"/>
      <c r="H610" s="277"/>
      <c r="I610" s="65"/>
      <c r="J610" s="277"/>
      <c r="K610" s="65"/>
      <c r="L610" s="162"/>
      <c r="O610" s="164"/>
      <c r="P610" s="190"/>
      <c r="Q610" s="13"/>
      <c r="R610" s="13"/>
      <c r="S610" s="65"/>
      <c r="T610" s="65"/>
      <c r="U610" s="65"/>
      <c r="V610" s="65"/>
      <c r="W610" s="65"/>
      <c r="X610" s="65"/>
      <c r="Y610" s="65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0000" customHeight="1">
      <c r="B611" s="88"/>
      <c r="H611" s="460"/>
      <c r="I611" s="65"/>
      <c r="J611" s="277"/>
      <c r="K611" s="65"/>
      <c r="L611" s="162"/>
      <c r="O611" s="164"/>
      <c r="P611" s="190"/>
      <c r="Q611" s="13"/>
      <c r="R611" s="13"/>
      <c r="S611" s="65"/>
      <c r="T611" s="65"/>
      <c r="U611" s="65"/>
      <c r="V611" s="65"/>
      <c r="W611" s="65"/>
      <c r="X611" s="65"/>
      <c r="Y611" s="65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0000" customHeight="1">
      <c r="A612" s="156" t="s">
        <v>116</v>
      </c>
      <c r="B612" s="88"/>
      <c r="C612" s="241"/>
      <c r="D612" s="241"/>
      <c r="E612" s="158">
        <f>F612*120%</f>
        <v>0</v>
      </c>
      <c r="F612" s="158">
        <f>(D612-C612+1)*G612</f>
        <v>0</v>
      </c>
      <c r="G612" s="159">
        <f>M612*40</f>
        <v>0</v>
      </c>
      <c r="H612" s="277"/>
      <c r="I612" s="65"/>
      <c r="J612" s="277"/>
      <c r="K612" s="65"/>
      <c r="L612" s="162"/>
      <c r="M612" s="162"/>
      <c r="N612" s="163"/>
      <c r="O612" s="164"/>
      <c r="P612" s="190"/>
      <c r="Q612" s="13"/>
      <c r="R612" s="13"/>
      <c r="S612" s="65"/>
      <c r="T612" s="65"/>
      <c r="U612" s="65"/>
      <c r="V612" s="65"/>
      <c r="W612" s="65"/>
      <c r="X612" s="65"/>
      <c r="Y612" s="65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0000" customHeight="1">
      <c r="B613" s="88"/>
      <c r="H613" s="277"/>
      <c r="I613" s="65"/>
      <c r="J613" s="277"/>
      <c r="K613" s="188"/>
      <c r="L613" s="162"/>
      <c r="O613" s="164"/>
      <c r="P613" s="190"/>
      <c r="Q613" s="13"/>
      <c r="R613" s="13"/>
      <c r="S613" s="65"/>
      <c r="T613" s="65"/>
      <c r="U613" s="65"/>
      <c r="V613" s="65"/>
      <c r="W613" s="65"/>
      <c r="X613" s="65"/>
      <c r="Y613" s="65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0000" customHeight="1">
      <c r="B614" s="88"/>
      <c r="H614" s="277"/>
      <c r="I614" s="65"/>
      <c r="J614" s="277"/>
      <c r="K614" s="188"/>
      <c r="L614" s="162"/>
      <c r="O614" s="164"/>
      <c r="P614" s="190"/>
      <c r="Q614" s="13"/>
      <c r="R614" s="13"/>
      <c r="S614" s="65"/>
      <c r="T614" s="65"/>
      <c r="U614" s="65"/>
      <c r="V614" s="65"/>
      <c r="W614" s="65"/>
      <c r="X614" s="65"/>
      <c r="Y614" s="65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0000" customHeight="1">
      <c r="B615" s="88"/>
      <c r="H615" s="277"/>
      <c r="I615" s="65"/>
      <c r="J615" s="277"/>
      <c r="K615" s="65"/>
      <c r="L615" s="162"/>
      <c r="O615" s="164"/>
      <c r="P615" s="190"/>
      <c r="Q615" s="13"/>
      <c r="R615" s="13"/>
      <c r="S615" s="65"/>
      <c r="T615" s="65"/>
      <c r="U615" s="65"/>
      <c r="V615" s="65"/>
      <c r="W615" s="65"/>
      <c r="X615" s="65"/>
      <c r="Y615" s="65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0000" customHeight="1">
      <c r="B616" s="88"/>
      <c r="H616" s="460"/>
      <c r="I616" s="65"/>
      <c r="J616" s="277"/>
      <c r="K616" s="65"/>
      <c r="L616" s="162"/>
      <c r="O616" s="164"/>
      <c r="P616" s="190"/>
      <c r="Q616" s="13"/>
      <c r="R616" s="13"/>
      <c r="S616" s="65"/>
      <c r="T616" s="65"/>
      <c r="U616" s="65"/>
      <c r="V616" s="65"/>
      <c r="W616" s="65"/>
      <c r="X616" s="65"/>
      <c r="Y616" s="65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0000" customHeight="1">
      <c r="A617" s="156" t="s">
        <v>116</v>
      </c>
      <c r="B617" s="88"/>
      <c r="C617" s="241"/>
      <c r="D617" s="241"/>
      <c r="E617" s="158">
        <f>F617*120%</f>
        <v>0</v>
      </c>
      <c r="F617" s="158">
        <f>(D617-C617+1)*G617</f>
        <v>0</v>
      </c>
      <c r="G617" s="159">
        <f>M617*40</f>
        <v>0</v>
      </c>
      <c r="H617" s="277"/>
      <c r="I617" s="65"/>
      <c r="J617" s="277"/>
      <c r="K617" s="65"/>
      <c r="L617" s="162"/>
      <c r="M617" s="162"/>
      <c r="N617" s="163"/>
      <c r="O617" s="164"/>
      <c r="P617" s="190"/>
      <c r="Q617" s="13"/>
      <c r="R617" s="13"/>
      <c r="S617" s="65"/>
      <c r="T617" s="65"/>
      <c r="U617" s="65"/>
      <c r="V617" s="65"/>
      <c r="W617" s="65"/>
      <c r="X617" s="65"/>
      <c r="Y617" s="65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0000" customHeight="1">
      <c r="B618" s="88"/>
      <c r="H618" s="277"/>
      <c r="I618" s="65"/>
      <c r="J618" s="162"/>
      <c r="K618" s="188"/>
      <c r="L618" s="162"/>
      <c r="O618" s="164"/>
      <c r="P618" s="190"/>
      <c r="Q618" s="13"/>
      <c r="R618" s="13"/>
      <c r="S618" s="65"/>
      <c r="T618" s="65"/>
      <c r="U618" s="65"/>
      <c r="V618" s="65"/>
      <c r="W618" s="65"/>
      <c r="X618" s="65"/>
      <c r="Y618" s="65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0000" customHeight="1">
      <c r="B619" s="88"/>
      <c r="H619" s="277"/>
      <c r="I619" s="65"/>
      <c r="J619" s="162"/>
      <c r="K619" s="188"/>
      <c r="L619" s="162"/>
      <c r="O619" s="164"/>
      <c r="P619" s="190"/>
      <c r="Q619" s="13"/>
      <c r="R619" s="13"/>
      <c r="S619" s="65"/>
      <c r="T619" s="65"/>
      <c r="U619" s="65"/>
      <c r="V619" s="65"/>
      <c r="W619" s="65"/>
      <c r="X619" s="65"/>
      <c r="Y619" s="65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0000" customHeight="1">
      <c r="B620" s="88"/>
      <c r="H620" s="277"/>
      <c r="I620" s="65"/>
      <c r="J620" s="162"/>
      <c r="K620" s="65"/>
      <c r="L620" s="162"/>
      <c r="O620" s="164"/>
      <c r="P620" s="190"/>
      <c r="Q620" s="13"/>
      <c r="R620" s="13"/>
      <c r="S620" s="65"/>
      <c r="T620" s="65"/>
      <c r="U620" s="65"/>
      <c r="V620" s="65"/>
      <c r="W620" s="65"/>
      <c r="X620" s="65"/>
      <c r="Y620" s="65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0000" customHeight="1">
      <c r="B621" s="88"/>
      <c r="H621" s="169"/>
      <c r="I621" s="65"/>
      <c r="J621" s="65"/>
      <c r="K621" s="65"/>
      <c r="L621" s="65"/>
      <c r="O621" s="164"/>
      <c r="P621" s="190"/>
      <c r="Q621" s="65"/>
      <c r="R621" s="65"/>
      <c r="S621" s="65"/>
      <c r="T621" s="65"/>
      <c r="U621" s="65"/>
      <c r="V621" s="65"/>
      <c r="W621" s="65"/>
      <c r="X621" s="65"/>
      <c r="Y621" s="65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0000" customHeight="1">
      <c r="A622" s="156" t="s">
        <v>116</v>
      </c>
      <c r="B622" s="88"/>
      <c r="C622" s="241"/>
      <c r="D622" s="241"/>
      <c r="E622" s="158">
        <f>F622*120%</f>
        <v>0</v>
      </c>
      <c r="F622" s="158">
        <f>(D622-C622+1)*G622</f>
        <v>0</v>
      </c>
      <c r="G622" s="159">
        <f>M622*40</f>
        <v>0</v>
      </c>
      <c r="H622" s="277"/>
      <c r="I622" s="65"/>
      <c r="J622" s="277"/>
      <c r="K622" s="65"/>
      <c r="L622" s="277"/>
      <c r="M622" s="277"/>
      <c r="N622" s="163"/>
      <c r="O622" s="164"/>
      <c r="P622" s="190"/>
      <c r="Q622" s="13"/>
      <c r="R622" s="13"/>
      <c r="S622" s="65"/>
      <c r="T622" s="65"/>
      <c r="U622" s="65"/>
      <c r="V622" s="65"/>
      <c r="W622" s="65"/>
      <c r="X622" s="65"/>
      <c r="Y622" s="65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0000" customHeight="1">
      <c r="B623" s="88"/>
      <c r="H623" s="277"/>
      <c r="I623" s="65"/>
      <c r="J623" s="277"/>
      <c r="K623" s="188"/>
      <c r="L623" s="277"/>
      <c r="O623" s="164"/>
      <c r="P623" s="190"/>
      <c r="Q623" s="13"/>
      <c r="R623" s="13"/>
      <c r="S623" s="65"/>
      <c r="T623" s="65"/>
      <c r="U623" s="65"/>
      <c r="V623" s="65"/>
      <c r="W623" s="65"/>
      <c r="X623" s="65"/>
      <c r="Y623" s="65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0000" customHeight="1">
      <c r="B624" s="88"/>
      <c r="H624" s="277"/>
      <c r="I624" s="65"/>
      <c r="J624" s="277"/>
      <c r="K624" s="188"/>
      <c r="L624" s="277"/>
      <c r="O624" s="465"/>
      <c r="P624" s="190"/>
      <c r="Q624" s="13"/>
      <c r="R624" s="13"/>
      <c r="S624" s="65"/>
      <c r="T624" s="65"/>
      <c r="U624" s="65"/>
      <c r="V624" s="65"/>
      <c r="W624" s="65"/>
      <c r="X624" s="65"/>
      <c r="Y624" s="65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0000" customHeight="1">
      <c r="B625" s="88"/>
      <c r="H625" s="277"/>
      <c r="I625" s="65"/>
      <c r="J625" s="277"/>
      <c r="K625" s="65"/>
      <c r="L625" s="277"/>
      <c r="O625" s="465"/>
      <c r="P625" s="190"/>
      <c r="Q625" s="13"/>
      <c r="R625" s="13"/>
      <c r="S625" s="65"/>
      <c r="T625" s="65"/>
      <c r="U625" s="65"/>
      <c r="V625" s="65"/>
      <c r="W625" s="65"/>
      <c r="X625" s="65"/>
      <c r="Y625" s="65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0000" customHeight="1">
      <c r="B626" s="88"/>
      <c r="H626" s="460"/>
      <c r="I626" s="65"/>
      <c r="J626" s="277"/>
      <c r="K626" s="65"/>
      <c r="L626" s="277"/>
      <c r="O626" s="465"/>
      <c r="P626" s="190"/>
      <c r="Q626" s="13"/>
      <c r="R626" s="13"/>
      <c r="S626" s="65"/>
      <c r="T626" s="65"/>
      <c r="U626" s="65"/>
      <c r="V626" s="65"/>
      <c r="W626" s="65"/>
      <c r="X626" s="65"/>
      <c r="Y626" s="65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0000" customHeight="1">
      <c r="A627" s="156" t="s">
        <v>116</v>
      </c>
      <c r="B627" s="88"/>
      <c r="C627" s="241"/>
      <c r="D627" s="241"/>
      <c r="E627" s="158">
        <f>F627*120%</f>
        <v>0</v>
      </c>
      <c r="F627" s="158">
        <f>(D627-C627+1)*G627</f>
        <v>0</v>
      </c>
      <c r="G627" s="159">
        <f>M627*40</f>
        <v>0</v>
      </c>
      <c r="H627" s="277"/>
      <c r="I627" s="65"/>
      <c r="J627" s="277"/>
      <c r="K627" s="65"/>
      <c r="L627" s="162"/>
      <c r="M627" s="162"/>
      <c r="N627" s="163"/>
      <c r="O627" s="465"/>
      <c r="P627" s="190"/>
      <c r="Q627" s="13"/>
      <c r="R627" s="13"/>
      <c r="S627" s="65"/>
      <c r="T627" s="65"/>
      <c r="U627" s="65"/>
      <c r="V627" s="65"/>
      <c r="W627" s="65"/>
      <c r="X627" s="65"/>
      <c r="Y627" s="65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0000" customHeight="1">
      <c r="B628" s="88"/>
      <c r="H628" s="277"/>
      <c r="I628" s="65"/>
      <c r="J628" s="277"/>
      <c r="K628" s="188"/>
      <c r="L628" s="162"/>
      <c r="O628" s="465"/>
      <c r="P628" s="190"/>
      <c r="Q628" s="13"/>
      <c r="R628" s="13"/>
      <c r="S628" s="65"/>
      <c r="T628" s="65"/>
      <c r="U628" s="65"/>
      <c r="V628" s="65"/>
      <c r="W628" s="65"/>
      <c r="X628" s="65"/>
      <c r="Y628" s="65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0000" customHeight="1">
      <c r="B629" s="88"/>
      <c r="H629" s="277"/>
      <c r="I629" s="65"/>
      <c r="J629" s="277"/>
      <c r="K629" s="188"/>
      <c r="L629" s="162"/>
      <c r="O629" s="465"/>
      <c r="P629" s="190"/>
      <c r="Q629" s="13"/>
      <c r="R629" s="13"/>
      <c r="S629" s="65"/>
      <c r="T629" s="65"/>
      <c r="U629" s="65"/>
      <c r="V629" s="65"/>
      <c r="W629" s="65"/>
      <c r="X629" s="65"/>
      <c r="Y629" s="65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0000" customHeight="1">
      <c r="B630" s="88"/>
      <c r="H630" s="277"/>
      <c r="I630" s="65"/>
      <c r="J630" s="277"/>
      <c r="K630" s="65"/>
      <c r="L630" s="162"/>
      <c r="O630" s="465"/>
      <c r="P630" s="190"/>
      <c r="Q630" s="13"/>
      <c r="R630" s="13"/>
      <c r="S630" s="65"/>
      <c r="T630" s="65"/>
      <c r="U630" s="65"/>
      <c r="V630" s="65"/>
      <c r="W630" s="65"/>
      <c r="X630" s="65"/>
      <c r="Y630" s="65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0000" customHeight="1">
      <c r="B631" s="88"/>
      <c r="H631" s="460"/>
      <c r="I631" s="65"/>
      <c r="J631" s="277"/>
      <c r="K631" s="65"/>
      <c r="L631" s="162"/>
      <c r="O631" s="465"/>
      <c r="P631" s="190"/>
      <c r="Q631" s="13"/>
      <c r="R631" s="13"/>
      <c r="S631" s="65"/>
      <c r="T631" s="65"/>
      <c r="U631" s="65"/>
      <c r="V631" s="65"/>
      <c r="W631" s="65"/>
      <c r="X631" s="65"/>
      <c r="Y631" s="65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0000" customHeight="1">
      <c r="A632" s="156" t="s">
        <v>116</v>
      </c>
      <c r="B632" s="88"/>
      <c r="C632" s="241"/>
      <c r="D632" s="241"/>
      <c r="E632" s="158">
        <f>F632*120%</f>
        <v>0</v>
      </c>
      <c r="F632" s="158">
        <f>(D632-C632+1)*G632</f>
        <v>0</v>
      </c>
      <c r="G632" s="159">
        <f>M632*40</f>
        <v>0</v>
      </c>
      <c r="H632" s="277"/>
      <c r="I632" s="65"/>
      <c r="J632" s="277"/>
      <c r="K632" s="65"/>
      <c r="L632" s="277"/>
      <c r="M632" s="277"/>
      <c r="N632" s="163"/>
      <c r="O632" s="465"/>
      <c r="P632" s="190"/>
      <c r="Q632" s="13"/>
      <c r="R632" s="13"/>
      <c r="S632" s="65"/>
      <c r="T632" s="65"/>
      <c r="U632" s="65"/>
      <c r="V632" s="65"/>
      <c r="W632" s="65"/>
      <c r="X632" s="65"/>
      <c r="Y632" s="65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0000" customHeight="1">
      <c r="B633" s="88"/>
      <c r="H633" s="277"/>
      <c r="I633" s="65"/>
      <c r="J633" s="277"/>
      <c r="K633" s="188"/>
      <c r="L633" s="277"/>
      <c r="O633" s="465"/>
      <c r="P633" s="190"/>
      <c r="Q633" s="13"/>
      <c r="R633" s="13"/>
      <c r="S633" s="65"/>
      <c r="T633" s="65"/>
      <c r="U633" s="65"/>
      <c r="V633" s="65"/>
      <c r="W633" s="65"/>
      <c r="X633" s="65"/>
      <c r="Y633" s="65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0000" customHeight="1">
      <c r="B634" s="88"/>
      <c r="H634" s="277"/>
      <c r="I634" s="65"/>
      <c r="J634" s="277"/>
      <c r="K634" s="188"/>
      <c r="L634" s="277"/>
      <c r="O634" s="465"/>
      <c r="P634" s="190"/>
      <c r="Q634" s="13"/>
      <c r="R634" s="13"/>
      <c r="S634" s="65"/>
      <c r="T634" s="65"/>
      <c r="U634" s="65"/>
      <c r="V634" s="65"/>
      <c r="W634" s="65"/>
      <c r="X634" s="65"/>
      <c r="Y634" s="65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0000" customHeight="1">
      <c r="B635" s="88"/>
      <c r="H635" s="277"/>
      <c r="I635" s="65"/>
      <c r="J635" s="277"/>
      <c r="K635" s="65"/>
      <c r="L635" s="277"/>
      <c r="O635" s="465"/>
      <c r="P635" s="190"/>
      <c r="Q635" s="13"/>
      <c r="R635" s="13"/>
      <c r="S635" s="65"/>
      <c r="T635" s="65"/>
      <c r="U635" s="65"/>
      <c r="V635" s="65"/>
      <c r="W635" s="65"/>
      <c r="X635" s="65"/>
      <c r="Y635" s="65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0000" customHeight="1">
      <c r="B636" s="88"/>
      <c r="H636" s="460"/>
      <c r="I636" s="65"/>
      <c r="J636" s="277"/>
      <c r="K636" s="65"/>
      <c r="L636" s="277"/>
      <c r="O636" s="465"/>
      <c r="P636" s="190"/>
      <c r="Q636" s="13"/>
      <c r="R636" s="13"/>
      <c r="S636" s="65"/>
      <c r="T636" s="65"/>
      <c r="U636" s="65"/>
      <c r="V636" s="65"/>
      <c r="W636" s="65"/>
      <c r="X636" s="65"/>
      <c r="Y636" s="65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0000" customHeight="1">
      <c r="A637" s="156" t="s">
        <v>116</v>
      </c>
      <c r="B637" s="88"/>
      <c r="C637" s="241"/>
      <c r="D637" s="241"/>
      <c r="E637" s="158">
        <f>F637*120%</f>
        <v>0</v>
      </c>
      <c r="F637" s="158">
        <f>(D637-C637+1)*G637</f>
        <v>0</v>
      </c>
      <c r="G637" s="159">
        <f>M637*40</f>
        <v>0</v>
      </c>
      <c r="H637" s="277"/>
      <c r="I637" s="65"/>
      <c r="J637" s="277"/>
      <c r="K637" s="65"/>
      <c r="L637" s="162"/>
      <c r="M637" s="162"/>
      <c r="N637" s="163"/>
      <c r="O637" s="164"/>
      <c r="P637" s="190"/>
      <c r="Q637" s="13"/>
      <c r="R637" s="13"/>
      <c r="S637" s="65"/>
      <c r="T637" s="65"/>
      <c r="U637" s="65"/>
      <c r="V637" s="65"/>
      <c r="W637" s="65"/>
      <c r="X637" s="65"/>
      <c r="Y637" s="65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0000" customHeight="1">
      <c r="B638" s="88"/>
      <c r="H638" s="277"/>
      <c r="I638" s="65"/>
      <c r="J638" s="277"/>
      <c r="K638" s="188"/>
      <c r="L638" s="162"/>
      <c r="O638" s="164"/>
      <c r="P638" s="190"/>
      <c r="Q638" s="13"/>
      <c r="R638" s="13"/>
      <c r="S638" s="65"/>
      <c r="T638" s="65"/>
      <c r="U638" s="65"/>
      <c r="V638" s="65"/>
      <c r="W638" s="65"/>
      <c r="X638" s="65"/>
      <c r="Y638" s="65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0000" customHeight="1">
      <c r="B639" s="88"/>
      <c r="H639" s="277"/>
      <c r="I639" s="65"/>
      <c r="J639" s="277"/>
      <c r="K639" s="188"/>
      <c r="L639" s="162"/>
      <c r="O639" s="164"/>
      <c r="P639" s="190"/>
      <c r="Q639" s="13"/>
      <c r="R639" s="13"/>
      <c r="S639" s="65"/>
      <c r="T639" s="65"/>
      <c r="U639" s="65"/>
      <c r="V639" s="65"/>
      <c r="W639" s="65"/>
      <c r="X639" s="65"/>
      <c r="Y639" s="65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0000" customHeight="1">
      <c r="B640" s="88"/>
      <c r="H640" s="277"/>
      <c r="I640" s="65"/>
      <c r="J640" s="277"/>
      <c r="K640" s="65"/>
      <c r="L640" s="162"/>
      <c r="O640" s="164"/>
      <c r="P640" s="190"/>
      <c r="Q640" s="13"/>
      <c r="R640" s="13"/>
      <c r="S640" s="65"/>
      <c r="T640" s="65"/>
      <c r="U640" s="65"/>
      <c r="V640" s="65"/>
      <c r="W640" s="65"/>
      <c r="X640" s="65"/>
      <c r="Y640" s="65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0000" customHeight="1">
      <c r="B641" s="88"/>
      <c r="H641" s="460"/>
      <c r="I641" s="65"/>
      <c r="J641" s="277"/>
      <c r="K641" s="65"/>
      <c r="L641" s="162"/>
      <c r="O641" s="164"/>
      <c r="P641" s="190"/>
      <c r="Q641" s="13"/>
      <c r="R641" s="13"/>
      <c r="S641" s="65"/>
      <c r="T641" s="65"/>
      <c r="U641" s="65"/>
      <c r="V641" s="65"/>
      <c r="W641" s="65"/>
      <c r="X641" s="65"/>
      <c r="Y641" s="65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0000" customHeight="1">
      <c r="A642" s="156" t="s">
        <v>116</v>
      </c>
      <c r="B642" s="88"/>
      <c r="C642" s="241"/>
      <c r="D642" s="241"/>
      <c r="E642" s="158">
        <f>F642*120%</f>
        <v>0</v>
      </c>
      <c r="F642" s="158">
        <f>(D642-C642+1)*G642</f>
        <v>0</v>
      </c>
      <c r="G642" s="159">
        <f>M642*40</f>
        <v>0</v>
      </c>
      <c r="H642" s="277"/>
      <c r="I642" s="65"/>
      <c r="J642" s="277"/>
      <c r="K642" s="65"/>
      <c r="L642" s="162"/>
      <c r="M642" s="162"/>
      <c r="N642" s="163"/>
      <c r="O642" s="164"/>
      <c r="P642" s="190"/>
      <c r="Q642" s="13"/>
      <c r="R642" s="13"/>
      <c r="S642" s="65"/>
      <c r="T642" s="65"/>
      <c r="U642" s="65"/>
      <c r="V642" s="65"/>
      <c r="W642" s="65"/>
      <c r="X642" s="65"/>
      <c r="Y642" s="65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0000" customHeight="1">
      <c r="B643" s="88"/>
      <c r="H643" s="277"/>
      <c r="I643" s="65"/>
      <c r="J643" s="277"/>
      <c r="K643" s="188"/>
      <c r="L643" s="162"/>
      <c r="O643" s="164"/>
      <c r="P643" s="190"/>
      <c r="Q643" s="13"/>
      <c r="R643" s="13"/>
      <c r="S643" s="65"/>
      <c r="T643" s="65"/>
      <c r="U643" s="65"/>
      <c r="V643" s="65"/>
      <c r="W643" s="65"/>
      <c r="X643" s="65"/>
      <c r="Y643" s="65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0000" customHeight="1">
      <c r="B644" s="88"/>
      <c r="H644" s="277"/>
      <c r="I644" s="65"/>
      <c r="J644" s="277"/>
      <c r="K644" s="188"/>
      <c r="L644" s="162"/>
      <c r="O644" s="164"/>
      <c r="P644" s="190"/>
      <c r="Q644" s="13"/>
      <c r="R644" s="13"/>
      <c r="S644" s="65"/>
      <c r="T644" s="65"/>
      <c r="U644" s="65"/>
      <c r="V644" s="65"/>
      <c r="W644" s="65"/>
      <c r="X644" s="65"/>
      <c r="Y644" s="65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0000" customHeight="1">
      <c r="B645" s="88"/>
      <c r="H645" s="277"/>
      <c r="I645" s="65"/>
      <c r="J645" s="277"/>
      <c r="K645" s="65"/>
      <c r="L645" s="162"/>
      <c r="O645" s="164"/>
      <c r="P645" s="190"/>
      <c r="Q645" s="13"/>
      <c r="R645" s="13"/>
      <c r="S645" s="65"/>
      <c r="T645" s="65"/>
      <c r="U645" s="65"/>
      <c r="V645" s="65"/>
      <c r="W645" s="65"/>
      <c r="X645" s="65"/>
      <c r="Y645" s="65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0000" customHeight="1">
      <c r="B646" s="88"/>
      <c r="H646" s="460"/>
      <c r="I646" s="65"/>
      <c r="J646" s="162"/>
      <c r="K646" s="65"/>
      <c r="L646" s="162"/>
      <c r="O646" s="164"/>
      <c r="P646" s="190"/>
      <c r="Q646" s="13"/>
      <c r="R646" s="13"/>
      <c r="S646" s="65"/>
      <c r="T646" s="65"/>
      <c r="U646" s="65"/>
      <c r="V646" s="65"/>
      <c r="W646" s="65"/>
      <c r="X646" s="65"/>
      <c r="Y646" s="65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0000" customHeight="1">
      <c r="A647" s="156" t="s">
        <v>116</v>
      </c>
      <c r="B647" s="88"/>
      <c r="C647" s="241"/>
      <c r="D647" s="241"/>
      <c r="E647" s="158">
        <f>F647*120%</f>
        <v>0</v>
      </c>
      <c r="F647" s="158">
        <f>(D647-C647+1)*G647</f>
        <v>0</v>
      </c>
      <c r="G647" s="159">
        <f>M647*40</f>
        <v>0</v>
      </c>
      <c r="H647" s="162"/>
      <c r="I647" s="65"/>
      <c r="J647" s="162"/>
      <c r="K647" s="65"/>
      <c r="L647" s="162"/>
      <c r="M647" s="162"/>
      <c r="N647" s="163"/>
      <c r="O647" s="164"/>
      <c r="P647" s="190"/>
      <c r="Q647" s="13"/>
      <c r="R647" s="13"/>
      <c r="S647" s="65"/>
      <c r="T647" s="65"/>
      <c r="U647" s="65"/>
      <c r="V647" s="65"/>
      <c r="W647" s="65"/>
      <c r="X647" s="65"/>
      <c r="Y647" s="65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0000" customHeight="1">
      <c r="B648" s="88"/>
      <c r="H648" s="162"/>
      <c r="I648" s="65"/>
      <c r="J648" s="162"/>
      <c r="K648" s="188"/>
      <c r="L648" s="162"/>
      <c r="O648" s="164"/>
      <c r="P648" s="190"/>
      <c r="Q648" s="13"/>
      <c r="R648" s="13"/>
      <c r="S648" s="65"/>
      <c r="T648" s="65"/>
      <c r="U648" s="65"/>
      <c r="V648" s="65"/>
      <c r="W648" s="65"/>
      <c r="X648" s="65"/>
      <c r="Y648" s="65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0000" customHeight="1">
      <c r="B649" s="88"/>
      <c r="H649" s="162"/>
      <c r="I649" s="65"/>
      <c r="J649" s="162"/>
      <c r="K649" s="188"/>
      <c r="L649" s="162"/>
      <c r="O649" s="164"/>
      <c r="P649" s="190"/>
      <c r="Q649" s="13"/>
      <c r="R649" s="13"/>
      <c r="S649" s="65"/>
      <c r="T649" s="65"/>
      <c r="U649" s="65"/>
      <c r="V649" s="65"/>
      <c r="W649" s="65"/>
      <c r="X649" s="65"/>
      <c r="Y649" s="65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0000" customHeight="1">
      <c r="B650" s="88"/>
      <c r="H650" s="162"/>
      <c r="I650" s="65"/>
      <c r="J650" s="162"/>
      <c r="K650" s="65"/>
      <c r="L650" s="162"/>
      <c r="O650" s="164"/>
      <c r="P650" s="190"/>
      <c r="Q650" s="13"/>
      <c r="R650" s="13"/>
      <c r="S650" s="65"/>
      <c r="T650" s="65"/>
      <c r="U650" s="65"/>
      <c r="V650" s="65"/>
      <c r="W650" s="65"/>
      <c r="X650" s="65"/>
      <c r="Y650" s="65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0000" customHeight="1">
      <c r="B651" s="88"/>
      <c r="H651" s="220"/>
      <c r="I651" s="65"/>
      <c r="J651" s="162"/>
      <c r="K651" s="65"/>
      <c r="L651" s="162"/>
      <c r="O651" s="164"/>
      <c r="P651" s="190"/>
      <c r="Q651" s="13"/>
      <c r="R651" s="13"/>
      <c r="S651" s="65"/>
      <c r="T651" s="65"/>
      <c r="U651" s="65"/>
      <c r="V651" s="65"/>
      <c r="W651" s="65"/>
      <c r="X651" s="65"/>
      <c r="Y651" s="65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0000" customHeight="1">
      <c r="A652" s="156" t="s">
        <v>116</v>
      </c>
      <c r="B652" s="88"/>
      <c r="C652" s="241"/>
      <c r="D652" s="241"/>
      <c r="E652" s="158">
        <f>F652*120%</f>
        <v>0</v>
      </c>
      <c r="F652" s="158">
        <f>(D652-C652+1)*G652</f>
        <v>0</v>
      </c>
      <c r="G652" s="159">
        <f>M652*40</f>
        <v>0</v>
      </c>
      <c r="H652" s="277"/>
      <c r="I652" s="65"/>
      <c r="J652" s="162"/>
      <c r="K652" s="65"/>
      <c r="L652" s="277"/>
      <c r="M652" s="277"/>
      <c r="N652" s="163"/>
      <c r="O652" s="164"/>
      <c r="P652" s="190"/>
      <c r="Q652" s="13"/>
      <c r="R652" s="13"/>
      <c r="S652" s="65"/>
      <c r="T652" s="65"/>
      <c r="U652" s="65"/>
      <c r="V652" s="65"/>
      <c r="W652" s="65"/>
      <c r="X652" s="65"/>
      <c r="Y652" s="65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0000" customHeight="1">
      <c r="B653" s="88"/>
      <c r="H653" s="277"/>
      <c r="I653" s="65"/>
      <c r="J653" s="162"/>
      <c r="K653" s="188"/>
      <c r="L653" s="277"/>
      <c r="O653" s="164"/>
      <c r="P653" s="190"/>
      <c r="Q653" s="13"/>
      <c r="R653" s="13"/>
      <c r="S653" s="65"/>
      <c r="T653" s="65"/>
      <c r="U653" s="65"/>
      <c r="V653" s="65"/>
      <c r="W653" s="65"/>
      <c r="X653" s="65"/>
      <c r="Y653" s="65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0000" customHeight="1">
      <c r="B654" s="88"/>
      <c r="H654" s="277"/>
      <c r="I654" s="65"/>
      <c r="J654" s="162"/>
      <c r="K654" s="188"/>
      <c r="L654" s="277"/>
      <c r="O654" s="164"/>
      <c r="P654" s="190"/>
      <c r="Q654" s="13"/>
      <c r="R654" s="13"/>
      <c r="S654" s="65"/>
      <c r="T654" s="65"/>
      <c r="U654" s="65"/>
      <c r="V654" s="65"/>
      <c r="W654" s="65"/>
      <c r="X654" s="65"/>
      <c r="Y654" s="65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0000" customHeight="1">
      <c r="B655" s="88"/>
      <c r="H655" s="277"/>
      <c r="I655" s="65"/>
      <c r="J655" s="162"/>
      <c r="K655" s="65"/>
      <c r="L655" s="277"/>
      <c r="O655" s="164"/>
      <c r="P655" s="190"/>
      <c r="Q655" s="13"/>
      <c r="R655" s="13"/>
      <c r="S655" s="65"/>
      <c r="T655" s="65"/>
      <c r="U655" s="65"/>
      <c r="V655" s="65"/>
      <c r="W655" s="65"/>
      <c r="X655" s="65"/>
      <c r="Y655" s="65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0000" customHeight="1">
      <c r="B656" s="88"/>
      <c r="H656" s="460"/>
      <c r="I656" s="65"/>
      <c r="J656" s="162"/>
      <c r="K656" s="65"/>
      <c r="L656" s="277"/>
      <c r="O656" s="164"/>
      <c r="P656" s="190"/>
      <c r="Q656" s="13"/>
      <c r="R656" s="13"/>
      <c r="S656" s="65"/>
      <c r="T656" s="65"/>
      <c r="U656" s="65"/>
      <c r="V656" s="65"/>
      <c r="W656" s="65"/>
      <c r="X656" s="65"/>
      <c r="Y656" s="65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0000" customHeight="1">
      <c r="A657" s="156" t="s">
        <v>116</v>
      </c>
      <c r="B657" s="88"/>
      <c r="C657" s="241"/>
      <c r="D657" s="241"/>
      <c r="E657" s="158">
        <f>F657*120%</f>
        <v>0</v>
      </c>
      <c r="F657" s="158">
        <f>(D657-C657+1)*G657</f>
        <v>0</v>
      </c>
      <c r="G657" s="159">
        <f>M657*40</f>
        <v>0</v>
      </c>
      <c r="H657" s="277"/>
      <c r="I657" s="65"/>
      <c r="J657" s="162"/>
      <c r="K657" s="65"/>
      <c r="L657" s="162"/>
      <c r="M657" s="162"/>
      <c r="N657" s="163"/>
      <c r="O657" s="164"/>
      <c r="P657" s="190"/>
      <c r="Q657" s="13"/>
      <c r="R657" s="13"/>
      <c r="S657" s="65"/>
      <c r="T657" s="65"/>
      <c r="U657" s="65"/>
      <c r="V657" s="65"/>
      <c r="W657" s="65"/>
      <c r="X657" s="65"/>
      <c r="Y657" s="65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0000" customHeight="1">
      <c r="B658" s="88"/>
      <c r="H658" s="277"/>
      <c r="I658" s="65"/>
      <c r="J658" s="162"/>
      <c r="K658" s="188"/>
      <c r="L658" s="162"/>
      <c r="O658" s="164"/>
      <c r="P658" s="190"/>
      <c r="Q658" s="13"/>
      <c r="R658" s="13"/>
      <c r="S658" s="65"/>
      <c r="T658" s="65"/>
      <c r="U658" s="65"/>
      <c r="V658" s="65"/>
      <c r="W658" s="65"/>
      <c r="X658" s="65"/>
      <c r="Y658" s="65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0000" customHeight="1">
      <c r="B659" s="88"/>
      <c r="H659" s="277"/>
      <c r="I659" s="65"/>
      <c r="J659" s="162"/>
      <c r="K659" s="188"/>
      <c r="L659" s="162"/>
      <c r="O659" s="164"/>
      <c r="P659" s="190"/>
      <c r="Q659" s="13"/>
      <c r="R659" s="13"/>
      <c r="S659" s="65"/>
      <c r="T659" s="65"/>
      <c r="U659" s="65"/>
      <c r="V659" s="65"/>
      <c r="W659" s="65"/>
      <c r="X659" s="65"/>
      <c r="Y659" s="65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0000" customHeight="1">
      <c r="B660" s="88"/>
      <c r="H660" s="277"/>
      <c r="I660" s="65"/>
      <c r="J660" s="162"/>
      <c r="K660" s="65"/>
      <c r="L660" s="162"/>
      <c r="O660" s="164"/>
      <c r="P660" s="190"/>
      <c r="Q660" s="13"/>
      <c r="R660" s="13"/>
      <c r="S660" s="65"/>
      <c r="T660" s="65"/>
      <c r="U660" s="65"/>
      <c r="V660" s="65"/>
      <c r="W660" s="65"/>
      <c r="X660" s="65"/>
      <c r="Y660" s="65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0000" customHeight="1">
      <c r="B661" s="88"/>
      <c r="H661" s="460"/>
      <c r="I661" s="65"/>
      <c r="J661" s="162"/>
      <c r="K661" s="65"/>
      <c r="L661" s="162"/>
      <c r="O661" s="164"/>
      <c r="P661" s="190"/>
      <c r="Q661" s="13"/>
      <c r="R661" s="13"/>
      <c r="S661" s="65"/>
      <c r="T661" s="65"/>
      <c r="U661" s="65"/>
      <c r="V661" s="65"/>
      <c r="W661" s="65"/>
      <c r="X661" s="65"/>
      <c r="Y661" s="65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0000" customHeight="1">
      <c r="A662" s="156" t="s">
        <v>116</v>
      </c>
      <c r="B662" s="88"/>
      <c r="C662" s="241"/>
      <c r="D662" s="241"/>
      <c r="E662" s="158">
        <f>F662*120%</f>
        <v>0</v>
      </c>
      <c r="F662" s="158">
        <f>(D662-C662+1)*G662</f>
        <v>0</v>
      </c>
      <c r="G662" s="159">
        <f>M662*40</f>
        <v>0</v>
      </c>
      <c r="H662" s="277"/>
      <c r="I662" s="65"/>
      <c r="J662" s="162"/>
      <c r="K662" s="65"/>
      <c r="L662" s="162"/>
      <c r="M662" s="162"/>
      <c r="N662" s="163"/>
      <c r="O662" s="164"/>
      <c r="P662" s="190"/>
      <c r="Q662" s="13"/>
      <c r="R662" s="13"/>
      <c r="S662" s="65"/>
      <c r="T662" s="65"/>
      <c r="U662" s="65"/>
      <c r="V662" s="65"/>
      <c r="W662" s="65"/>
      <c r="X662" s="65"/>
      <c r="Y662" s="65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0000" customHeight="1">
      <c r="B663" s="88"/>
      <c r="H663" s="277"/>
      <c r="I663" s="65"/>
      <c r="J663" s="162"/>
      <c r="K663" s="188"/>
      <c r="L663" s="162"/>
      <c r="O663" s="164"/>
      <c r="P663" s="190"/>
      <c r="Q663" s="13"/>
      <c r="R663" s="13"/>
      <c r="S663" s="65"/>
      <c r="T663" s="65"/>
      <c r="U663" s="65"/>
      <c r="V663" s="65"/>
      <c r="W663" s="65"/>
      <c r="X663" s="65"/>
      <c r="Y663" s="65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0000" customHeight="1">
      <c r="B664" s="88"/>
      <c r="H664" s="277"/>
      <c r="I664" s="65"/>
      <c r="J664" s="162"/>
      <c r="K664" s="188"/>
      <c r="L664" s="162"/>
      <c r="O664" s="164"/>
      <c r="P664" s="190"/>
      <c r="Q664" s="13"/>
      <c r="R664" s="13"/>
      <c r="S664" s="65"/>
      <c r="T664" s="65"/>
      <c r="U664" s="65"/>
      <c r="V664" s="65"/>
      <c r="W664" s="65"/>
      <c r="X664" s="65"/>
      <c r="Y664" s="65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0000" customHeight="1">
      <c r="B665" s="88"/>
      <c r="H665" s="277"/>
      <c r="I665" s="65"/>
      <c r="J665" s="162"/>
      <c r="K665" s="65"/>
      <c r="L665" s="162"/>
      <c r="O665" s="164"/>
      <c r="P665" s="190"/>
      <c r="Q665" s="13"/>
      <c r="R665" s="13"/>
      <c r="S665" s="65"/>
      <c r="T665" s="65"/>
      <c r="U665" s="65"/>
      <c r="V665" s="65"/>
      <c r="W665" s="65"/>
      <c r="X665" s="65"/>
      <c r="Y665" s="65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0000" customHeight="1">
      <c r="B666" s="88"/>
      <c r="H666" s="460"/>
      <c r="I666" s="65"/>
      <c r="J666" s="162"/>
      <c r="K666" s="65"/>
      <c r="L666" s="162"/>
      <c r="O666" s="164"/>
      <c r="P666" s="190"/>
      <c r="Q666" s="13"/>
      <c r="R666" s="13"/>
      <c r="S666" s="65"/>
      <c r="T666" s="65"/>
      <c r="U666" s="65"/>
      <c r="V666" s="65"/>
      <c r="W666" s="65"/>
      <c r="X666" s="65"/>
      <c r="Y666" s="65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0000" customHeight="1">
      <c r="A667" s="156" t="s">
        <v>116</v>
      </c>
      <c r="B667" s="88"/>
      <c r="C667" s="241"/>
      <c r="D667" s="241"/>
      <c r="E667" s="158">
        <f>F667*120%</f>
        <v>0</v>
      </c>
      <c r="F667" s="158">
        <f>(D667-C667+1)*G667</f>
        <v>0</v>
      </c>
      <c r="G667" s="159">
        <f>M667*40</f>
        <v>0</v>
      </c>
      <c r="H667" s="162"/>
      <c r="I667" s="65"/>
      <c r="J667" s="162"/>
      <c r="K667" s="65"/>
      <c r="L667" s="162"/>
      <c r="M667" s="162"/>
      <c r="N667" s="163"/>
      <c r="O667" s="164"/>
      <c r="P667" s="190"/>
      <c r="Q667" s="13"/>
      <c r="R667" s="13"/>
      <c r="S667" s="65"/>
      <c r="T667" s="65"/>
      <c r="U667" s="65"/>
      <c r="V667" s="65"/>
      <c r="W667" s="65"/>
      <c r="X667" s="65"/>
      <c r="Y667" s="65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0000" customHeight="1">
      <c r="B668" s="88"/>
      <c r="H668" s="162"/>
      <c r="I668" s="65"/>
      <c r="J668" s="162"/>
      <c r="K668" s="188"/>
      <c r="L668" s="162"/>
      <c r="O668" s="164"/>
      <c r="P668" s="190"/>
      <c r="Q668" s="13"/>
      <c r="R668" s="13"/>
      <c r="S668" s="65"/>
      <c r="T668" s="65"/>
      <c r="U668" s="65"/>
      <c r="V668" s="65"/>
      <c r="W668" s="65"/>
      <c r="X668" s="65"/>
      <c r="Y668" s="65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0000" customHeight="1">
      <c r="B669" s="88"/>
      <c r="H669" s="162"/>
      <c r="I669" s="65"/>
      <c r="J669" s="162"/>
      <c r="K669" s="188"/>
      <c r="L669" s="162"/>
      <c r="O669" s="164"/>
      <c r="P669" s="190"/>
      <c r="Q669" s="13"/>
      <c r="R669" s="13"/>
      <c r="S669" s="65"/>
      <c r="T669" s="65"/>
      <c r="U669" s="65"/>
      <c r="V669" s="65"/>
      <c r="W669" s="65"/>
      <c r="X669" s="65"/>
      <c r="Y669" s="65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0000" customHeight="1">
      <c r="B670" s="88"/>
      <c r="H670" s="162"/>
      <c r="I670" s="65"/>
      <c r="J670" s="162"/>
      <c r="K670" s="65"/>
      <c r="L670" s="162"/>
      <c r="O670" s="164"/>
      <c r="P670" s="190"/>
      <c r="Q670" s="13"/>
      <c r="R670" s="13"/>
      <c r="S670" s="65"/>
      <c r="T670" s="65"/>
      <c r="U670" s="65"/>
      <c r="V670" s="65"/>
      <c r="W670" s="65"/>
      <c r="X670" s="65"/>
      <c r="Y670" s="65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0000" customHeight="1">
      <c r="B671" s="88"/>
      <c r="H671" s="220"/>
      <c r="I671" s="65"/>
      <c r="J671" s="162"/>
      <c r="K671" s="65"/>
      <c r="L671" s="162"/>
      <c r="O671" s="164"/>
      <c r="P671" s="190"/>
      <c r="Q671" s="13"/>
      <c r="R671" s="13"/>
      <c r="S671" s="65"/>
      <c r="T671" s="65"/>
      <c r="U671" s="65"/>
      <c r="V671" s="65"/>
      <c r="W671" s="65"/>
      <c r="X671" s="65"/>
      <c r="Y671" s="65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0000" customHeight="1">
      <c r="A672" s="156" t="s">
        <v>116</v>
      </c>
      <c r="B672" s="88"/>
      <c r="C672" s="241"/>
      <c r="D672" s="241"/>
      <c r="E672" s="158">
        <f>F672*120%</f>
        <v>0</v>
      </c>
      <c r="F672" s="158">
        <f>(D672-C672+1)*G672</f>
        <v>0</v>
      </c>
      <c r="G672" s="159">
        <f>M672*40</f>
        <v>0</v>
      </c>
      <c r="H672" s="474"/>
      <c r="I672" s="65"/>
      <c r="J672" s="162"/>
      <c r="K672" s="65"/>
      <c r="L672" s="162"/>
      <c r="M672" s="162"/>
      <c r="N672" s="163"/>
      <c r="O672" s="164"/>
      <c r="P672" s="65"/>
      <c r="Q672" s="13"/>
      <c r="R672" s="13"/>
      <c r="S672" s="65"/>
      <c r="T672" s="65"/>
      <c r="U672" s="65"/>
      <c r="V672" s="65"/>
      <c r="W672" s="65"/>
      <c r="X672" s="65"/>
      <c r="Y672" s="65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0000" customHeight="1">
      <c r="B673" s="88"/>
      <c r="H673" s="474"/>
      <c r="I673" s="65"/>
      <c r="J673" s="162"/>
      <c r="K673" s="65"/>
      <c r="L673" s="162"/>
      <c r="O673" s="164"/>
      <c r="P673" s="65"/>
      <c r="Q673" s="13"/>
      <c r="R673" s="13"/>
      <c r="S673" s="65"/>
      <c r="T673" s="65"/>
      <c r="U673" s="65"/>
      <c r="V673" s="65"/>
      <c r="W673" s="65"/>
      <c r="X673" s="65"/>
      <c r="Y673" s="65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0000" customHeight="1">
      <c r="B674" s="88"/>
      <c r="H674" s="474"/>
      <c r="I674" s="65"/>
      <c r="J674" s="162"/>
      <c r="K674" s="188"/>
      <c r="L674" s="162"/>
      <c r="O674" s="164"/>
      <c r="P674" s="65"/>
      <c r="Q674" s="13"/>
      <c r="R674" s="13"/>
      <c r="S674" s="65"/>
      <c r="T674" s="65"/>
      <c r="U674" s="65"/>
      <c r="V674" s="65"/>
      <c r="W674" s="65"/>
      <c r="X674" s="65"/>
      <c r="Y674" s="65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0000" customHeight="1">
      <c r="B675" s="88"/>
      <c r="H675" s="474"/>
      <c r="I675" s="65"/>
      <c r="J675" s="162"/>
      <c r="K675" s="65"/>
      <c r="L675" s="162"/>
      <c r="O675" s="164"/>
      <c r="P675" s="65"/>
      <c r="Q675" s="13"/>
      <c r="R675" s="13"/>
      <c r="S675" s="65"/>
      <c r="T675" s="65"/>
      <c r="U675" s="65"/>
      <c r="V675" s="65"/>
      <c r="W675" s="65"/>
      <c r="X675" s="65"/>
      <c r="Y675" s="65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0000" customHeight="1">
      <c r="B676" s="88"/>
      <c r="H676" s="169"/>
      <c r="I676" s="65"/>
      <c r="J676" s="162"/>
      <c r="K676" s="65"/>
      <c r="L676" s="65"/>
      <c r="O676" s="164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0000" customHeight="1">
      <c r="A677" s="156" t="s">
        <v>116</v>
      </c>
      <c r="B677" s="88"/>
      <c r="C677" s="241"/>
      <c r="D677" s="241"/>
      <c r="E677" s="158">
        <f>F677*120%</f>
        <v>0</v>
      </c>
      <c r="F677" s="158">
        <f>(D677-C677+1)*G677</f>
        <v>0</v>
      </c>
      <c r="G677" s="159">
        <f>M677*40</f>
        <v>0</v>
      </c>
      <c r="H677" s="474"/>
      <c r="I677" s="65"/>
      <c r="J677" s="277"/>
      <c r="K677" s="65"/>
      <c r="L677" s="162"/>
      <c r="M677" s="162"/>
      <c r="N677" s="163"/>
      <c r="O677" s="164"/>
      <c r="P677" s="65"/>
      <c r="Q677" s="13"/>
      <c r="R677" s="13"/>
      <c r="S677" s="65"/>
      <c r="T677" s="65"/>
      <c r="U677" s="65"/>
      <c r="V677" s="65"/>
      <c r="W677" s="65"/>
      <c r="X677" s="65"/>
      <c r="Y677" s="65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0000" customHeight="1">
      <c r="B678" s="88"/>
      <c r="H678" s="474"/>
      <c r="I678" s="65"/>
      <c r="J678" s="277"/>
      <c r="K678" s="65"/>
      <c r="L678" s="162"/>
      <c r="O678" s="164"/>
      <c r="P678" s="65"/>
      <c r="Q678" s="13"/>
      <c r="R678" s="13"/>
      <c r="S678" s="65"/>
      <c r="T678" s="65"/>
      <c r="U678" s="65"/>
      <c r="V678" s="65"/>
      <c r="W678" s="65"/>
      <c r="X678" s="65"/>
      <c r="Y678" s="65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0000" customHeight="1">
      <c r="B679" s="88"/>
      <c r="H679" s="474"/>
      <c r="I679" s="65"/>
      <c r="J679" s="277"/>
      <c r="K679" s="65"/>
      <c r="L679" s="162"/>
      <c r="O679" s="164"/>
      <c r="P679" s="65"/>
      <c r="Q679" s="13"/>
      <c r="R679" s="13"/>
      <c r="S679" s="65"/>
      <c r="T679" s="65"/>
      <c r="U679" s="65"/>
      <c r="V679" s="65"/>
      <c r="W679" s="65"/>
      <c r="X679" s="65"/>
      <c r="Y679" s="65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0000" customHeight="1">
      <c r="B680" s="88"/>
      <c r="H680" s="162"/>
      <c r="I680" s="65"/>
      <c r="J680" s="162"/>
      <c r="K680" s="65"/>
      <c r="L680" s="162"/>
      <c r="O680" s="164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0000" customHeight="1">
      <c r="B681" s="88"/>
      <c r="H681" s="220"/>
      <c r="I681" s="65"/>
      <c r="J681" s="162"/>
      <c r="K681" s="65"/>
      <c r="L681" s="162"/>
      <c r="O681" s="164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0000" customHeight="1">
      <c r="A682" s="156" t="s">
        <v>116</v>
      </c>
      <c r="B682" s="88"/>
      <c r="C682" s="243"/>
      <c r="D682" s="243"/>
      <c r="E682" s="158">
        <f>F682*120%</f>
        <v>0</v>
      </c>
      <c r="F682" s="158">
        <f>(D682-C682+1)*G682</f>
        <v>0</v>
      </c>
      <c r="G682" s="159">
        <f>M682*40</f>
        <v>0</v>
      </c>
      <c r="H682" s="162"/>
      <c r="I682" s="65"/>
      <c r="J682" s="253"/>
      <c r="K682" s="188"/>
      <c r="L682" s="162"/>
      <c r="M682" s="162"/>
      <c r="N682" s="163"/>
      <c r="O682" s="467"/>
      <c r="P682" s="190"/>
      <c r="Q682" s="13"/>
      <c r="R682" s="13"/>
      <c r="S682" s="65"/>
      <c r="T682" s="65"/>
      <c r="U682" s="65"/>
      <c r="V682" s="65"/>
      <c r="W682" s="65"/>
      <c r="X682" s="65"/>
      <c r="Y682" s="65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0000" customHeight="1">
      <c r="B683" s="1"/>
      <c r="H683" s="162"/>
      <c r="I683" s="65"/>
      <c r="J683" s="253"/>
      <c r="K683" s="188"/>
      <c r="L683" s="162"/>
      <c r="O683" s="467"/>
      <c r="P683" s="190"/>
      <c r="Q683" s="13"/>
      <c r="R683" s="13"/>
      <c r="S683" s="65"/>
      <c r="T683" s="65"/>
      <c r="U683" s="65"/>
      <c r="V683" s="65"/>
      <c r="W683" s="65"/>
      <c r="X683" s="65"/>
      <c r="Y683" s="65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0000" customHeight="1">
      <c r="B684" s="1"/>
      <c r="H684" s="162"/>
      <c r="I684" s="65"/>
      <c r="J684" s="253"/>
      <c r="K684" s="188"/>
      <c r="L684" s="162"/>
      <c r="O684" s="467"/>
      <c r="P684" s="190"/>
      <c r="Q684" s="13"/>
      <c r="R684" s="13"/>
      <c r="S684" s="65"/>
      <c r="T684" s="65"/>
      <c r="U684" s="65"/>
      <c r="V684" s="65"/>
      <c r="W684" s="65"/>
      <c r="X684" s="65"/>
      <c r="Y684" s="65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0000" customHeight="1">
      <c r="B685" s="1"/>
      <c r="H685" s="162"/>
      <c r="I685" s="65"/>
      <c r="J685" s="253"/>
      <c r="K685" s="65"/>
      <c r="L685" s="162"/>
      <c r="O685" s="467"/>
      <c r="P685" s="190"/>
      <c r="Q685" s="13"/>
      <c r="R685" s="13"/>
      <c r="S685" s="65"/>
      <c r="T685" s="65"/>
      <c r="U685" s="65"/>
      <c r="V685" s="65"/>
      <c r="W685" s="65"/>
      <c r="X685" s="65"/>
      <c r="Y685" s="65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0000" customHeight="1">
      <c r="B686" s="1"/>
      <c r="H686" s="220"/>
      <c r="I686" s="65"/>
      <c r="J686" s="162"/>
      <c r="K686" s="65"/>
      <c r="L686" s="162"/>
      <c r="O686" s="467"/>
      <c r="P686" s="190"/>
      <c r="Q686" s="65"/>
      <c r="R686" s="65"/>
      <c r="S686" s="65"/>
      <c r="T686" s="65"/>
      <c r="U686" s="65"/>
      <c r="V686" s="65"/>
      <c r="W686" s="65"/>
      <c r="X686" s="65"/>
      <c r="Y686" s="65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0000" customHeight="1">
      <c r="A687" s="156" t="s">
        <v>116</v>
      </c>
      <c r="B687" s="88"/>
      <c r="C687" s="241"/>
      <c r="D687" s="241"/>
      <c r="E687" s="158">
        <f>F687*120%</f>
        <v>0</v>
      </c>
      <c r="F687" s="158">
        <f>(D687-C687+1)*G687</f>
        <v>0</v>
      </c>
      <c r="G687" s="159">
        <f>M687*40</f>
        <v>0</v>
      </c>
      <c r="H687" s="162"/>
      <c r="I687" s="65"/>
      <c r="J687" s="277"/>
      <c r="K687" s="188"/>
      <c r="L687" s="277"/>
      <c r="M687" s="162"/>
      <c r="N687" s="163"/>
      <c r="O687" s="190"/>
      <c r="P687" s="65"/>
      <c r="Q687" s="13"/>
      <c r="R687" s="13"/>
      <c r="S687" s="65"/>
      <c r="T687" s="65"/>
      <c r="U687" s="65"/>
      <c r="V687" s="65"/>
      <c r="W687" s="65"/>
      <c r="X687" s="65"/>
      <c r="Y687" s="65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0000" customHeight="1">
      <c r="B688" s="88"/>
      <c r="H688" s="162"/>
      <c r="I688" s="65"/>
      <c r="J688" s="277"/>
      <c r="K688" s="188"/>
      <c r="L688" s="277"/>
      <c r="O688" s="190"/>
      <c r="P688" s="65"/>
      <c r="Q688" s="13"/>
      <c r="R688" s="13"/>
      <c r="S688" s="65"/>
      <c r="T688" s="65"/>
      <c r="U688" s="65"/>
      <c r="V688" s="65"/>
      <c r="W688" s="65"/>
      <c r="X688" s="65"/>
      <c r="Y688" s="65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0000" customHeight="1">
      <c r="B689" s="88"/>
      <c r="H689" s="162"/>
      <c r="I689" s="65"/>
      <c r="J689" s="277"/>
      <c r="K689" s="188"/>
      <c r="L689" s="277"/>
      <c r="O689" s="190"/>
      <c r="P689" s="65"/>
      <c r="Q689" s="13"/>
      <c r="R689" s="13"/>
      <c r="S689" s="65"/>
      <c r="T689" s="65"/>
      <c r="U689" s="65"/>
      <c r="V689" s="65"/>
      <c r="W689" s="65"/>
      <c r="X689" s="65"/>
      <c r="Y689" s="65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0000" customHeight="1">
      <c r="B690" s="88"/>
      <c r="H690" s="162"/>
      <c r="I690" s="65"/>
      <c r="J690" s="277"/>
      <c r="K690" s="65"/>
      <c r="L690" s="277"/>
      <c r="O690" s="190"/>
      <c r="P690" s="65"/>
      <c r="Q690" s="13"/>
      <c r="R690" s="13"/>
      <c r="S690" s="65"/>
      <c r="T690" s="65"/>
      <c r="U690" s="65"/>
      <c r="V690" s="65"/>
      <c r="W690" s="65"/>
      <c r="X690" s="65"/>
      <c r="Y690" s="65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0000" customHeight="1">
      <c r="B691" s="88"/>
      <c r="H691" s="442"/>
      <c r="I691" s="65"/>
      <c r="J691" s="277"/>
      <c r="K691" s="65"/>
      <c r="L691" s="162"/>
      <c r="O691" s="190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0000" customHeight="1">
      <c r="A692" s="156" t="s">
        <v>116</v>
      </c>
      <c r="B692" s="88"/>
      <c r="C692" s="241"/>
      <c r="D692" s="241"/>
      <c r="E692" s="158">
        <f>F692*120%</f>
        <v>0</v>
      </c>
      <c r="F692" s="158">
        <f>(D692-C692+1)*G692</f>
        <v>0</v>
      </c>
      <c r="G692" s="159">
        <f>M692*40</f>
        <v>0</v>
      </c>
      <c r="H692" s="162"/>
      <c r="I692" s="65"/>
      <c r="J692" s="277"/>
      <c r="K692" s="188"/>
      <c r="L692" s="277"/>
      <c r="M692" s="162"/>
      <c r="N692" s="163"/>
      <c r="O692" s="190"/>
      <c r="P692" s="65"/>
      <c r="Q692" s="13"/>
      <c r="R692" s="13"/>
      <c r="S692" s="65"/>
      <c r="T692" s="65"/>
      <c r="U692" s="65"/>
      <c r="V692" s="65"/>
      <c r="W692" s="65"/>
      <c r="X692" s="65"/>
      <c r="Y692" s="65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0000" customHeight="1">
      <c r="B693" s="88"/>
      <c r="H693" s="162"/>
      <c r="I693" s="65"/>
      <c r="J693" s="277"/>
      <c r="K693" s="65"/>
      <c r="L693" s="277"/>
      <c r="O693" s="190"/>
      <c r="P693" s="65"/>
      <c r="Q693" s="13"/>
      <c r="R693" s="13"/>
      <c r="S693" s="65"/>
      <c r="T693" s="65"/>
      <c r="U693" s="65"/>
      <c r="V693" s="65"/>
      <c r="W693" s="65"/>
      <c r="X693" s="65"/>
      <c r="Y693" s="65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0000" customHeight="1">
      <c r="B694" s="88"/>
      <c r="H694" s="162"/>
      <c r="I694" s="65"/>
      <c r="J694" s="277"/>
      <c r="K694" s="188"/>
      <c r="L694" s="277"/>
      <c r="O694" s="190"/>
      <c r="P694" s="65"/>
      <c r="Q694" s="13"/>
      <c r="R694" s="13"/>
      <c r="S694" s="65"/>
      <c r="T694" s="65"/>
      <c r="U694" s="65"/>
      <c r="V694" s="65"/>
      <c r="W694" s="65"/>
      <c r="X694" s="65"/>
      <c r="Y694" s="65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0000" customHeight="1">
      <c r="B695" s="88"/>
      <c r="H695" s="162"/>
      <c r="I695" s="65"/>
      <c r="J695" s="277"/>
      <c r="K695" s="65"/>
      <c r="L695" s="277"/>
      <c r="O695" s="190"/>
      <c r="P695" s="65"/>
      <c r="Q695" s="13"/>
      <c r="R695" s="13"/>
      <c r="S695" s="65"/>
      <c r="T695" s="65"/>
      <c r="U695" s="65"/>
      <c r="V695" s="65"/>
      <c r="W695" s="65"/>
      <c r="X695" s="65"/>
      <c r="Y695" s="65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0000" customHeight="1">
      <c r="B696" s="88"/>
      <c r="H696" s="442"/>
      <c r="I696" s="65"/>
      <c r="J696" s="277"/>
      <c r="K696" s="65"/>
      <c r="L696" s="162"/>
      <c r="O696" s="190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0000" customHeight="1">
      <c r="A697" s="156" t="s">
        <v>116</v>
      </c>
      <c r="B697" s="88"/>
      <c r="C697" s="241"/>
      <c r="D697" s="241"/>
      <c r="E697" s="158">
        <f>F697*120%</f>
        <v>0</v>
      </c>
      <c r="F697" s="158">
        <f>(D697-C697+1)*G697</f>
        <v>0</v>
      </c>
      <c r="G697" s="159">
        <f>M697*40</f>
        <v>0</v>
      </c>
      <c r="H697" s="162"/>
      <c r="I697" s="65"/>
      <c r="J697" s="277"/>
      <c r="K697" s="188"/>
      <c r="L697" s="277"/>
      <c r="M697" s="162"/>
      <c r="N697" s="163"/>
      <c r="O697" s="190"/>
      <c r="P697" s="65"/>
      <c r="Q697" s="13"/>
      <c r="R697" s="13"/>
      <c r="S697" s="65"/>
      <c r="T697" s="65"/>
      <c r="U697" s="65"/>
      <c r="V697" s="65"/>
      <c r="W697" s="65"/>
      <c r="X697" s="65"/>
      <c r="Y697" s="65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0000" customHeight="1">
      <c r="B698" s="88"/>
      <c r="H698" s="162"/>
      <c r="I698" s="65"/>
      <c r="J698" s="277"/>
      <c r="K698" s="188"/>
      <c r="L698" s="277"/>
      <c r="O698" s="190"/>
      <c r="P698" s="65"/>
      <c r="Q698" s="13"/>
      <c r="R698" s="13"/>
      <c r="S698" s="65"/>
      <c r="T698" s="65"/>
      <c r="U698" s="65"/>
      <c r="V698" s="65"/>
      <c r="W698" s="65"/>
      <c r="X698" s="65"/>
      <c r="Y698" s="65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0000" customHeight="1">
      <c r="B699" s="88"/>
      <c r="H699" s="162"/>
      <c r="I699" s="65"/>
      <c r="J699" s="277"/>
      <c r="K699" s="188"/>
      <c r="L699" s="277"/>
      <c r="O699" s="190"/>
      <c r="P699" s="65"/>
      <c r="Q699" s="13"/>
      <c r="R699" s="13"/>
      <c r="S699" s="65"/>
      <c r="T699" s="65"/>
      <c r="U699" s="65"/>
      <c r="V699" s="65"/>
      <c r="W699" s="65"/>
      <c r="X699" s="65"/>
      <c r="Y699" s="65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0000" customHeight="1">
      <c r="B700" s="88"/>
      <c r="H700" s="162"/>
      <c r="I700" s="65"/>
      <c r="J700" s="277"/>
      <c r="K700" s="65"/>
      <c r="L700" s="277"/>
      <c r="O700" s="190"/>
      <c r="P700" s="65"/>
      <c r="Q700" s="13"/>
      <c r="R700" s="13"/>
      <c r="S700" s="65"/>
      <c r="T700" s="65"/>
      <c r="U700" s="65"/>
      <c r="V700" s="65"/>
      <c r="W700" s="65"/>
      <c r="X700" s="65"/>
      <c r="Y700" s="65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0000" customHeight="1">
      <c r="B701" s="88"/>
      <c r="H701" s="442"/>
      <c r="I701" s="65"/>
      <c r="J701" s="277"/>
      <c r="K701" s="65"/>
      <c r="L701" s="162"/>
      <c r="O701" s="190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0000" customHeight="1">
      <c r="A702" s="156" t="s">
        <v>116</v>
      </c>
      <c r="B702" s="88"/>
      <c r="C702" s="241"/>
      <c r="D702" s="241"/>
      <c r="E702" s="158">
        <f>F702*120%</f>
        <v>0</v>
      </c>
      <c r="F702" s="158">
        <f>(D702-C702+1)*G702</f>
        <v>0</v>
      </c>
      <c r="G702" s="159">
        <f>M702*40</f>
        <v>0</v>
      </c>
      <c r="H702" s="162"/>
      <c r="I702" s="65"/>
      <c r="J702" s="277"/>
      <c r="K702" s="188"/>
      <c r="L702" s="277"/>
      <c r="M702" s="162"/>
      <c r="N702" s="163"/>
      <c r="O702" s="190"/>
      <c r="P702" s="65"/>
      <c r="Q702" s="13"/>
      <c r="R702" s="13"/>
      <c r="S702" s="65"/>
      <c r="T702" s="65"/>
      <c r="U702" s="65"/>
      <c r="V702" s="65"/>
      <c r="W702" s="65"/>
      <c r="X702" s="65"/>
      <c r="Y702" s="65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0000" customHeight="1">
      <c r="B703" s="88"/>
      <c r="H703" s="162"/>
      <c r="I703" s="65"/>
      <c r="J703" s="277"/>
      <c r="K703" s="188"/>
      <c r="L703" s="277"/>
      <c r="O703" s="190"/>
      <c r="P703" s="65"/>
      <c r="Q703" s="13"/>
      <c r="R703" s="13"/>
      <c r="S703" s="65"/>
      <c r="T703" s="65"/>
      <c r="U703" s="65"/>
      <c r="V703" s="65"/>
      <c r="W703" s="65"/>
      <c r="X703" s="65"/>
      <c r="Y703" s="65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0000" customHeight="1">
      <c r="B704" s="88"/>
      <c r="H704" s="162"/>
      <c r="I704" s="65"/>
      <c r="J704" s="277"/>
      <c r="K704" s="188"/>
      <c r="L704" s="277"/>
      <c r="O704" s="190"/>
      <c r="P704" s="65"/>
      <c r="Q704" s="13"/>
      <c r="R704" s="13"/>
      <c r="S704" s="65"/>
      <c r="T704" s="65"/>
      <c r="U704" s="65"/>
      <c r="V704" s="65"/>
      <c r="W704" s="65"/>
      <c r="X704" s="65"/>
      <c r="Y704" s="65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0000" customHeight="1">
      <c r="B705" s="88"/>
      <c r="H705" s="162"/>
      <c r="I705" s="65"/>
      <c r="J705" s="277"/>
      <c r="K705" s="65"/>
      <c r="L705" s="277"/>
      <c r="O705" s="190"/>
      <c r="P705" s="65"/>
      <c r="Q705" s="13"/>
      <c r="R705" s="13"/>
      <c r="S705" s="65"/>
      <c r="T705" s="65"/>
      <c r="U705" s="65"/>
      <c r="V705" s="65"/>
      <c r="W705" s="65"/>
      <c r="X705" s="65"/>
      <c r="Y705" s="65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0000" customHeight="1">
      <c r="B706" s="88"/>
      <c r="H706" s="442"/>
      <c r="I706" s="65"/>
      <c r="J706" s="277"/>
      <c r="K706" s="65"/>
      <c r="L706" s="162"/>
      <c r="O706" s="190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0000" customHeight="1">
      <c r="A707" s="156" t="s">
        <v>116</v>
      </c>
      <c r="B707" s="88"/>
      <c r="C707" s="241"/>
      <c r="D707" s="241"/>
      <c r="E707" s="158">
        <f>F707*120%</f>
        <v>0</v>
      </c>
      <c r="F707" s="158">
        <f>(D707-C707+1)*G707</f>
        <v>0</v>
      </c>
      <c r="G707" s="159">
        <f>M707*40</f>
        <v>0</v>
      </c>
      <c r="H707" s="162"/>
      <c r="I707" s="65"/>
      <c r="J707" s="277"/>
      <c r="K707" s="188"/>
      <c r="L707" s="277"/>
      <c r="M707" s="162"/>
      <c r="N707" s="163"/>
      <c r="O707" s="190"/>
      <c r="P707" s="65"/>
      <c r="Q707" s="13"/>
      <c r="R707" s="13"/>
      <c r="S707" s="65"/>
      <c r="T707" s="65"/>
      <c r="U707" s="65"/>
      <c r="V707" s="65"/>
      <c r="W707" s="65"/>
      <c r="X707" s="65"/>
      <c r="Y707" s="65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0000" customHeight="1">
      <c r="B708" s="88"/>
      <c r="H708" s="162"/>
      <c r="I708" s="65"/>
      <c r="J708" s="277"/>
      <c r="K708" s="188"/>
      <c r="L708" s="277"/>
      <c r="O708" s="190"/>
      <c r="P708" s="65"/>
      <c r="Q708" s="13"/>
      <c r="R708" s="13"/>
      <c r="S708" s="65"/>
      <c r="T708" s="65"/>
      <c r="U708" s="65"/>
      <c r="V708" s="65"/>
      <c r="W708" s="65"/>
      <c r="X708" s="65"/>
      <c r="Y708" s="65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0000" customHeight="1">
      <c r="B709" s="88"/>
      <c r="H709" s="162"/>
      <c r="I709" s="65"/>
      <c r="J709" s="277"/>
      <c r="K709" s="65"/>
      <c r="L709" s="277"/>
      <c r="O709" s="190"/>
      <c r="P709" s="65"/>
      <c r="Q709" s="13"/>
      <c r="R709" s="13"/>
      <c r="S709" s="65"/>
      <c r="T709" s="65"/>
      <c r="U709" s="65"/>
      <c r="V709" s="65"/>
      <c r="W709" s="65"/>
      <c r="X709" s="65"/>
      <c r="Y709" s="65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0000" customHeight="1">
      <c r="B710" s="88"/>
      <c r="H710" s="162"/>
      <c r="I710" s="65"/>
      <c r="J710" s="277"/>
      <c r="K710" s="65"/>
      <c r="L710" s="277"/>
      <c r="O710" s="190"/>
      <c r="P710" s="65"/>
      <c r="Q710" s="13"/>
      <c r="R710" s="13"/>
      <c r="S710" s="65"/>
      <c r="T710" s="65"/>
      <c r="U710" s="65"/>
      <c r="V710" s="65"/>
      <c r="W710" s="65"/>
      <c r="X710" s="65"/>
      <c r="Y710" s="65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0000" customHeight="1">
      <c r="B711" s="88"/>
      <c r="H711" s="442"/>
      <c r="I711" s="65"/>
      <c r="J711" s="277"/>
      <c r="K711" s="65"/>
      <c r="L711" s="162"/>
      <c r="O711" s="190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0000" customHeight="1">
      <c r="A712" s="156" t="s">
        <v>116</v>
      </c>
      <c r="B712" s="88"/>
      <c r="C712" s="241"/>
      <c r="D712" s="241"/>
      <c r="E712" s="158">
        <f>F712*120%</f>
        <v>0</v>
      </c>
      <c r="F712" s="158">
        <f>(D712-C712+1)*G712</f>
        <v>0</v>
      </c>
      <c r="G712" s="159">
        <f>M712*40</f>
        <v>0</v>
      </c>
      <c r="H712" s="162"/>
      <c r="I712" s="65"/>
      <c r="J712" s="277"/>
      <c r="K712" s="188"/>
      <c r="L712" s="277"/>
      <c r="M712" s="162"/>
      <c r="N712" s="163"/>
      <c r="O712" s="190"/>
      <c r="P712" s="65"/>
      <c r="Q712" s="13"/>
      <c r="R712" s="13"/>
      <c r="S712" s="65"/>
      <c r="T712" s="65"/>
      <c r="U712" s="65"/>
      <c r="V712" s="65"/>
      <c r="W712" s="65"/>
      <c r="X712" s="65"/>
      <c r="Y712" s="65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0000" customHeight="1">
      <c r="B713" s="88"/>
      <c r="H713" s="162"/>
      <c r="I713" s="65"/>
      <c r="J713" s="277"/>
      <c r="K713" s="188"/>
      <c r="L713" s="277"/>
      <c r="O713" s="190"/>
      <c r="P713" s="65"/>
      <c r="Q713" s="13"/>
      <c r="R713" s="13"/>
      <c r="S713" s="65"/>
      <c r="T713" s="65"/>
      <c r="U713" s="65"/>
      <c r="V713" s="65"/>
      <c r="W713" s="65"/>
      <c r="X713" s="65"/>
      <c r="Y713" s="65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0000" customHeight="1">
      <c r="B714" s="88"/>
      <c r="H714" s="162"/>
      <c r="I714" s="65"/>
      <c r="J714" s="277"/>
      <c r="K714" s="188"/>
      <c r="L714" s="277"/>
      <c r="O714" s="190"/>
      <c r="P714" s="65"/>
      <c r="Q714" s="13"/>
      <c r="R714" s="13"/>
      <c r="S714" s="65"/>
      <c r="T714" s="65"/>
      <c r="U714" s="65"/>
      <c r="V714" s="65"/>
      <c r="W714" s="65"/>
      <c r="X714" s="65"/>
      <c r="Y714" s="65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0000" customHeight="1">
      <c r="B715" s="88"/>
      <c r="H715" s="162"/>
      <c r="I715" s="65"/>
      <c r="J715" s="277"/>
      <c r="K715" s="65"/>
      <c r="L715" s="277"/>
      <c r="O715" s="190"/>
      <c r="P715" s="65"/>
      <c r="Q715" s="13"/>
      <c r="R715" s="13"/>
      <c r="S715" s="65"/>
      <c r="T715" s="65"/>
      <c r="U715" s="65"/>
      <c r="V715" s="65"/>
      <c r="W715" s="65"/>
      <c r="X715" s="65"/>
      <c r="Y715" s="65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0000" customHeight="1">
      <c r="B716" s="88"/>
      <c r="H716" s="442"/>
      <c r="I716" s="65"/>
      <c r="J716" s="277"/>
      <c r="K716" s="65"/>
      <c r="L716" s="162"/>
      <c r="O716" s="190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0000" customHeight="1">
      <c r="A717" s="156" t="s">
        <v>116</v>
      </c>
      <c r="B717" s="88"/>
      <c r="C717" s="241"/>
      <c r="D717" s="241"/>
      <c r="E717" s="158">
        <f>F717*120%</f>
        <v>0</v>
      </c>
      <c r="F717" s="158">
        <f>(D717-C717+1)*G717</f>
        <v>0</v>
      </c>
      <c r="G717" s="159">
        <f>M717*40</f>
        <v>0</v>
      </c>
      <c r="H717" s="162"/>
      <c r="I717" s="65"/>
      <c r="J717" s="277"/>
      <c r="K717" s="188"/>
      <c r="L717" s="277"/>
      <c r="M717" s="162"/>
      <c r="N717" s="163"/>
      <c r="O717" s="190"/>
      <c r="P717" s="65"/>
      <c r="Q717" s="13"/>
      <c r="R717" s="13"/>
      <c r="S717" s="65"/>
      <c r="T717" s="65"/>
      <c r="U717" s="65"/>
      <c r="V717" s="65"/>
      <c r="W717" s="65"/>
      <c r="X717" s="65"/>
      <c r="Y717" s="65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0000" customHeight="1">
      <c r="B718" s="88"/>
      <c r="H718" s="162"/>
      <c r="I718" s="65"/>
      <c r="J718" s="277"/>
      <c r="K718" s="188"/>
      <c r="L718" s="277"/>
      <c r="O718" s="190"/>
      <c r="P718" s="65"/>
      <c r="Q718" s="13"/>
      <c r="R718" s="13"/>
      <c r="S718" s="65"/>
      <c r="T718" s="65"/>
      <c r="U718" s="65"/>
      <c r="V718" s="65"/>
      <c r="W718" s="65"/>
      <c r="X718" s="65"/>
      <c r="Y718" s="65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0000" customHeight="1">
      <c r="B719" s="88"/>
      <c r="H719" s="162"/>
      <c r="I719" s="65"/>
      <c r="J719" s="277"/>
      <c r="K719" s="188"/>
      <c r="L719" s="277"/>
      <c r="O719" s="190"/>
      <c r="P719" s="65"/>
      <c r="Q719" s="13"/>
      <c r="R719" s="13"/>
      <c r="S719" s="65"/>
      <c r="T719" s="65"/>
      <c r="U719" s="65"/>
      <c r="V719" s="65"/>
      <c r="W719" s="65"/>
      <c r="X719" s="65"/>
      <c r="Y719" s="65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0000" customHeight="1">
      <c r="B720" s="88"/>
      <c r="H720" s="162"/>
      <c r="I720" s="65"/>
      <c r="J720" s="277"/>
      <c r="K720" s="65"/>
      <c r="L720" s="277"/>
      <c r="O720" s="190"/>
      <c r="P720" s="65"/>
      <c r="Q720" s="13"/>
      <c r="R720" s="13"/>
      <c r="S720" s="65"/>
      <c r="T720" s="65"/>
      <c r="U720" s="65"/>
      <c r="V720" s="65"/>
      <c r="W720" s="65"/>
      <c r="X720" s="65"/>
      <c r="Y720" s="65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0000" customHeight="1">
      <c r="B721" s="88"/>
      <c r="H721" s="442"/>
      <c r="I721" s="65"/>
      <c r="J721" s="277"/>
      <c r="K721" s="65"/>
      <c r="L721" s="162"/>
      <c r="O721" s="190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0000" customHeight="1">
      <c r="A722" s="156" t="s">
        <v>116</v>
      </c>
      <c r="B722" s="88"/>
      <c r="C722" s="241"/>
      <c r="D722" s="241"/>
      <c r="E722" s="158">
        <f>F722*120%</f>
        <v>0</v>
      </c>
      <c r="F722" s="158">
        <f>(D722-C722+1)*G722</f>
        <v>0</v>
      </c>
      <c r="G722" s="159">
        <f>M722*40</f>
        <v>0</v>
      </c>
      <c r="H722" s="162"/>
      <c r="I722" s="65"/>
      <c r="J722" s="277"/>
      <c r="K722" s="188"/>
      <c r="L722" s="277"/>
      <c r="M722" s="162"/>
      <c r="N722" s="163"/>
      <c r="O722" s="190"/>
      <c r="P722" s="65"/>
      <c r="Q722" s="13"/>
      <c r="R722" s="13"/>
      <c r="S722" s="65"/>
      <c r="T722" s="65"/>
      <c r="U722" s="65"/>
      <c r="V722" s="65"/>
      <c r="W722" s="65"/>
      <c r="X722" s="65"/>
      <c r="Y722" s="65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0000" customHeight="1">
      <c r="B723" s="88"/>
      <c r="H723" s="162"/>
      <c r="I723" s="65"/>
      <c r="J723" s="277"/>
      <c r="K723" s="188"/>
      <c r="L723" s="277"/>
      <c r="O723" s="190"/>
      <c r="P723" s="65"/>
      <c r="Q723" s="13"/>
      <c r="R723" s="13"/>
      <c r="S723" s="65"/>
      <c r="T723" s="65"/>
      <c r="U723" s="65"/>
      <c r="V723" s="65"/>
      <c r="W723" s="65"/>
      <c r="X723" s="65"/>
      <c r="Y723" s="65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0000" customHeight="1">
      <c r="B724" s="88"/>
      <c r="H724" s="162"/>
      <c r="I724" s="65"/>
      <c r="J724" s="277"/>
      <c r="K724" s="188"/>
      <c r="L724" s="277"/>
      <c r="O724" s="190"/>
      <c r="P724" s="65"/>
      <c r="Q724" s="13"/>
      <c r="R724" s="13"/>
      <c r="S724" s="65"/>
      <c r="T724" s="65"/>
      <c r="U724" s="65"/>
      <c r="V724" s="65"/>
      <c r="W724" s="65"/>
      <c r="X724" s="65"/>
      <c r="Y724" s="65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0000" customHeight="1">
      <c r="B725" s="88"/>
      <c r="H725" s="162"/>
      <c r="I725" s="65"/>
      <c r="J725" s="277"/>
      <c r="K725" s="65"/>
      <c r="L725" s="277"/>
      <c r="O725" s="190"/>
      <c r="P725" s="65"/>
      <c r="Q725" s="13"/>
      <c r="R725" s="13"/>
      <c r="S725" s="65"/>
      <c r="T725" s="65"/>
      <c r="U725" s="65"/>
      <c r="V725" s="65"/>
      <c r="W725" s="65"/>
      <c r="X725" s="65"/>
      <c r="Y725" s="65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0000" customHeight="1">
      <c r="B726" s="88"/>
      <c r="H726" s="442"/>
      <c r="I726" s="65"/>
      <c r="J726" s="277"/>
      <c r="K726" s="65"/>
      <c r="L726" s="162"/>
      <c r="O726" s="190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0000" customHeight="1">
      <c r="A727" s="156" t="s">
        <v>116</v>
      </c>
      <c r="B727" s="88"/>
      <c r="C727" s="241"/>
      <c r="D727" s="241"/>
      <c r="E727" s="158">
        <f>F727*120%</f>
        <v>0</v>
      </c>
      <c r="F727" s="158">
        <f>(D727-C727+1)*G727</f>
        <v>0</v>
      </c>
      <c r="G727" s="159">
        <f>M727*40</f>
        <v>0</v>
      </c>
      <c r="H727" s="162"/>
      <c r="I727" s="65"/>
      <c r="J727" s="277"/>
      <c r="K727" s="188"/>
      <c r="L727" s="277"/>
      <c r="M727" s="162"/>
      <c r="N727" s="163"/>
      <c r="O727" s="190"/>
      <c r="P727" s="65"/>
      <c r="Q727" s="13"/>
      <c r="R727" s="13"/>
      <c r="S727" s="65"/>
      <c r="T727" s="65"/>
      <c r="U727" s="65"/>
      <c r="V727" s="65"/>
      <c r="W727" s="65"/>
      <c r="X727" s="65"/>
      <c r="Y727" s="65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0000" customHeight="1">
      <c r="B728" s="88"/>
      <c r="H728" s="162"/>
      <c r="I728" s="65"/>
      <c r="J728" s="277"/>
      <c r="K728" s="188"/>
      <c r="L728" s="277"/>
      <c r="O728" s="190"/>
      <c r="P728" s="65"/>
      <c r="Q728" s="13"/>
      <c r="R728" s="13"/>
      <c r="S728" s="65"/>
      <c r="T728" s="65"/>
      <c r="U728" s="65"/>
      <c r="V728" s="65"/>
      <c r="W728" s="65"/>
      <c r="X728" s="65"/>
      <c r="Y728" s="65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0000" customHeight="1">
      <c r="B729" s="88"/>
      <c r="H729" s="162"/>
      <c r="I729" s="65"/>
      <c r="J729" s="277"/>
      <c r="K729" s="188"/>
      <c r="L729" s="277"/>
      <c r="O729" s="190"/>
      <c r="P729" s="65"/>
      <c r="Q729" s="13"/>
      <c r="R729" s="13"/>
      <c r="S729" s="65"/>
      <c r="T729" s="65"/>
      <c r="U729" s="65"/>
      <c r="V729" s="65"/>
      <c r="W729" s="65"/>
      <c r="X729" s="65"/>
      <c r="Y729" s="65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0000" customHeight="1">
      <c r="B730" s="88"/>
      <c r="H730" s="162"/>
      <c r="I730" s="65"/>
      <c r="J730" s="277"/>
      <c r="K730" s="65"/>
      <c r="L730" s="277"/>
      <c r="O730" s="190"/>
      <c r="P730" s="65"/>
      <c r="Q730" s="13"/>
      <c r="R730" s="13"/>
      <c r="S730" s="65"/>
      <c r="T730" s="65"/>
      <c r="U730" s="65"/>
      <c r="V730" s="65"/>
      <c r="W730" s="65"/>
      <c r="X730" s="65"/>
      <c r="Y730" s="65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0000" customHeight="1">
      <c r="B731" s="88"/>
      <c r="H731" s="442"/>
      <c r="I731" s="65"/>
      <c r="J731" s="277"/>
      <c r="K731" s="65"/>
      <c r="L731" s="162"/>
      <c r="O731" s="190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0000" customHeight="1">
      <c r="A732" s="156" t="s">
        <v>116</v>
      </c>
      <c r="B732" s="88"/>
      <c r="C732" s="241"/>
      <c r="D732" s="241"/>
      <c r="E732" s="158">
        <f>F732*120%</f>
        <v>0</v>
      </c>
      <c r="F732" s="158">
        <f>(D732-C732+1)*G732</f>
        <v>0</v>
      </c>
      <c r="G732" s="159">
        <f>M732*40</f>
        <v>0</v>
      </c>
      <c r="H732" s="162"/>
      <c r="I732" s="65"/>
      <c r="J732" s="277"/>
      <c r="K732" s="188"/>
      <c r="L732" s="277"/>
      <c r="M732" s="162"/>
      <c r="N732" s="163"/>
      <c r="O732" s="190"/>
      <c r="P732" s="65"/>
      <c r="Q732" s="13"/>
      <c r="R732" s="13"/>
      <c r="S732" s="65"/>
      <c r="T732" s="65"/>
      <c r="U732" s="65"/>
      <c r="V732" s="65"/>
      <c r="W732" s="65"/>
      <c r="X732" s="65"/>
      <c r="Y732" s="65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0000" customHeight="1">
      <c r="B733" s="88"/>
      <c r="H733" s="162"/>
      <c r="I733" s="65"/>
      <c r="J733" s="277"/>
      <c r="K733" s="188"/>
      <c r="L733" s="277"/>
      <c r="O733" s="190"/>
      <c r="P733" s="65"/>
      <c r="Q733" s="13"/>
      <c r="R733" s="13"/>
      <c r="S733" s="65"/>
      <c r="T733" s="65"/>
      <c r="U733" s="65"/>
      <c r="V733" s="65"/>
      <c r="W733" s="65"/>
      <c r="X733" s="65"/>
      <c r="Y733" s="65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0000" customHeight="1">
      <c r="B734" s="88"/>
      <c r="H734" s="162"/>
      <c r="I734" s="65"/>
      <c r="J734" s="277"/>
      <c r="K734" s="188"/>
      <c r="L734" s="277"/>
      <c r="O734" s="190"/>
      <c r="P734" s="65"/>
      <c r="Q734" s="13"/>
      <c r="R734" s="13"/>
      <c r="S734" s="65"/>
      <c r="T734" s="65"/>
      <c r="U734" s="65"/>
      <c r="V734" s="65"/>
      <c r="W734" s="65"/>
      <c r="X734" s="65"/>
      <c r="Y734" s="65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0000" customHeight="1">
      <c r="B735" s="88"/>
      <c r="H735" s="162"/>
      <c r="I735" s="65"/>
      <c r="J735" s="277"/>
      <c r="K735" s="65"/>
      <c r="L735" s="277"/>
      <c r="O735" s="190"/>
      <c r="P735" s="65"/>
      <c r="Q735" s="13"/>
      <c r="R735" s="13"/>
      <c r="S735" s="65"/>
      <c r="T735" s="65"/>
      <c r="U735" s="65"/>
      <c r="V735" s="65"/>
      <c r="W735" s="65"/>
      <c r="X735" s="65"/>
      <c r="Y735" s="65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0000" customHeight="1">
      <c r="B736" s="88"/>
      <c r="H736" s="442"/>
      <c r="I736" s="65"/>
      <c r="J736" s="277"/>
      <c r="K736" s="65"/>
      <c r="L736" s="162"/>
      <c r="O736" s="190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0000" customHeight="1">
      <c r="A737" s="156" t="s">
        <v>116</v>
      </c>
      <c r="B737" s="88"/>
      <c r="C737" s="241"/>
      <c r="D737" s="241"/>
      <c r="E737" s="158">
        <f>F737*120%</f>
        <v>0</v>
      </c>
      <c r="F737" s="158">
        <f>(D737-C737+1)*G737</f>
        <v>0</v>
      </c>
      <c r="G737" s="159">
        <f>M737*40</f>
        <v>0</v>
      </c>
      <c r="H737" s="162"/>
      <c r="I737" s="65"/>
      <c r="J737" s="277"/>
      <c r="K737" s="188"/>
      <c r="L737" s="277"/>
      <c r="M737" s="162"/>
      <c r="N737" s="163"/>
      <c r="O737" s="190"/>
      <c r="P737" s="65"/>
      <c r="Q737" s="13"/>
      <c r="R737" s="13"/>
      <c r="S737" s="65"/>
      <c r="T737" s="65"/>
      <c r="U737" s="65"/>
      <c r="V737" s="65"/>
      <c r="W737" s="65"/>
      <c r="X737" s="65"/>
      <c r="Y737" s="65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0000" customHeight="1">
      <c r="B738" s="88"/>
      <c r="H738" s="162"/>
      <c r="I738" s="65"/>
      <c r="J738" s="277"/>
      <c r="K738" s="188"/>
      <c r="L738" s="277"/>
      <c r="O738" s="190"/>
      <c r="P738" s="65"/>
      <c r="Q738" s="13"/>
      <c r="R738" s="13"/>
      <c r="S738" s="65"/>
      <c r="T738" s="65"/>
      <c r="U738" s="65"/>
      <c r="V738" s="65"/>
      <c r="W738" s="65"/>
      <c r="X738" s="65"/>
      <c r="Y738" s="65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0000" customHeight="1">
      <c r="B739" s="88"/>
      <c r="H739" s="162"/>
      <c r="I739" s="65"/>
      <c r="J739" s="277"/>
      <c r="K739" s="188"/>
      <c r="L739" s="277"/>
      <c r="O739" s="190"/>
      <c r="P739" s="65"/>
      <c r="Q739" s="13"/>
      <c r="R739" s="13"/>
      <c r="S739" s="65"/>
      <c r="T739" s="65"/>
      <c r="U739" s="65"/>
      <c r="V739" s="65"/>
      <c r="W739" s="65"/>
      <c r="X739" s="65"/>
      <c r="Y739" s="65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0000" customHeight="1">
      <c r="B740" s="88"/>
      <c r="H740" s="162"/>
      <c r="I740" s="65"/>
      <c r="J740" s="277"/>
      <c r="K740" s="65"/>
      <c r="L740" s="277"/>
      <c r="O740" s="190"/>
      <c r="P740" s="65"/>
      <c r="Q740" s="13"/>
      <c r="R740" s="13"/>
      <c r="S740" s="65"/>
      <c r="T740" s="65"/>
      <c r="U740" s="65"/>
      <c r="V740" s="65"/>
      <c r="W740" s="65"/>
      <c r="X740" s="65"/>
      <c r="Y740" s="65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0000" customHeight="1">
      <c r="B741" s="88"/>
      <c r="H741" s="442"/>
      <c r="I741" s="65"/>
      <c r="J741" s="277"/>
      <c r="K741" s="65"/>
      <c r="L741" s="162"/>
      <c r="O741" s="190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0000" customHeight="1">
      <c r="A742" s="156" t="s">
        <v>116</v>
      </c>
      <c r="B742" s="88"/>
      <c r="C742" s="241"/>
      <c r="D742" s="241"/>
      <c r="E742" s="158">
        <f>F742*120%</f>
        <v>0</v>
      </c>
      <c r="F742" s="158">
        <f>(D742-C742+1)*G742</f>
        <v>0</v>
      </c>
      <c r="G742" s="159">
        <f>M742*40</f>
        <v>0</v>
      </c>
      <c r="H742" s="162"/>
      <c r="I742" s="65"/>
      <c r="J742" s="277"/>
      <c r="K742" s="188"/>
      <c r="L742" s="277"/>
      <c r="M742" s="162"/>
      <c r="N742" s="163"/>
      <c r="O742" s="190"/>
      <c r="P742" s="65"/>
      <c r="Q742" s="13"/>
      <c r="R742" s="13"/>
      <c r="S742" s="65"/>
      <c r="T742" s="65"/>
      <c r="U742" s="65"/>
      <c r="V742" s="65"/>
      <c r="W742" s="65"/>
      <c r="X742" s="65"/>
      <c r="Y742" s="65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0000" customHeight="1">
      <c r="B743" s="88"/>
      <c r="H743" s="162"/>
      <c r="I743" s="65"/>
      <c r="J743" s="277"/>
      <c r="K743" s="188"/>
      <c r="L743" s="277"/>
      <c r="O743" s="190"/>
      <c r="P743" s="65"/>
      <c r="Q743" s="13"/>
      <c r="R743" s="13"/>
      <c r="S743" s="65"/>
      <c r="T743" s="65"/>
      <c r="U743" s="65"/>
      <c r="V743" s="65"/>
      <c r="W743" s="65"/>
      <c r="X743" s="65"/>
      <c r="Y743" s="65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0000" customHeight="1">
      <c r="B744" s="88"/>
      <c r="H744" s="162"/>
      <c r="I744" s="65"/>
      <c r="J744" s="277"/>
      <c r="K744" s="188"/>
      <c r="L744" s="277"/>
      <c r="O744" s="190"/>
      <c r="P744" s="65"/>
      <c r="Q744" s="13"/>
      <c r="R744" s="13"/>
      <c r="S744" s="65"/>
      <c r="T744" s="65"/>
      <c r="U744" s="65"/>
      <c r="V744" s="65"/>
      <c r="W744" s="65"/>
      <c r="X744" s="65"/>
      <c r="Y744" s="65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0000" customHeight="1">
      <c r="B745" s="88"/>
      <c r="H745" s="162"/>
      <c r="I745" s="65"/>
      <c r="J745" s="277"/>
      <c r="K745" s="65"/>
      <c r="L745" s="277"/>
      <c r="O745" s="190"/>
      <c r="P745" s="65"/>
      <c r="Q745" s="13"/>
      <c r="R745" s="13"/>
      <c r="S745" s="65"/>
      <c r="T745" s="65"/>
      <c r="U745" s="65"/>
      <c r="V745" s="65"/>
      <c r="W745" s="65"/>
      <c r="X745" s="65"/>
      <c r="Y745" s="65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0000" customHeight="1">
      <c r="B746" s="88"/>
      <c r="H746" s="442"/>
      <c r="I746" s="65"/>
      <c r="J746" s="277"/>
      <c r="K746" s="65"/>
      <c r="L746" s="162"/>
      <c r="O746" s="190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0000" customHeight="1">
      <c r="A747" s="156" t="s">
        <v>116</v>
      </c>
      <c r="B747" s="88"/>
      <c r="C747" s="241"/>
      <c r="D747" s="241"/>
      <c r="E747" s="158">
        <f>F747*120%</f>
        <v>0</v>
      </c>
      <c r="F747" s="158">
        <f>(D747-C747+1)*G747</f>
        <v>0</v>
      </c>
      <c r="G747" s="159">
        <f>M747*40</f>
        <v>0</v>
      </c>
      <c r="H747" s="162"/>
      <c r="I747" s="65"/>
      <c r="J747" s="277"/>
      <c r="K747" s="188"/>
      <c r="L747" s="277"/>
      <c r="M747" s="162"/>
      <c r="N747" s="163"/>
      <c r="O747" s="190"/>
      <c r="P747" s="65"/>
      <c r="Q747" s="13"/>
      <c r="R747" s="13"/>
      <c r="S747" s="65"/>
      <c r="T747" s="65"/>
      <c r="U747" s="65"/>
      <c r="V747" s="65"/>
      <c r="W747" s="65"/>
      <c r="X747" s="65"/>
      <c r="Y747" s="65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0000" customHeight="1">
      <c r="B748" s="88"/>
      <c r="H748" s="162"/>
      <c r="I748" s="65"/>
      <c r="J748" s="277"/>
      <c r="K748" s="188"/>
      <c r="L748" s="277"/>
      <c r="O748" s="190"/>
      <c r="P748" s="65"/>
      <c r="Q748" s="13"/>
      <c r="R748" s="13"/>
      <c r="S748" s="65"/>
      <c r="T748" s="65"/>
      <c r="U748" s="65"/>
      <c r="V748" s="65"/>
      <c r="W748" s="65"/>
      <c r="X748" s="65"/>
      <c r="Y748" s="65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0000" customHeight="1">
      <c r="B749" s="88"/>
      <c r="H749" s="162"/>
      <c r="I749" s="65"/>
      <c r="J749" s="277"/>
      <c r="K749" s="188"/>
      <c r="L749" s="277"/>
      <c r="O749" s="190"/>
      <c r="P749" s="65"/>
      <c r="Q749" s="13"/>
      <c r="R749" s="13"/>
      <c r="S749" s="65"/>
      <c r="T749" s="65"/>
      <c r="U749" s="65"/>
      <c r="V749" s="65"/>
      <c r="W749" s="65"/>
      <c r="X749" s="65"/>
      <c r="Y749" s="65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0000" customHeight="1">
      <c r="B750" s="88"/>
      <c r="H750" s="162"/>
      <c r="I750" s="65"/>
      <c r="J750" s="277"/>
      <c r="K750" s="65"/>
      <c r="L750" s="277"/>
      <c r="O750" s="190"/>
      <c r="P750" s="65"/>
      <c r="Q750" s="13"/>
      <c r="R750" s="13"/>
      <c r="S750" s="65"/>
      <c r="T750" s="65"/>
      <c r="U750" s="65"/>
      <c r="V750" s="65"/>
      <c r="W750" s="65"/>
      <c r="X750" s="65"/>
      <c r="Y750" s="65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0000" customHeight="1">
      <c r="B751" s="88"/>
      <c r="H751" s="442"/>
      <c r="I751" s="65"/>
      <c r="J751" s="277"/>
      <c r="K751" s="65"/>
      <c r="L751" s="162"/>
      <c r="O751" s="190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0000" customHeight="1">
      <c r="A752" s="156" t="s">
        <v>116</v>
      </c>
      <c r="B752" s="88"/>
      <c r="C752" s="241"/>
      <c r="D752" s="241"/>
      <c r="E752" s="158">
        <f>F752*120%</f>
        <v>0</v>
      </c>
      <c r="F752" s="158">
        <f>(D752-C752+1)*G752</f>
        <v>0</v>
      </c>
      <c r="G752" s="159">
        <f>M752*40</f>
        <v>0</v>
      </c>
      <c r="H752" s="162"/>
      <c r="I752" s="65"/>
      <c r="J752" s="277"/>
      <c r="K752" s="188"/>
      <c r="L752" s="277"/>
      <c r="M752" s="162"/>
      <c r="N752" s="163"/>
      <c r="O752" s="190"/>
      <c r="P752" s="65"/>
      <c r="Q752" s="13"/>
      <c r="R752" s="13"/>
      <c r="S752" s="65"/>
      <c r="T752" s="65"/>
      <c r="U752" s="65"/>
      <c r="V752" s="65"/>
      <c r="W752" s="65"/>
      <c r="X752" s="65"/>
      <c r="Y752" s="65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0000" customHeight="1">
      <c r="B753" s="88"/>
      <c r="H753" s="162"/>
      <c r="I753" s="65"/>
      <c r="J753" s="277"/>
      <c r="K753" s="188"/>
      <c r="L753" s="277"/>
      <c r="O753" s="190"/>
      <c r="P753" s="65"/>
      <c r="Q753" s="13"/>
      <c r="R753" s="13"/>
      <c r="S753" s="65"/>
      <c r="T753" s="65"/>
      <c r="U753" s="65"/>
      <c r="V753" s="65"/>
      <c r="W753" s="65"/>
      <c r="X753" s="65"/>
      <c r="Y753" s="65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0000" customHeight="1">
      <c r="B754" s="88"/>
      <c r="H754" s="162"/>
      <c r="I754" s="65"/>
      <c r="J754" s="277"/>
      <c r="K754" s="188"/>
      <c r="L754" s="277"/>
      <c r="O754" s="190"/>
      <c r="P754" s="65"/>
      <c r="Q754" s="13"/>
      <c r="R754" s="13"/>
      <c r="S754" s="65"/>
      <c r="T754" s="65"/>
      <c r="U754" s="65"/>
      <c r="V754" s="65"/>
      <c r="W754" s="65"/>
      <c r="X754" s="65"/>
      <c r="Y754" s="65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0000" customHeight="1">
      <c r="B755" s="88"/>
      <c r="H755" s="162"/>
      <c r="I755" s="65"/>
      <c r="J755" s="277"/>
      <c r="K755" s="65"/>
      <c r="L755" s="277"/>
      <c r="O755" s="190"/>
      <c r="P755" s="65"/>
      <c r="Q755" s="13"/>
      <c r="R755" s="13"/>
      <c r="S755" s="65"/>
      <c r="T755" s="65"/>
      <c r="U755" s="65"/>
      <c r="V755" s="65"/>
      <c r="W755" s="65"/>
      <c r="X755" s="65"/>
      <c r="Y755" s="65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0000" customHeight="1">
      <c r="B756" s="88"/>
      <c r="H756" s="442"/>
      <c r="I756" s="65"/>
      <c r="J756" s="277"/>
      <c r="K756" s="65"/>
      <c r="L756" s="162"/>
      <c r="O756" s="190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0000" customHeight="1">
      <c r="A757" s="156" t="s">
        <v>116</v>
      </c>
      <c r="B757" s="88"/>
      <c r="C757" s="241"/>
      <c r="D757" s="241"/>
      <c r="E757" s="158">
        <f>F757*120%</f>
        <v>0</v>
      </c>
      <c r="F757" s="158">
        <f>(D757-C757+1)*G757</f>
        <v>0</v>
      </c>
      <c r="G757" s="159">
        <f>M757*40</f>
        <v>0</v>
      </c>
      <c r="H757" s="162"/>
      <c r="I757" s="65"/>
      <c r="J757" s="277"/>
      <c r="K757" s="188"/>
      <c r="L757" s="277"/>
      <c r="M757" s="162"/>
      <c r="N757" s="163"/>
      <c r="O757" s="190"/>
      <c r="P757" s="65"/>
      <c r="Q757" s="13"/>
      <c r="R757" s="13"/>
      <c r="S757" s="65"/>
      <c r="T757" s="65"/>
      <c r="U757" s="65"/>
      <c r="V757" s="65"/>
      <c r="W757" s="65"/>
      <c r="X757" s="65"/>
      <c r="Y757" s="65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0000" customHeight="1">
      <c r="B758" s="88"/>
      <c r="H758" s="162"/>
      <c r="I758" s="65"/>
      <c r="J758" s="277"/>
      <c r="K758" s="188"/>
      <c r="L758" s="277"/>
      <c r="O758" s="190"/>
      <c r="P758" s="65"/>
      <c r="Q758" s="13"/>
      <c r="R758" s="13"/>
      <c r="S758" s="65"/>
      <c r="T758" s="65"/>
      <c r="U758" s="65"/>
      <c r="V758" s="65"/>
      <c r="W758" s="65"/>
      <c r="X758" s="65"/>
      <c r="Y758" s="65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0000" customHeight="1">
      <c r="B759" s="88"/>
      <c r="H759" s="162"/>
      <c r="I759" s="65"/>
      <c r="J759" s="277"/>
      <c r="K759" s="188"/>
      <c r="L759" s="277"/>
      <c r="O759" s="190"/>
      <c r="P759" s="65"/>
      <c r="Q759" s="13"/>
      <c r="R759" s="13"/>
      <c r="S759" s="65"/>
      <c r="T759" s="65"/>
      <c r="U759" s="65"/>
      <c r="V759" s="65"/>
      <c r="W759" s="65"/>
      <c r="X759" s="65"/>
      <c r="Y759" s="65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0000" customHeight="1">
      <c r="B760" s="88"/>
      <c r="H760" s="162"/>
      <c r="I760" s="65"/>
      <c r="J760" s="277"/>
      <c r="K760" s="65"/>
      <c r="L760" s="277"/>
      <c r="O760" s="190"/>
      <c r="P760" s="65"/>
      <c r="Q760" s="13"/>
      <c r="R760" s="13"/>
      <c r="S760" s="65"/>
      <c r="T760" s="65"/>
      <c r="U760" s="65"/>
      <c r="V760" s="65"/>
      <c r="W760" s="65"/>
      <c r="X760" s="65"/>
      <c r="Y760" s="65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0000" customHeight="1">
      <c r="B761" s="88"/>
      <c r="H761" s="442"/>
      <c r="I761" s="65"/>
      <c r="J761" s="277"/>
      <c r="K761" s="65"/>
      <c r="L761" s="162"/>
      <c r="O761" s="190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0000" customHeight="1">
      <c r="A762" s="156" t="s">
        <v>116</v>
      </c>
      <c r="B762" s="88"/>
      <c r="C762" s="241"/>
      <c r="D762" s="241"/>
      <c r="E762" s="158">
        <f>F762*120%</f>
        <v>0</v>
      </c>
      <c r="F762" s="158">
        <f>(D762-C762+1)*G762</f>
        <v>0</v>
      </c>
      <c r="G762" s="159">
        <f>M762*40</f>
        <v>0</v>
      </c>
      <c r="H762" s="162"/>
      <c r="I762" s="65"/>
      <c r="J762" s="277"/>
      <c r="K762" s="188"/>
      <c r="L762" s="277"/>
      <c r="M762" s="162"/>
      <c r="N762" s="163"/>
      <c r="O762" s="190"/>
      <c r="P762" s="65"/>
      <c r="Q762" s="13"/>
      <c r="R762" s="13"/>
      <c r="S762" s="65"/>
      <c r="T762" s="65"/>
      <c r="U762" s="65"/>
      <c r="V762" s="65"/>
      <c r="W762" s="65"/>
      <c r="X762" s="65"/>
      <c r="Y762" s="65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0000" customHeight="1">
      <c r="B763" s="88"/>
      <c r="H763" s="162"/>
      <c r="I763" s="65"/>
      <c r="J763" s="277"/>
      <c r="K763" s="188"/>
      <c r="L763" s="277"/>
      <c r="O763" s="190"/>
      <c r="P763" s="65"/>
      <c r="Q763" s="13"/>
      <c r="R763" s="13"/>
      <c r="S763" s="65"/>
      <c r="T763" s="65"/>
      <c r="U763" s="65"/>
      <c r="V763" s="65"/>
      <c r="W763" s="65"/>
      <c r="X763" s="65"/>
      <c r="Y763" s="65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0000" customHeight="1">
      <c r="B764" s="88"/>
      <c r="H764" s="162"/>
      <c r="I764" s="65"/>
      <c r="J764" s="277"/>
      <c r="K764" s="188"/>
      <c r="L764" s="277"/>
      <c r="O764" s="190"/>
      <c r="P764" s="65"/>
      <c r="Q764" s="13"/>
      <c r="R764" s="13"/>
      <c r="S764" s="65"/>
      <c r="T764" s="65"/>
      <c r="U764" s="65"/>
      <c r="V764" s="65"/>
      <c r="W764" s="65"/>
      <c r="X764" s="65"/>
      <c r="Y764" s="65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0000" customHeight="1">
      <c r="B765" s="88"/>
      <c r="H765" s="162"/>
      <c r="I765" s="65"/>
      <c r="J765" s="277"/>
      <c r="K765" s="65"/>
      <c r="L765" s="277"/>
      <c r="O765" s="190"/>
      <c r="P765" s="65"/>
      <c r="Q765" s="13"/>
      <c r="R765" s="13"/>
      <c r="S765" s="65"/>
      <c r="T765" s="65"/>
      <c r="U765" s="65"/>
      <c r="V765" s="65"/>
      <c r="W765" s="65"/>
      <c r="X765" s="65"/>
      <c r="Y765" s="65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0000" customHeight="1">
      <c r="B766" s="88"/>
      <c r="H766" s="442"/>
      <c r="I766" s="65"/>
      <c r="J766" s="277"/>
      <c r="K766" s="65"/>
      <c r="L766" s="162"/>
      <c r="O766" s="190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0000" customHeight="1">
      <c r="A767" s="156" t="s">
        <v>116</v>
      </c>
      <c r="B767" s="88"/>
      <c r="C767" s="241"/>
      <c r="D767" s="241"/>
      <c r="E767" s="158">
        <f>F767*120%</f>
        <v>0</v>
      </c>
      <c r="F767" s="158">
        <f>(D767-C767+1)*G767</f>
        <v>0</v>
      </c>
      <c r="G767" s="159">
        <f>M767*40</f>
        <v>0</v>
      </c>
      <c r="H767" s="162"/>
      <c r="I767" s="65"/>
      <c r="J767" s="277"/>
      <c r="K767" s="188"/>
      <c r="L767" s="277"/>
      <c r="M767" s="162"/>
      <c r="N767" s="163"/>
      <c r="O767" s="190"/>
      <c r="P767" s="65"/>
      <c r="Q767" s="13"/>
      <c r="R767" s="13"/>
      <c r="S767" s="65"/>
      <c r="T767" s="65"/>
      <c r="U767" s="65"/>
      <c r="V767" s="65"/>
      <c r="W767" s="65"/>
      <c r="X767" s="65"/>
      <c r="Y767" s="65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0000" customHeight="1">
      <c r="B768" s="88"/>
      <c r="H768" s="162"/>
      <c r="I768" s="65"/>
      <c r="J768" s="277"/>
      <c r="K768" s="188"/>
      <c r="L768" s="277"/>
      <c r="O768" s="190"/>
      <c r="P768" s="65"/>
      <c r="Q768" s="13"/>
      <c r="R768" s="13"/>
      <c r="S768" s="65"/>
      <c r="T768" s="65"/>
      <c r="U768" s="65"/>
      <c r="V768" s="65"/>
      <c r="W768" s="65"/>
      <c r="X768" s="65"/>
      <c r="Y768" s="65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0000" customHeight="1">
      <c r="B769" s="88"/>
      <c r="H769" s="162"/>
      <c r="I769" s="65"/>
      <c r="J769" s="277"/>
      <c r="K769" s="188"/>
      <c r="L769" s="277"/>
      <c r="O769" s="190"/>
      <c r="P769" s="65"/>
      <c r="Q769" s="13"/>
      <c r="R769" s="13"/>
      <c r="S769" s="65"/>
      <c r="T769" s="65"/>
      <c r="U769" s="65"/>
      <c r="V769" s="65"/>
      <c r="W769" s="65"/>
      <c r="X769" s="65"/>
      <c r="Y769" s="65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0000" customHeight="1">
      <c r="B770" s="88"/>
      <c r="H770" s="162"/>
      <c r="I770" s="65"/>
      <c r="J770" s="277"/>
      <c r="K770" s="65"/>
      <c r="L770" s="277"/>
      <c r="O770" s="190"/>
      <c r="P770" s="65"/>
      <c r="Q770" s="13"/>
      <c r="R770" s="13"/>
      <c r="S770" s="65"/>
      <c r="T770" s="65"/>
      <c r="U770" s="65"/>
      <c r="V770" s="65"/>
      <c r="W770" s="65"/>
      <c r="X770" s="65"/>
      <c r="Y770" s="65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0000" customHeight="1">
      <c r="B771" s="88"/>
      <c r="H771" s="442"/>
      <c r="I771" s="65"/>
      <c r="J771" s="277"/>
      <c r="K771" s="65"/>
      <c r="L771" s="162"/>
      <c r="O771" s="190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0000" customHeight="1">
      <c r="A772" s="156" t="s">
        <v>116</v>
      </c>
      <c r="B772" s="88"/>
      <c r="C772" s="241"/>
      <c r="D772" s="241"/>
      <c r="E772" s="158">
        <f>F772*120%</f>
        <v>0</v>
      </c>
      <c r="F772" s="158">
        <f>(D772-C772+1)*G772</f>
        <v>0</v>
      </c>
      <c r="G772" s="159">
        <f>M772*40</f>
        <v>0</v>
      </c>
      <c r="H772" s="162"/>
      <c r="I772" s="65"/>
      <c r="J772" s="277"/>
      <c r="K772" s="188"/>
      <c r="L772" s="277"/>
      <c r="M772" s="162"/>
      <c r="N772" s="163"/>
      <c r="O772" s="190"/>
      <c r="P772" s="65"/>
      <c r="Q772" s="13"/>
      <c r="R772" s="13"/>
      <c r="S772" s="65"/>
      <c r="T772" s="65"/>
      <c r="U772" s="65"/>
      <c r="V772" s="65"/>
      <c r="W772" s="65"/>
      <c r="X772" s="65"/>
      <c r="Y772" s="65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0000" customHeight="1">
      <c r="B773" s="88"/>
      <c r="H773" s="162"/>
      <c r="I773" s="65"/>
      <c r="J773" s="277"/>
      <c r="K773" s="188"/>
      <c r="L773" s="277"/>
      <c r="O773" s="190"/>
      <c r="P773" s="65"/>
      <c r="Q773" s="13"/>
      <c r="R773" s="13"/>
      <c r="S773" s="65"/>
      <c r="T773" s="65"/>
      <c r="U773" s="65"/>
      <c r="V773" s="65"/>
      <c r="W773" s="65"/>
      <c r="X773" s="65"/>
      <c r="Y773" s="65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0000" customHeight="1">
      <c r="B774" s="88"/>
      <c r="H774" s="162"/>
      <c r="I774" s="65"/>
      <c r="J774" s="277"/>
      <c r="K774" s="188"/>
      <c r="L774" s="277"/>
      <c r="O774" s="190"/>
      <c r="P774" s="65"/>
      <c r="Q774" s="13"/>
      <c r="R774" s="13"/>
      <c r="S774" s="65"/>
      <c r="T774" s="65"/>
      <c r="U774" s="65"/>
      <c r="V774" s="65"/>
      <c r="W774" s="65"/>
      <c r="X774" s="65"/>
      <c r="Y774" s="65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0000" customHeight="1">
      <c r="B775" s="88"/>
      <c r="H775" s="162"/>
      <c r="I775" s="65"/>
      <c r="J775" s="277"/>
      <c r="K775" s="65"/>
      <c r="L775" s="277"/>
      <c r="O775" s="190"/>
      <c r="P775" s="65"/>
      <c r="Q775" s="13"/>
      <c r="R775" s="13"/>
      <c r="S775" s="65"/>
      <c r="T775" s="65"/>
      <c r="U775" s="65"/>
      <c r="V775" s="65"/>
      <c r="W775" s="65"/>
      <c r="X775" s="65"/>
      <c r="Y775" s="65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0000" customHeight="1">
      <c r="B776" s="88"/>
      <c r="H776" s="442"/>
      <c r="I776" s="65"/>
      <c r="J776" s="277"/>
      <c r="K776" s="65"/>
      <c r="L776" s="162"/>
      <c r="O776" s="190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0000" customHeight="1">
      <c r="A777" s="156" t="s">
        <v>116</v>
      </c>
      <c r="B777" s="88"/>
      <c r="C777" s="241"/>
      <c r="D777" s="241"/>
      <c r="E777" s="158">
        <f>F777*120%</f>
        <v>0</v>
      </c>
      <c r="F777" s="158">
        <f>(D777-C777+1)*G777</f>
        <v>0</v>
      </c>
      <c r="G777" s="159">
        <f>M777*40</f>
        <v>0</v>
      </c>
      <c r="H777" s="162"/>
      <c r="I777" s="65"/>
      <c r="J777" s="277"/>
      <c r="K777" s="188"/>
      <c r="L777" s="277"/>
      <c r="M777" s="162"/>
      <c r="N777" s="163"/>
      <c r="O777" s="190"/>
      <c r="P777" s="65"/>
      <c r="Q777" s="13"/>
      <c r="R777" s="13"/>
      <c r="S777" s="65"/>
      <c r="T777" s="65"/>
      <c r="U777" s="65"/>
      <c r="V777" s="65"/>
      <c r="W777" s="65"/>
      <c r="X777" s="65"/>
      <c r="Y777" s="65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0000" customHeight="1">
      <c r="B778" s="88"/>
      <c r="H778" s="162"/>
      <c r="I778" s="65"/>
      <c r="J778" s="277"/>
      <c r="K778" s="188"/>
      <c r="L778" s="277"/>
      <c r="O778" s="190"/>
      <c r="P778" s="65"/>
      <c r="Q778" s="13"/>
      <c r="R778" s="13"/>
      <c r="S778" s="65"/>
      <c r="T778" s="65"/>
      <c r="U778" s="65"/>
      <c r="V778" s="65"/>
      <c r="W778" s="65"/>
      <c r="X778" s="65"/>
      <c r="Y778" s="65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0000" customHeight="1">
      <c r="B779" s="88"/>
      <c r="H779" s="162"/>
      <c r="I779" s="65"/>
      <c r="J779" s="277"/>
      <c r="K779" s="188"/>
      <c r="L779" s="277"/>
      <c r="O779" s="190"/>
      <c r="P779" s="65"/>
      <c r="Q779" s="13"/>
      <c r="R779" s="13"/>
      <c r="S779" s="65"/>
      <c r="T779" s="65"/>
      <c r="U779" s="65"/>
      <c r="V779" s="65"/>
      <c r="W779" s="65"/>
      <c r="X779" s="65"/>
      <c r="Y779" s="65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0000" customHeight="1">
      <c r="B780" s="88"/>
      <c r="H780" s="162"/>
      <c r="I780" s="65"/>
      <c r="J780" s="277"/>
      <c r="K780" s="65"/>
      <c r="L780" s="277"/>
      <c r="O780" s="190"/>
      <c r="P780" s="65"/>
      <c r="Q780" s="13"/>
      <c r="R780" s="13"/>
      <c r="S780" s="65"/>
      <c r="T780" s="65"/>
      <c r="U780" s="65"/>
      <c r="V780" s="65"/>
      <c r="W780" s="65"/>
      <c r="X780" s="65"/>
      <c r="Y780" s="65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0000" customHeight="1">
      <c r="B781" s="88"/>
      <c r="H781" s="442"/>
      <c r="I781" s="65"/>
      <c r="J781" s="277"/>
      <c r="K781" s="65"/>
      <c r="L781" s="162"/>
      <c r="O781" s="190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0000" customHeight="1">
      <c r="A782" s="156" t="s">
        <v>116</v>
      </c>
      <c r="B782" s="88"/>
      <c r="C782" s="241"/>
      <c r="D782" s="241"/>
      <c r="E782" s="158">
        <f>F782*120%</f>
        <v>0</v>
      </c>
      <c r="F782" s="158">
        <f>(D782-C782+1)*G782</f>
        <v>0</v>
      </c>
      <c r="G782" s="159">
        <f>M782*40</f>
        <v>0</v>
      </c>
      <c r="H782" s="162"/>
      <c r="I782" s="65"/>
      <c r="J782" s="277"/>
      <c r="K782" s="188"/>
      <c r="L782" s="277"/>
      <c r="M782" s="162"/>
      <c r="N782" s="163"/>
      <c r="O782" s="190"/>
      <c r="P782" s="65"/>
      <c r="Q782" s="13"/>
      <c r="R782" s="13"/>
      <c r="S782" s="65"/>
      <c r="T782" s="65"/>
      <c r="U782" s="65"/>
      <c r="V782" s="65"/>
      <c r="W782" s="65"/>
      <c r="X782" s="65"/>
      <c r="Y782" s="65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0000" customHeight="1">
      <c r="B783" s="88"/>
      <c r="H783" s="162"/>
      <c r="I783" s="65"/>
      <c r="J783" s="277"/>
      <c r="K783" s="188"/>
      <c r="L783" s="277"/>
      <c r="O783" s="190"/>
      <c r="P783" s="65"/>
      <c r="Q783" s="13"/>
      <c r="R783" s="13"/>
      <c r="S783" s="65"/>
      <c r="T783" s="65"/>
      <c r="U783" s="65"/>
      <c r="V783" s="65"/>
      <c r="W783" s="65"/>
      <c r="X783" s="65"/>
      <c r="Y783" s="65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0000" customHeight="1">
      <c r="B784" s="88"/>
      <c r="H784" s="162"/>
      <c r="I784" s="65"/>
      <c r="J784" s="277"/>
      <c r="K784" s="188"/>
      <c r="L784" s="277"/>
      <c r="O784" s="190"/>
      <c r="P784" s="65"/>
      <c r="Q784" s="13"/>
      <c r="R784" s="13"/>
      <c r="S784" s="65"/>
      <c r="T784" s="65"/>
      <c r="U784" s="65"/>
      <c r="V784" s="65"/>
      <c r="W784" s="65"/>
      <c r="X784" s="65"/>
      <c r="Y784" s="65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0000" customHeight="1">
      <c r="B785" s="88"/>
      <c r="H785" s="162"/>
      <c r="I785" s="65"/>
      <c r="J785" s="277"/>
      <c r="K785" s="65"/>
      <c r="L785" s="277"/>
      <c r="O785" s="190"/>
      <c r="P785" s="65"/>
      <c r="Q785" s="13"/>
      <c r="R785" s="13"/>
      <c r="S785" s="65"/>
      <c r="T785" s="65"/>
      <c r="U785" s="65"/>
      <c r="V785" s="65"/>
      <c r="W785" s="65"/>
      <c r="X785" s="65"/>
      <c r="Y785" s="65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0000" customHeight="1">
      <c r="B786" s="88"/>
      <c r="H786" s="442"/>
      <c r="I786" s="65"/>
      <c r="J786" s="277"/>
      <c r="K786" s="65"/>
      <c r="L786" s="162"/>
      <c r="O786" s="190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0000" customHeight="1">
      <c r="A787" s="156" t="s">
        <v>116</v>
      </c>
      <c r="B787" s="88"/>
      <c r="C787" s="241"/>
      <c r="D787" s="241"/>
      <c r="E787" s="158">
        <f>F787*120%</f>
        <v>0</v>
      </c>
      <c r="F787" s="158">
        <f>(D787-C787+1)*G787</f>
        <v>0</v>
      </c>
      <c r="G787" s="159">
        <f>M787*40</f>
        <v>0</v>
      </c>
      <c r="H787" s="162"/>
      <c r="I787" s="65"/>
      <c r="J787" s="277"/>
      <c r="K787" s="188"/>
      <c r="L787" s="277"/>
      <c r="M787" s="162"/>
      <c r="N787" s="163"/>
      <c r="O787" s="190"/>
      <c r="P787" s="65"/>
      <c r="Q787" s="13"/>
      <c r="R787" s="13"/>
      <c r="S787" s="65"/>
      <c r="T787" s="65"/>
      <c r="U787" s="65"/>
      <c r="V787" s="65"/>
      <c r="W787" s="65"/>
      <c r="X787" s="65"/>
      <c r="Y787" s="65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0000" customHeight="1">
      <c r="B788" s="88"/>
      <c r="H788" s="162"/>
      <c r="I788" s="65"/>
      <c r="J788" s="277"/>
      <c r="K788" s="188"/>
      <c r="L788" s="277"/>
      <c r="O788" s="190"/>
      <c r="P788" s="65"/>
      <c r="Q788" s="13"/>
      <c r="R788" s="13"/>
      <c r="S788" s="65"/>
      <c r="T788" s="65"/>
      <c r="U788" s="65"/>
      <c r="V788" s="65"/>
      <c r="W788" s="65"/>
      <c r="X788" s="65"/>
      <c r="Y788" s="65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0000" customHeight="1">
      <c r="B789" s="88"/>
      <c r="H789" s="162"/>
      <c r="I789" s="65"/>
      <c r="J789" s="277"/>
      <c r="K789" s="188"/>
      <c r="L789" s="277"/>
      <c r="O789" s="190"/>
      <c r="P789" s="65"/>
      <c r="Q789" s="13"/>
      <c r="R789" s="13"/>
      <c r="S789" s="65"/>
      <c r="T789" s="65"/>
      <c r="U789" s="65"/>
      <c r="V789" s="65"/>
      <c r="W789" s="65"/>
      <c r="X789" s="65"/>
      <c r="Y789" s="65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0000" customHeight="1">
      <c r="B790" s="88"/>
      <c r="H790" s="162"/>
      <c r="I790" s="65"/>
      <c r="J790" s="277"/>
      <c r="K790" s="65"/>
      <c r="L790" s="277"/>
      <c r="O790" s="190"/>
      <c r="P790" s="65"/>
      <c r="Q790" s="13"/>
      <c r="R790" s="13"/>
      <c r="S790" s="65"/>
      <c r="T790" s="65"/>
      <c r="U790" s="65"/>
      <c r="V790" s="65"/>
      <c r="W790" s="65"/>
      <c r="X790" s="65"/>
      <c r="Y790" s="65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0000" customHeight="1">
      <c r="B791" s="88"/>
      <c r="H791" s="442"/>
      <c r="I791" s="65"/>
      <c r="J791" s="277"/>
      <c r="K791" s="65"/>
      <c r="L791" s="162"/>
      <c r="O791" s="190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0000" customHeight="1">
      <c r="A792" s="156" t="s">
        <v>116</v>
      </c>
      <c r="B792" s="88"/>
      <c r="C792" s="241"/>
      <c r="D792" s="241"/>
      <c r="E792" s="158">
        <f>F792*120%</f>
        <v>0</v>
      </c>
      <c r="F792" s="158">
        <f>(D792-C792+1)*G792</f>
        <v>0</v>
      </c>
      <c r="G792" s="159">
        <f>M792*40</f>
        <v>0</v>
      </c>
      <c r="H792" s="162"/>
      <c r="I792" s="65"/>
      <c r="J792" s="277"/>
      <c r="K792" s="188"/>
      <c r="L792" s="277"/>
      <c r="M792" s="162"/>
      <c r="N792" s="163"/>
      <c r="O792" s="190"/>
      <c r="P792" s="65"/>
      <c r="Q792" s="13"/>
      <c r="R792" s="13"/>
      <c r="S792" s="65"/>
      <c r="T792" s="65"/>
      <c r="U792" s="65"/>
      <c r="V792" s="65"/>
      <c r="W792" s="65"/>
      <c r="X792" s="65"/>
      <c r="Y792" s="65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0000" customHeight="1">
      <c r="B793" s="88"/>
      <c r="H793" s="162"/>
      <c r="I793" s="65"/>
      <c r="J793" s="277"/>
      <c r="K793" s="188"/>
      <c r="L793" s="277"/>
      <c r="O793" s="190"/>
      <c r="P793" s="65"/>
      <c r="Q793" s="13"/>
      <c r="R793" s="13"/>
      <c r="S793" s="65"/>
      <c r="T793" s="65"/>
      <c r="U793" s="65"/>
      <c r="V793" s="65"/>
      <c r="W793" s="65"/>
      <c r="X793" s="65"/>
      <c r="Y793" s="65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0000" customHeight="1">
      <c r="B794" s="88"/>
      <c r="H794" s="162"/>
      <c r="I794" s="65"/>
      <c r="J794" s="277"/>
      <c r="K794" s="188"/>
      <c r="L794" s="277"/>
      <c r="O794" s="190"/>
      <c r="P794" s="65"/>
      <c r="Q794" s="13"/>
      <c r="R794" s="13"/>
      <c r="S794" s="65"/>
      <c r="T794" s="65"/>
      <c r="U794" s="65"/>
      <c r="V794" s="65"/>
      <c r="W794" s="65"/>
      <c r="X794" s="65"/>
      <c r="Y794" s="65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0000" customHeight="1">
      <c r="B795" s="88"/>
      <c r="H795" s="162"/>
      <c r="I795" s="65"/>
      <c r="J795" s="277"/>
      <c r="K795" s="65"/>
      <c r="L795" s="277"/>
      <c r="O795" s="190"/>
      <c r="P795" s="65"/>
      <c r="Q795" s="13"/>
      <c r="R795" s="13"/>
      <c r="S795" s="65"/>
      <c r="T795" s="65"/>
      <c r="U795" s="65"/>
      <c r="V795" s="65"/>
      <c r="W795" s="65"/>
      <c r="X795" s="65"/>
      <c r="Y795" s="65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0000" customHeight="1">
      <c r="B796" s="88"/>
      <c r="H796" s="442"/>
      <c r="I796" s="65"/>
      <c r="J796" s="277"/>
      <c r="K796" s="65"/>
      <c r="L796" s="162"/>
      <c r="O796" s="190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0000" customHeight="1">
      <c r="A797" s="156" t="s">
        <v>116</v>
      </c>
      <c r="B797" s="88"/>
      <c r="C797" s="241"/>
      <c r="D797" s="241"/>
      <c r="E797" s="158">
        <f>F797*120%</f>
        <v>0</v>
      </c>
      <c r="F797" s="158">
        <f>(D797-C797+1)*G797</f>
        <v>0</v>
      </c>
      <c r="G797" s="159">
        <f>M797*40</f>
        <v>0</v>
      </c>
      <c r="H797" s="162"/>
      <c r="I797" s="65"/>
      <c r="J797" s="277"/>
      <c r="K797" s="188"/>
      <c r="L797" s="277"/>
      <c r="M797" s="162"/>
      <c r="N797" s="163"/>
      <c r="O797" s="190"/>
      <c r="P797" s="65"/>
      <c r="Q797" s="13"/>
      <c r="R797" s="13"/>
      <c r="S797" s="65"/>
      <c r="T797" s="65"/>
      <c r="U797" s="65"/>
      <c r="V797" s="65"/>
      <c r="W797" s="65"/>
      <c r="X797" s="65"/>
      <c r="Y797" s="65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0000" customHeight="1">
      <c r="B798" s="88"/>
      <c r="H798" s="162"/>
      <c r="I798" s="65"/>
      <c r="J798" s="277"/>
      <c r="K798" s="188"/>
      <c r="L798" s="277"/>
      <c r="O798" s="190"/>
      <c r="P798" s="65"/>
      <c r="Q798" s="13"/>
      <c r="R798" s="13"/>
      <c r="S798" s="65"/>
      <c r="T798" s="65"/>
      <c r="U798" s="65"/>
      <c r="V798" s="65"/>
      <c r="W798" s="65"/>
      <c r="X798" s="65"/>
      <c r="Y798" s="65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0000" customHeight="1">
      <c r="B799" s="88"/>
      <c r="H799" s="162"/>
      <c r="I799" s="65"/>
      <c r="J799" s="277"/>
      <c r="K799" s="188"/>
      <c r="L799" s="277"/>
      <c r="O799" s="190"/>
      <c r="P799" s="65"/>
      <c r="Q799" s="13"/>
      <c r="R799" s="13"/>
      <c r="S799" s="65"/>
      <c r="T799" s="65"/>
      <c r="U799" s="65"/>
      <c r="V799" s="65"/>
      <c r="W799" s="65"/>
      <c r="X799" s="65"/>
      <c r="Y799" s="65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0000" customHeight="1">
      <c r="B800" s="88"/>
      <c r="H800" s="162"/>
      <c r="I800" s="65"/>
      <c r="J800" s="277"/>
      <c r="K800" s="65"/>
      <c r="L800" s="277"/>
      <c r="O800" s="190"/>
      <c r="P800" s="65"/>
      <c r="Q800" s="13"/>
      <c r="R800" s="13"/>
      <c r="S800" s="65"/>
      <c r="T800" s="65"/>
      <c r="U800" s="65"/>
      <c r="V800" s="65"/>
      <c r="W800" s="65"/>
      <c r="X800" s="65"/>
      <c r="Y800" s="65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0000" customHeight="1">
      <c r="B801" s="88"/>
      <c r="H801" s="442"/>
      <c r="I801" s="65"/>
      <c r="J801" s="277"/>
      <c r="K801" s="65"/>
      <c r="L801" s="162"/>
      <c r="O801" s="190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0000" customHeight="1">
      <c r="A802" s="156" t="s">
        <v>116</v>
      </c>
      <c r="B802" s="88"/>
      <c r="C802" s="241"/>
      <c r="D802" s="241"/>
      <c r="E802" s="158">
        <f>F802*120%</f>
        <v>0</v>
      </c>
      <c r="F802" s="158">
        <f>(D802-C802+1)*G802</f>
        <v>0</v>
      </c>
      <c r="G802" s="159">
        <f>M802*40</f>
        <v>0</v>
      </c>
      <c r="H802" s="162"/>
      <c r="I802" s="65"/>
      <c r="J802" s="277"/>
      <c r="K802" s="188"/>
      <c r="L802" s="277"/>
      <c r="M802" s="162"/>
      <c r="N802" s="163"/>
      <c r="O802" s="190"/>
      <c r="P802" s="65"/>
      <c r="Q802" s="13"/>
      <c r="R802" s="13"/>
      <c r="S802" s="65"/>
      <c r="T802" s="65"/>
      <c r="U802" s="65"/>
      <c r="V802" s="65"/>
      <c r="W802" s="65"/>
      <c r="X802" s="65"/>
      <c r="Y802" s="65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0000" customHeight="1">
      <c r="B803" s="88"/>
      <c r="H803" s="162"/>
      <c r="I803" s="65"/>
      <c r="J803" s="277"/>
      <c r="K803" s="188"/>
      <c r="L803" s="277"/>
      <c r="O803" s="190"/>
      <c r="P803" s="65"/>
      <c r="Q803" s="13"/>
      <c r="R803" s="13"/>
      <c r="S803" s="65"/>
      <c r="T803" s="65"/>
      <c r="U803" s="65"/>
      <c r="V803" s="65"/>
      <c r="W803" s="65"/>
      <c r="X803" s="65"/>
      <c r="Y803" s="65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0000" customHeight="1">
      <c r="B804" s="88"/>
      <c r="H804" s="162"/>
      <c r="I804" s="65"/>
      <c r="J804" s="277"/>
      <c r="K804" s="188"/>
      <c r="L804" s="277"/>
      <c r="O804" s="190"/>
      <c r="P804" s="65"/>
      <c r="Q804" s="13"/>
      <c r="R804" s="13"/>
      <c r="S804" s="65"/>
      <c r="T804" s="65"/>
      <c r="U804" s="65"/>
      <c r="V804" s="65"/>
      <c r="W804" s="65"/>
      <c r="X804" s="65"/>
      <c r="Y804" s="65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0000" customHeight="1">
      <c r="B805" s="88"/>
      <c r="H805" s="162"/>
      <c r="I805" s="65"/>
      <c r="J805" s="277"/>
      <c r="K805" s="65"/>
      <c r="L805" s="277"/>
      <c r="O805" s="190"/>
      <c r="P805" s="65"/>
      <c r="Q805" s="13"/>
      <c r="R805" s="13"/>
      <c r="S805" s="65"/>
      <c r="T805" s="65"/>
      <c r="U805" s="65"/>
      <c r="V805" s="65"/>
      <c r="W805" s="65"/>
      <c r="X805" s="65"/>
      <c r="Y805" s="65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0000" customHeight="1">
      <c r="B806" s="88"/>
      <c r="H806" s="442"/>
      <c r="I806" s="65"/>
      <c r="J806" s="277"/>
      <c r="K806" s="65"/>
      <c r="L806" s="162"/>
      <c r="O806" s="190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0000" customHeight="1">
      <c r="A807" s="156" t="s">
        <v>116</v>
      </c>
      <c r="B807" s="88"/>
      <c r="C807" s="241"/>
      <c r="D807" s="241"/>
      <c r="E807" s="158">
        <f>F807*120%</f>
        <v>0</v>
      </c>
      <c r="F807" s="158">
        <f>(D807-C807+1)*G807</f>
        <v>0</v>
      </c>
      <c r="G807" s="159">
        <f>M807*40</f>
        <v>0</v>
      </c>
      <c r="H807" s="162"/>
      <c r="I807" s="65"/>
      <c r="J807" s="277"/>
      <c r="K807" s="188"/>
      <c r="L807" s="277"/>
      <c r="M807" s="162"/>
      <c r="N807" s="163"/>
      <c r="O807" s="190"/>
      <c r="P807" s="65"/>
      <c r="Q807" s="13"/>
      <c r="R807" s="13"/>
      <c r="S807" s="65"/>
      <c r="T807" s="65"/>
      <c r="U807" s="65"/>
      <c r="V807" s="65"/>
      <c r="W807" s="65"/>
      <c r="X807" s="65"/>
      <c r="Y807" s="65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0000" customHeight="1">
      <c r="B808" s="88"/>
      <c r="H808" s="162"/>
      <c r="I808" s="65"/>
      <c r="J808" s="277"/>
      <c r="K808" s="188"/>
      <c r="L808" s="277"/>
      <c r="O808" s="190"/>
      <c r="P808" s="65"/>
      <c r="Q808" s="13"/>
      <c r="R808" s="13"/>
      <c r="S808" s="65"/>
      <c r="T808" s="65"/>
      <c r="U808" s="65"/>
      <c r="V808" s="65"/>
      <c r="W808" s="65"/>
      <c r="X808" s="65"/>
      <c r="Y808" s="65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0000" customHeight="1">
      <c r="B809" s="88"/>
      <c r="H809" s="162"/>
      <c r="I809" s="65"/>
      <c r="J809" s="277"/>
      <c r="K809" s="188"/>
      <c r="L809" s="277"/>
      <c r="O809" s="190"/>
      <c r="P809" s="65"/>
      <c r="Q809" s="13"/>
      <c r="R809" s="13"/>
      <c r="S809" s="65"/>
      <c r="T809" s="65"/>
      <c r="U809" s="65"/>
      <c r="V809" s="65"/>
      <c r="W809" s="65"/>
      <c r="X809" s="65"/>
      <c r="Y809" s="65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0000" customHeight="1">
      <c r="B810" s="88"/>
      <c r="H810" s="162"/>
      <c r="I810" s="65"/>
      <c r="J810" s="277"/>
      <c r="K810" s="65"/>
      <c r="L810" s="277"/>
      <c r="O810" s="190"/>
      <c r="P810" s="65"/>
      <c r="Q810" s="13"/>
      <c r="R810" s="13"/>
      <c r="S810" s="65"/>
      <c r="T810" s="65"/>
      <c r="U810" s="65"/>
      <c r="V810" s="65"/>
      <c r="W810" s="65"/>
      <c r="X810" s="65"/>
      <c r="Y810" s="65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0000" customHeight="1">
      <c r="B811" s="88"/>
      <c r="H811" s="442"/>
      <c r="I811" s="65"/>
      <c r="J811" s="277"/>
      <c r="K811" s="65"/>
      <c r="L811" s="162"/>
      <c r="O811" s="190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0000" customHeight="1">
      <c r="A812" s="156" t="s">
        <v>116</v>
      </c>
      <c r="B812" s="88"/>
      <c r="C812" s="241"/>
      <c r="D812" s="241"/>
      <c r="E812" s="158">
        <f>F812*120%</f>
        <v>0</v>
      </c>
      <c r="F812" s="158">
        <f>(D812-C812+1)*G812</f>
        <v>0</v>
      </c>
      <c r="G812" s="159">
        <f>M812*40</f>
        <v>0</v>
      </c>
      <c r="H812" s="162"/>
      <c r="I812" s="65"/>
      <c r="J812" s="277"/>
      <c r="K812" s="188"/>
      <c r="L812" s="277"/>
      <c r="M812" s="162"/>
      <c r="N812" s="163"/>
      <c r="O812" s="190"/>
      <c r="P812" s="65"/>
      <c r="Q812" s="13"/>
      <c r="R812" s="13"/>
      <c r="S812" s="65"/>
      <c r="T812" s="65"/>
      <c r="U812" s="65"/>
      <c r="V812" s="65"/>
      <c r="W812" s="65"/>
      <c r="X812" s="65"/>
      <c r="Y812" s="65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0000" customHeight="1">
      <c r="B813" s="88"/>
      <c r="H813" s="162"/>
      <c r="I813" s="65"/>
      <c r="J813" s="277"/>
      <c r="K813" s="188"/>
      <c r="L813" s="277"/>
      <c r="O813" s="190"/>
      <c r="P813" s="65"/>
      <c r="Q813" s="13"/>
      <c r="R813" s="13"/>
      <c r="S813" s="65"/>
      <c r="T813" s="65"/>
      <c r="U813" s="65"/>
      <c r="V813" s="65"/>
      <c r="W813" s="65"/>
      <c r="X813" s="65"/>
      <c r="Y813" s="65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0000" customHeight="1">
      <c r="B814" s="88"/>
      <c r="H814" s="162"/>
      <c r="I814" s="65"/>
      <c r="J814" s="277"/>
      <c r="K814" s="188"/>
      <c r="L814" s="277"/>
      <c r="O814" s="190"/>
      <c r="P814" s="65"/>
      <c r="Q814" s="13"/>
      <c r="R814" s="13"/>
      <c r="S814" s="65"/>
      <c r="T814" s="65"/>
      <c r="U814" s="65"/>
      <c r="V814" s="65"/>
      <c r="W814" s="65"/>
      <c r="X814" s="65"/>
      <c r="Y814" s="65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0000" customHeight="1">
      <c r="B815" s="88"/>
      <c r="H815" s="162"/>
      <c r="I815" s="65"/>
      <c r="J815" s="277"/>
      <c r="K815" s="65"/>
      <c r="L815" s="277"/>
      <c r="O815" s="190"/>
      <c r="P815" s="65"/>
      <c r="Q815" s="13"/>
      <c r="R815" s="13"/>
      <c r="S815" s="65"/>
      <c r="T815" s="65"/>
      <c r="U815" s="65"/>
      <c r="V815" s="65"/>
      <c r="W815" s="65"/>
      <c r="X815" s="65"/>
      <c r="Y815" s="65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0000" customHeight="1">
      <c r="B816" s="88"/>
      <c r="H816" s="442"/>
      <c r="I816" s="65"/>
      <c r="J816" s="277"/>
      <c r="K816" s="65"/>
      <c r="L816" s="162"/>
      <c r="O816" s="190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0000" customHeight="1">
      <c r="A817" s="156" t="s">
        <v>116</v>
      </c>
      <c r="B817" s="88"/>
      <c r="C817" s="241"/>
      <c r="D817" s="241"/>
      <c r="E817" s="158">
        <f>F817*120%</f>
        <v>0</v>
      </c>
      <c r="F817" s="158">
        <f>(D817-C817+1)*G817</f>
        <v>0</v>
      </c>
      <c r="G817" s="159">
        <f>M817*40</f>
        <v>0</v>
      </c>
      <c r="H817" s="162"/>
      <c r="I817" s="65"/>
      <c r="J817" s="277"/>
      <c r="K817" s="188"/>
      <c r="L817" s="277"/>
      <c r="M817" s="162"/>
      <c r="N817" s="163"/>
      <c r="O817" s="190"/>
      <c r="P817" s="65"/>
      <c r="Q817" s="13"/>
      <c r="R817" s="13"/>
      <c r="S817" s="65"/>
      <c r="T817" s="65"/>
      <c r="U817" s="65"/>
      <c r="V817" s="65"/>
      <c r="W817" s="65"/>
      <c r="X817" s="65"/>
      <c r="Y817" s="65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0000" customHeight="1">
      <c r="B818" s="88"/>
      <c r="H818" s="162"/>
      <c r="I818" s="65"/>
      <c r="J818" s="277"/>
      <c r="K818" s="188"/>
      <c r="L818" s="277"/>
      <c r="O818" s="190"/>
      <c r="P818" s="65"/>
      <c r="Q818" s="13"/>
      <c r="R818" s="13"/>
      <c r="S818" s="65"/>
      <c r="T818" s="65"/>
      <c r="U818" s="65"/>
      <c r="V818" s="65"/>
      <c r="W818" s="65"/>
      <c r="X818" s="65"/>
      <c r="Y818" s="65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0000" customHeight="1">
      <c r="B819" s="88"/>
      <c r="H819" s="162"/>
      <c r="I819" s="65"/>
      <c r="J819" s="277"/>
      <c r="K819" s="188"/>
      <c r="L819" s="277"/>
      <c r="O819" s="190"/>
      <c r="P819" s="65"/>
      <c r="Q819" s="13"/>
      <c r="R819" s="13"/>
      <c r="S819" s="65"/>
      <c r="T819" s="65"/>
      <c r="U819" s="65"/>
      <c r="V819" s="65"/>
      <c r="W819" s="65"/>
      <c r="X819" s="65"/>
      <c r="Y819" s="65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0000" customHeight="1">
      <c r="B820" s="88"/>
      <c r="H820" s="162"/>
      <c r="I820" s="65"/>
      <c r="J820" s="277"/>
      <c r="K820" s="65"/>
      <c r="L820" s="277"/>
      <c r="O820" s="190"/>
      <c r="P820" s="65"/>
      <c r="Q820" s="13"/>
      <c r="R820" s="13"/>
      <c r="S820" s="65"/>
      <c r="T820" s="65"/>
      <c r="U820" s="65"/>
      <c r="V820" s="65"/>
      <c r="W820" s="65"/>
      <c r="X820" s="65"/>
      <c r="Y820" s="65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0000" customHeight="1">
      <c r="B821" s="88"/>
      <c r="H821" s="442"/>
      <c r="I821" s="65"/>
      <c r="J821" s="277"/>
      <c r="K821" s="65"/>
      <c r="L821" s="162"/>
      <c r="O821" s="190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0000" customHeight="1">
      <c r="A822" s="156" t="s">
        <v>116</v>
      </c>
      <c r="B822" s="88"/>
      <c r="C822" s="469"/>
      <c r="D822" s="469"/>
      <c r="E822" s="158">
        <f>F822*120%</f>
        <v>0</v>
      </c>
      <c r="F822" s="158">
        <f>(D822-C822+1)*G822</f>
        <v>0</v>
      </c>
      <c r="G822" s="159">
        <f>M822*40</f>
        <v>0</v>
      </c>
      <c r="H822" s="65"/>
      <c r="I822" s="65"/>
      <c r="J822" s="277"/>
      <c r="K822" s="65"/>
      <c r="L822" s="162"/>
      <c r="M822" s="162"/>
      <c r="N822" s="163"/>
      <c r="O822" s="467"/>
      <c r="P822" s="65"/>
      <c r="Q822" s="13"/>
      <c r="R822" s="13"/>
      <c r="S822" s="65"/>
      <c r="T822" s="65"/>
      <c r="U822" s="65"/>
      <c r="V822" s="65"/>
      <c r="W822" s="65"/>
      <c r="X822" s="65"/>
      <c r="Y822" s="65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0000" customHeight="1">
      <c r="B823" s="88"/>
      <c r="H823" s="65"/>
      <c r="I823" s="65"/>
      <c r="J823" s="162"/>
      <c r="K823" s="65"/>
      <c r="L823" s="162"/>
      <c r="O823" s="65"/>
      <c r="P823" s="65"/>
      <c r="Q823" s="13"/>
      <c r="R823" s="13"/>
      <c r="S823" s="65"/>
      <c r="T823" s="65"/>
      <c r="U823" s="65"/>
      <c r="V823" s="65"/>
      <c r="W823" s="65"/>
      <c r="X823" s="65"/>
      <c r="Y823" s="65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0000" customHeight="1">
      <c r="B824" s="88"/>
      <c r="H824" s="65"/>
      <c r="I824" s="65"/>
      <c r="J824" s="162"/>
      <c r="K824" s="65"/>
      <c r="L824" s="162"/>
      <c r="O824" s="65"/>
      <c r="P824" s="65"/>
      <c r="Q824" s="13"/>
      <c r="R824" s="13"/>
      <c r="S824" s="65"/>
      <c r="T824" s="65"/>
      <c r="U824" s="65"/>
      <c r="V824" s="65"/>
      <c r="W824" s="65"/>
      <c r="X824" s="65"/>
      <c r="Y824" s="65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0000" customHeight="1">
      <c r="B825" s="88"/>
      <c r="H825" s="65"/>
      <c r="I825" s="65"/>
      <c r="J825" s="162"/>
      <c r="K825" s="65"/>
      <c r="L825" s="162"/>
      <c r="O825" s="65"/>
      <c r="P825" s="65"/>
      <c r="Q825" s="13"/>
      <c r="R825" s="13"/>
      <c r="S825" s="65"/>
      <c r="T825" s="65"/>
      <c r="U825" s="65"/>
      <c r="V825" s="65"/>
      <c r="W825" s="65"/>
      <c r="X825" s="65"/>
      <c r="Y825" s="65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0000" customHeight="1">
      <c r="B826" s="88"/>
      <c r="H826" s="169"/>
      <c r="I826" s="65"/>
      <c r="J826" s="162"/>
      <c r="K826" s="65"/>
      <c r="L826" s="162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0000" customHeight="1">
      <c r="A827" s="156" t="s">
        <v>116</v>
      </c>
      <c r="B827" s="88"/>
      <c r="C827" s="241"/>
      <c r="D827" s="241"/>
      <c r="E827" s="158">
        <f>F827*120%</f>
        <v>0</v>
      </c>
      <c r="F827" s="158">
        <f>(D827-C827+1)*G827</f>
        <v>0</v>
      </c>
      <c r="G827" s="159">
        <f>M827*40</f>
        <v>0</v>
      </c>
      <c r="H827" s="162"/>
      <c r="I827" s="65"/>
      <c r="J827" s="162"/>
      <c r="K827" s="65"/>
      <c r="L827" s="162"/>
      <c r="M827" s="162"/>
      <c r="N827" s="163"/>
      <c r="O827" s="190"/>
      <c r="P827" s="65"/>
      <c r="Q827" s="13"/>
      <c r="R827" s="13"/>
      <c r="S827" s="65"/>
      <c r="T827" s="65"/>
      <c r="U827" s="65"/>
      <c r="V827" s="65"/>
      <c r="W827" s="65"/>
      <c r="X827" s="65"/>
      <c r="Y827" s="65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0000" customHeight="1">
      <c r="B828" s="88"/>
      <c r="H828" s="162"/>
      <c r="I828" s="65"/>
      <c r="J828" s="162"/>
      <c r="K828" s="65"/>
      <c r="L828" s="162"/>
      <c r="O828" s="190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0000" customHeight="1">
      <c r="B829" s="88"/>
      <c r="H829" s="162"/>
      <c r="I829" s="65"/>
      <c r="J829" s="162"/>
      <c r="K829" s="65"/>
      <c r="L829" s="162"/>
      <c r="O829" s="190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0000" customHeight="1">
      <c r="B830" s="88"/>
      <c r="H830" s="162"/>
      <c r="I830" s="65"/>
      <c r="J830" s="162"/>
      <c r="K830" s="65"/>
      <c r="L830" s="162"/>
      <c r="O830" s="190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0000" customHeight="1">
      <c r="B831" s="88"/>
      <c r="H831" s="220"/>
      <c r="I831" s="65"/>
      <c r="J831" s="162"/>
      <c r="K831" s="65"/>
      <c r="L831" s="162"/>
      <c r="O831" s="190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0000" customHeight="1">
      <c r="A832" s="156" t="s">
        <v>116</v>
      </c>
      <c r="B832" s="88"/>
      <c r="C832" s="470"/>
      <c r="D832" s="470"/>
      <c r="E832" s="158">
        <f>F832*120%</f>
        <v>0</v>
      </c>
      <c r="F832" s="158">
        <f>(D832-C832+1)*G832</f>
        <v>0</v>
      </c>
      <c r="G832" s="159">
        <f>M832*40</f>
        <v>0</v>
      </c>
      <c r="H832" s="277"/>
      <c r="I832" s="65"/>
      <c r="J832" s="162"/>
      <c r="K832" s="188"/>
      <c r="L832" s="277"/>
      <c r="M832" s="13"/>
      <c r="N832" s="163"/>
      <c r="O832" s="13"/>
      <c r="P832" s="13"/>
      <c r="Q832" s="13"/>
      <c r="R832" s="13"/>
      <c r="S832" s="13"/>
      <c r="T832" s="13"/>
      <c r="U832" s="165"/>
      <c r="V832" s="165"/>
      <c r="W832" s="165"/>
      <c r="X832" s="165"/>
      <c r="Y832" s="165"/>
      <c r="Z832" s="166"/>
      <c r="AA832" s="166"/>
      <c r="AB832" s="166"/>
      <c r="AC832" s="166"/>
      <c r="AD832" s="166"/>
      <c r="AE832" s="166"/>
      <c r="AF832" s="166"/>
      <c r="AG832" s="166"/>
      <c r="AH832" s="166"/>
    </row>
    <row r="833" spans="1:34" ht="15.750000" customHeight="1">
      <c r="B833" s="88"/>
      <c r="H833" s="277"/>
      <c r="I833" s="65"/>
      <c r="J833" s="162"/>
      <c r="K833" s="188"/>
      <c r="L833" s="277"/>
      <c r="O833" s="13"/>
      <c r="P833" s="13"/>
      <c r="Q833" s="13"/>
      <c r="R833" s="13"/>
      <c r="S833" s="13"/>
      <c r="T833" s="13"/>
      <c r="U833" s="165"/>
      <c r="V833" s="165"/>
      <c r="W833" s="165"/>
      <c r="X833" s="165"/>
      <c r="Y833" s="165"/>
      <c r="Z833" s="166"/>
      <c r="AA833" s="166"/>
      <c r="AB833" s="166"/>
      <c r="AC833" s="166"/>
      <c r="AD833" s="166"/>
      <c r="AE833" s="166"/>
      <c r="AF833" s="166"/>
      <c r="AG833" s="166"/>
      <c r="AH833" s="166"/>
    </row>
    <row r="834" spans="1:34" ht="15.750000" customHeight="1">
      <c r="B834" s="88"/>
      <c r="H834" s="277"/>
      <c r="I834" s="65"/>
      <c r="J834" s="162"/>
      <c r="K834" s="188"/>
      <c r="L834" s="277"/>
      <c r="O834" s="13"/>
      <c r="P834" s="13"/>
      <c r="Q834" s="13"/>
      <c r="R834" s="13"/>
      <c r="S834" s="13"/>
      <c r="T834" s="13"/>
      <c r="U834" s="165"/>
      <c r="V834" s="165"/>
      <c r="W834" s="165"/>
      <c r="X834" s="165"/>
      <c r="Y834" s="165"/>
      <c r="Z834" s="166"/>
      <c r="AA834" s="166"/>
      <c r="AB834" s="166"/>
      <c r="AC834" s="166"/>
      <c r="AD834" s="166"/>
      <c r="AE834" s="166"/>
      <c r="AF834" s="166"/>
      <c r="AG834" s="166"/>
      <c r="AH834" s="166"/>
    </row>
    <row r="835" spans="1:34" ht="15.750000" customHeight="1">
      <c r="B835" s="88"/>
      <c r="H835" s="277"/>
      <c r="I835" s="65"/>
      <c r="J835" s="162"/>
      <c r="K835" s="65"/>
      <c r="L835" s="277"/>
      <c r="O835" s="13"/>
      <c r="P835" s="13"/>
      <c r="Q835" s="13"/>
      <c r="R835" s="13"/>
      <c r="S835" s="13"/>
      <c r="T835" s="13"/>
      <c r="U835" s="165"/>
      <c r="V835" s="165"/>
      <c r="W835" s="165"/>
      <c r="X835" s="165"/>
      <c r="Y835" s="165"/>
      <c r="Z835" s="166"/>
      <c r="AA835" s="166"/>
      <c r="AB835" s="166"/>
      <c r="AC835" s="166"/>
      <c r="AD835" s="166"/>
      <c r="AE835" s="166"/>
      <c r="AF835" s="166"/>
      <c r="AG835" s="166"/>
      <c r="AH835" s="166"/>
    </row>
    <row r="836" spans="1:34" ht="15.750000" customHeight="1">
      <c r="B836" s="166"/>
      <c r="H836" s="447"/>
      <c r="I836" s="165"/>
      <c r="J836" s="447"/>
      <c r="K836" s="165"/>
      <c r="L836" s="277"/>
      <c r="O836" s="13"/>
      <c r="P836" s="13"/>
      <c r="Q836" s="13"/>
      <c r="R836" s="13"/>
      <c r="S836" s="13"/>
      <c r="T836" s="165"/>
      <c r="U836" s="165"/>
      <c r="V836" s="165"/>
      <c r="W836" s="165"/>
      <c r="X836" s="165"/>
      <c r="Y836" s="165"/>
      <c r="Z836" s="166"/>
      <c r="AA836" s="166"/>
      <c r="AB836" s="166"/>
      <c r="AC836" s="166"/>
      <c r="AD836" s="166"/>
      <c r="AE836" s="166"/>
      <c r="AF836" s="166"/>
      <c r="AG836" s="166"/>
      <c r="AH836" s="166"/>
    </row>
    <row r="837" spans="1:34" ht="15.750000" customHeight="1">
      <c r="A837" s="156" t="s">
        <v>116</v>
      </c>
      <c r="B837" s="88"/>
      <c r="C837" s="470"/>
      <c r="D837" s="470"/>
      <c r="E837" s="158">
        <f>F837*120%</f>
        <v>0</v>
      </c>
      <c r="F837" s="158">
        <f>(D837-C837+1)*G837</f>
        <v>0</v>
      </c>
      <c r="G837" s="159">
        <f>M837*40</f>
        <v>0</v>
      </c>
      <c r="H837" s="277"/>
      <c r="I837" s="65"/>
      <c r="J837" s="162"/>
      <c r="K837" s="188"/>
      <c r="L837" s="277"/>
      <c r="M837" s="13"/>
      <c r="N837" s="163"/>
      <c r="O837" s="13"/>
      <c r="P837" s="13"/>
      <c r="Q837" s="13"/>
      <c r="R837" s="13"/>
      <c r="S837" s="13"/>
      <c r="T837" s="13"/>
      <c r="U837" s="165"/>
      <c r="V837" s="165"/>
      <c r="W837" s="165"/>
      <c r="X837" s="165"/>
      <c r="Y837" s="165"/>
      <c r="Z837" s="166"/>
      <c r="AA837" s="166"/>
      <c r="AB837" s="166"/>
      <c r="AC837" s="166"/>
      <c r="AD837" s="166"/>
      <c r="AE837" s="166"/>
      <c r="AF837" s="166"/>
      <c r="AG837" s="166"/>
      <c r="AH837" s="166"/>
    </row>
    <row r="838" spans="1:34" ht="15.750000" customHeight="1">
      <c r="B838" s="88"/>
      <c r="H838" s="277"/>
      <c r="I838" s="65"/>
      <c r="J838" s="162"/>
      <c r="K838" s="188"/>
      <c r="L838" s="277"/>
      <c r="O838" s="13"/>
      <c r="P838" s="13"/>
      <c r="Q838" s="13"/>
      <c r="R838" s="13"/>
      <c r="S838" s="13"/>
      <c r="T838" s="13"/>
      <c r="U838" s="165"/>
      <c r="V838" s="165"/>
      <c r="W838" s="165"/>
      <c r="X838" s="165"/>
      <c r="Y838" s="165"/>
      <c r="Z838" s="166"/>
      <c r="AA838" s="166"/>
      <c r="AB838" s="166"/>
      <c r="AC838" s="166"/>
      <c r="AD838" s="166"/>
      <c r="AE838" s="166"/>
      <c r="AF838" s="166"/>
      <c r="AG838" s="166"/>
      <c r="AH838" s="166"/>
    </row>
    <row r="839" spans="1:34" ht="15.750000" customHeight="1">
      <c r="B839" s="88"/>
      <c r="H839" s="277"/>
      <c r="I839" s="65"/>
      <c r="J839" s="162"/>
      <c r="K839" s="188"/>
      <c r="L839" s="277"/>
      <c r="O839" s="13"/>
      <c r="P839" s="13"/>
      <c r="Q839" s="13"/>
      <c r="R839" s="13"/>
      <c r="S839" s="13"/>
      <c r="T839" s="13"/>
      <c r="U839" s="165"/>
      <c r="V839" s="165"/>
      <c r="W839" s="165"/>
      <c r="X839" s="165"/>
      <c r="Y839" s="165"/>
      <c r="Z839" s="166"/>
      <c r="AA839" s="166"/>
      <c r="AB839" s="166"/>
      <c r="AC839" s="166"/>
      <c r="AD839" s="166"/>
      <c r="AE839" s="166"/>
      <c r="AF839" s="166"/>
      <c r="AG839" s="166"/>
      <c r="AH839" s="166"/>
    </row>
    <row r="840" spans="1:34" ht="15.750000" customHeight="1">
      <c r="B840" s="88"/>
      <c r="H840" s="277"/>
      <c r="I840" s="65"/>
      <c r="J840" s="162"/>
      <c r="K840" s="65"/>
      <c r="L840" s="277"/>
      <c r="O840" s="13"/>
      <c r="P840" s="13"/>
      <c r="Q840" s="13"/>
      <c r="R840" s="13"/>
      <c r="S840" s="13"/>
      <c r="T840" s="13"/>
      <c r="U840" s="165"/>
      <c r="V840" s="165"/>
      <c r="W840" s="165"/>
      <c r="X840" s="165"/>
      <c r="Y840" s="165"/>
      <c r="Z840" s="166"/>
      <c r="AA840" s="166"/>
      <c r="AB840" s="166"/>
      <c r="AC840" s="166"/>
      <c r="AD840" s="166"/>
      <c r="AE840" s="166"/>
      <c r="AF840" s="166"/>
      <c r="AG840" s="166"/>
      <c r="AH840" s="166"/>
    </row>
    <row r="841" spans="1:34" ht="15.750000" customHeight="1">
      <c r="B841" s="166"/>
      <c r="H841" s="447"/>
      <c r="I841" s="165"/>
      <c r="J841" s="447"/>
      <c r="K841" s="165"/>
      <c r="L841" s="447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6"/>
      <c r="AA841" s="166"/>
      <c r="AB841" s="166"/>
      <c r="AC841" s="166"/>
      <c r="AD841" s="166"/>
      <c r="AE841" s="166"/>
      <c r="AF841" s="166"/>
      <c r="AG841" s="166"/>
      <c r="AH841" s="166"/>
    </row>
    <row r="842" spans="1:34" ht="15.750000" customHeight="1">
      <c r="A842" s="156" t="s">
        <v>116</v>
      </c>
      <c r="B842" s="88"/>
      <c r="C842" s="241"/>
      <c r="D842" s="241"/>
      <c r="E842" s="158">
        <f>F842*120%</f>
        <v>0</v>
      </c>
      <c r="F842" s="158">
        <f>(D842-C842+1)*G842</f>
        <v>0</v>
      </c>
      <c r="G842" s="159">
        <f>M842*40</f>
        <v>0</v>
      </c>
      <c r="H842" s="162"/>
      <c r="I842" s="65"/>
      <c r="J842" s="162"/>
      <c r="K842" s="65"/>
      <c r="L842" s="162"/>
      <c r="M842" s="190"/>
      <c r="N842" s="163"/>
      <c r="O842" s="190"/>
      <c r="P842" s="65"/>
      <c r="Q842" s="13"/>
      <c r="R842" s="13"/>
      <c r="S842" s="65"/>
      <c r="T842" s="65"/>
      <c r="U842" s="65"/>
      <c r="V842" s="65"/>
      <c r="W842" s="65"/>
      <c r="X842" s="65"/>
      <c r="Y842" s="65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0000" customHeight="1">
      <c r="B843" s="88"/>
      <c r="H843" s="65"/>
      <c r="I843" s="65"/>
      <c r="J843" s="162"/>
      <c r="K843" s="65"/>
      <c r="L843" s="162"/>
      <c r="O843" s="190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0000" customHeight="1">
      <c r="B844" s="88"/>
      <c r="H844" s="65"/>
      <c r="I844" s="65"/>
      <c r="J844" s="162"/>
      <c r="K844" s="65"/>
      <c r="L844" s="162"/>
      <c r="O844" s="190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0000" customHeight="1">
      <c r="B845" s="88"/>
      <c r="H845" s="65"/>
      <c r="I845" s="65"/>
      <c r="J845" s="162"/>
      <c r="K845" s="65"/>
      <c r="L845" s="162"/>
      <c r="O845" s="190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0000" customHeight="1">
      <c r="B846" s="88"/>
      <c r="H846" s="169"/>
      <c r="I846" s="65"/>
      <c r="J846" s="162"/>
      <c r="K846" s="65"/>
      <c r="L846" s="162"/>
      <c r="O846" s="190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0000" customHeight="1">
      <c r="A847" s="156" t="s">
        <v>116</v>
      </c>
      <c r="B847" s="88"/>
      <c r="C847" s="279"/>
      <c r="D847" s="279"/>
      <c r="E847" s="158">
        <f>F847*120%</f>
        <v>0</v>
      </c>
      <c r="F847" s="158">
        <f>(D847-C847+1)*G847</f>
        <v>0</v>
      </c>
      <c r="G847" s="159">
        <f>M847*40</f>
        <v>0</v>
      </c>
      <c r="H847" s="65"/>
      <c r="I847" s="65"/>
      <c r="J847" s="162"/>
      <c r="K847" s="188"/>
      <c r="L847" s="247"/>
      <c r="M847" s="247"/>
      <c r="N847" s="163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0000" customHeight="1">
      <c r="B848" s="88"/>
      <c r="H848" s="65"/>
      <c r="I848" s="65"/>
      <c r="J848" s="162"/>
      <c r="K848" s="188"/>
      <c r="L848" s="247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0000" customHeight="1">
      <c r="B849" s="88"/>
      <c r="H849" s="65"/>
      <c r="I849" s="65"/>
      <c r="J849" s="162"/>
      <c r="K849" s="188"/>
      <c r="L849" s="247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0000" customHeight="1">
      <c r="B850" s="88"/>
      <c r="H850" s="65"/>
      <c r="I850" s="65"/>
      <c r="J850" s="162"/>
      <c r="K850" s="65"/>
      <c r="L850" s="247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0000" customHeight="1">
      <c r="B851" s="88"/>
      <c r="H851" s="169"/>
      <c r="I851" s="65"/>
      <c r="J851" s="162"/>
      <c r="K851" s="65"/>
      <c r="L851" s="162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0000" customHeight="1">
      <c r="A852" s="156" t="s">
        <v>116</v>
      </c>
      <c r="B852" s="88"/>
      <c r="C852" s="285"/>
      <c r="D852" s="285"/>
      <c r="E852" s="158">
        <f>F852*120%</f>
        <v>0</v>
      </c>
      <c r="F852" s="158">
        <f>(D852-C852+1)*G852</f>
        <v>0</v>
      </c>
      <c r="G852" s="159">
        <f>M852*40</f>
        <v>0</v>
      </c>
      <c r="H852" s="65"/>
      <c r="I852" s="65"/>
      <c r="J852" s="162"/>
      <c r="K852" s="65"/>
      <c r="L852" s="162"/>
      <c r="M852" s="162"/>
      <c r="N852" s="163"/>
      <c r="O852" s="65"/>
      <c r="P852" s="65"/>
      <c r="Q852" s="13"/>
      <c r="R852" s="13"/>
      <c r="S852" s="65"/>
      <c r="T852" s="65"/>
      <c r="U852" s="165"/>
      <c r="V852" s="165"/>
      <c r="W852" s="165"/>
      <c r="X852" s="165"/>
      <c r="Y852" s="165"/>
      <c r="Z852" s="166"/>
      <c r="AA852" s="166"/>
      <c r="AB852" s="166"/>
      <c r="AC852" s="166"/>
      <c r="AD852" s="166"/>
      <c r="AE852" s="166"/>
      <c r="AF852" s="166"/>
      <c r="AG852" s="166"/>
      <c r="AH852" s="166"/>
    </row>
    <row r="853" spans="1:34" ht="15.750000" customHeight="1">
      <c r="B853" s="88"/>
      <c r="H853" s="65"/>
      <c r="I853" s="65"/>
      <c r="J853" s="162"/>
      <c r="K853" s="188"/>
      <c r="L853" s="162"/>
      <c r="O853" s="162"/>
      <c r="P853" s="65"/>
      <c r="Q853" s="13"/>
      <c r="R853" s="13"/>
      <c r="S853" s="65"/>
      <c r="T853" s="65"/>
      <c r="U853" s="165"/>
      <c r="V853" s="165"/>
      <c r="W853" s="165"/>
      <c r="X853" s="165"/>
      <c r="Y853" s="165"/>
      <c r="Z853" s="166"/>
      <c r="AA853" s="166"/>
      <c r="AB853" s="166"/>
      <c r="AC853" s="166"/>
      <c r="AD853" s="166"/>
      <c r="AE853" s="166"/>
      <c r="AF853" s="166"/>
      <c r="AG853" s="166"/>
      <c r="AH853" s="166"/>
    </row>
    <row r="854" spans="1:34" ht="15.750000" customHeight="1">
      <c r="B854" s="88"/>
      <c r="H854" s="65"/>
      <c r="I854" s="65"/>
      <c r="J854" s="162"/>
      <c r="K854" s="188"/>
      <c r="L854" s="162"/>
      <c r="O854" s="162"/>
      <c r="P854" s="65"/>
      <c r="Q854" s="13"/>
      <c r="R854" s="13"/>
      <c r="S854" s="65"/>
      <c r="T854" s="65"/>
      <c r="U854" s="165"/>
      <c r="V854" s="165"/>
      <c r="W854" s="165"/>
      <c r="X854" s="165"/>
      <c r="Y854" s="165"/>
      <c r="Z854" s="166"/>
      <c r="AA854" s="166"/>
      <c r="AB854" s="166"/>
      <c r="AC854" s="166"/>
      <c r="AD854" s="166"/>
      <c r="AE854" s="166"/>
      <c r="AF854" s="166"/>
      <c r="AG854" s="166"/>
      <c r="AH854" s="166"/>
    </row>
    <row r="855" spans="1:34" ht="15.750000" customHeight="1">
      <c r="B855" s="88"/>
      <c r="H855" s="65"/>
      <c r="I855" s="65"/>
      <c r="J855" s="162"/>
      <c r="K855" s="65"/>
      <c r="L855" s="162"/>
      <c r="O855" s="162"/>
      <c r="P855" s="65"/>
      <c r="Q855" s="13"/>
      <c r="R855" s="13"/>
      <c r="S855" s="65"/>
      <c r="T855" s="65"/>
      <c r="U855" s="165"/>
      <c r="V855" s="165"/>
      <c r="W855" s="165"/>
      <c r="X855" s="165"/>
      <c r="Y855" s="165"/>
      <c r="Z855" s="166"/>
      <c r="AA855" s="166"/>
      <c r="AB855" s="166"/>
      <c r="AC855" s="166"/>
      <c r="AD855" s="166"/>
      <c r="AE855" s="166"/>
      <c r="AF855" s="166"/>
      <c r="AG855" s="166"/>
      <c r="AH855" s="166"/>
    </row>
    <row r="856" spans="1:34" ht="15.750000" customHeight="1">
      <c r="B856" s="88"/>
      <c r="H856" s="169"/>
      <c r="I856" s="65"/>
      <c r="J856" s="162"/>
      <c r="K856" s="65"/>
      <c r="L856" s="162"/>
      <c r="O856" s="162"/>
      <c r="P856" s="65"/>
      <c r="Q856" s="13"/>
      <c r="R856" s="13"/>
      <c r="S856" s="65"/>
      <c r="T856" s="65"/>
      <c r="U856" s="165"/>
      <c r="V856" s="165"/>
      <c r="W856" s="165"/>
      <c r="X856" s="165"/>
      <c r="Y856" s="165"/>
      <c r="Z856" s="166"/>
      <c r="AA856" s="166"/>
      <c r="AB856" s="166"/>
      <c r="AC856" s="166"/>
      <c r="AD856" s="166"/>
      <c r="AE856" s="166"/>
      <c r="AF856" s="166"/>
      <c r="AG856" s="166"/>
      <c r="AH856" s="166"/>
    </row>
    <row r="857" spans="1:34" ht="15.750000" customHeight="1">
      <c r="A857" s="156" t="s">
        <v>116</v>
      </c>
      <c r="B857" s="88"/>
      <c r="C857" s="241"/>
      <c r="D857" s="241"/>
      <c r="E857" s="158">
        <f>F857*120%</f>
        <v>0</v>
      </c>
      <c r="F857" s="158">
        <f>(D857-C857+1)*G857</f>
        <v>0</v>
      </c>
      <c r="G857" s="159">
        <f>M857*40</f>
        <v>0</v>
      </c>
      <c r="H857" s="277"/>
      <c r="I857" s="65"/>
      <c r="J857" s="179"/>
      <c r="K857" s="65"/>
      <c r="L857" s="277"/>
      <c r="M857" s="277"/>
      <c r="N857" s="163"/>
      <c r="O857" s="475"/>
      <c r="P857" s="165"/>
      <c r="Q857" s="13"/>
      <c r="R857" s="13"/>
      <c r="S857" s="165"/>
      <c r="T857" s="13"/>
      <c r="U857" s="165"/>
      <c r="V857" s="165"/>
      <c r="W857" s="165"/>
      <c r="X857" s="165"/>
      <c r="Y857" s="165"/>
      <c r="Z857" s="166"/>
      <c r="AA857" s="166"/>
      <c r="AB857" s="166"/>
      <c r="AC857" s="166"/>
      <c r="AD857" s="166"/>
      <c r="AE857" s="166"/>
      <c r="AF857" s="166"/>
      <c r="AG857" s="166"/>
      <c r="AH857" s="166"/>
    </row>
    <row r="858" spans="1:34" ht="15.750000" customHeight="1">
      <c r="B858" s="88"/>
      <c r="H858" s="447"/>
      <c r="I858" s="65"/>
      <c r="J858" s="277"/>
      <c r="K858" s="188"/>
      <c r="L858" s="277"/>
      <c r="O858" s="47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6"/>
      <c r="AA858" s="166"/>
      <c r="AB858" s="166"/>
      <c r="AC858" s="166"/>
      <c r="AD858" s="166"/>
      <c r="AE858" s="166"/>
      <c r="AF858" s="166"/>
      <c r="AG858" s="166"/>
      <c r="AH858" s="166"/>
    </row>
    <row r="859" spans="1:34" ht="15.750000" customHeight="1">
      <c r="B859" s="166"/>
      <c r="H859" s="447"/>
      <c r="I859" s="65"/>
      <c r="J859" s="277"/>
      <c r="K859" s="65"/>
      <c r="L859" s="277"/>
      <c r="O859" s="47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6"/>
      <c r="AA859" s="166"/>
      <c r="AB859" s="166"/>
      <c r="AC859" s="166"/>
      <c r="AD859" s="166"/>
      <c r="AE859" s="166"/>
      <c r="AF859" s="166"/>
      <c r="AG859" s="166"/>
      <c r="AH859" s="166"/>
    </row>
    <row r="860" spans="1:34" ht="15.750000" customHeight="1">
      <c r="B860" s="166"/>
      <c r="H860" s="277"/>
      <c r="I860" s="65"/>
      <c r="J860" s="277"/>
      <c r="K860" s="65"/>
      <c r="L860" s="277"/>
      <c r="O860" s="47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6"/>
      <c r="AA860" s="166"/>
      <c r="AB860" s="166"/>
      <c r="AC860" s="166"/>
      <c r="AD860" s="166"/>
      <c r="AE860" s="166"/>
      <c r="AF860" s="166"/>
      <c r="AG860" s="166"/>
      <c r="AH860" s="166"/>
    </row>
    <row r="861" spans="1:34" ht="15.750000" customHeight="1">
      <c r="B861" s="166"/>
      <c r="H861" s="460"/>
      <c r="I861" s="65"/>
      <c r="J861" s="277"/>
      <c r="K861" s="65"/>
      <c r="L861" s="277"/>
      <c r="O861" s="47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6"/>
      <c r="AA861" s="166"/>
      <c r="AB861" s="166"/>
      <c r="AC861" s="166"/>
      <c r="AD861" s="166"/>
      <c r="AE861" s="166"/>
      <c r="AF861" s="166"/>
      <c r="AG861" s="166"/>
      <c r="AH861" s="166"/>
    </row>
    <row r="862" spans="1:34" ht="15.750000" customHeight="1">
      <c r="A862" s="156" t="s">
        <v>116</v>
      </c>
      <c r="B862" s="88"/>
      <c r="C862" s="241"/>
      <c r="D862" s="241"/>
      <c r="E862" s="158">
        <f>F862*120%</f>
        <v>0</v>
      </c>
      <c r="F862" s="158">
        <f>(D862-C862+1)*G862</f>
        <v>0</v>
      </c>
      <c r="G862" s="159">
        <f>M862*40</f>
        <v>0</v>
      </c>
      <c r="H862" s="162"/>
      <c r="I862" s="65"/>
      <c r="J862" s="277"/>
      <c r="K862" s="65"/>
      <c r="L862" s="162"/>
      <c r="M862" s="162"/>
      <c r="N862" s="163"/>
      <c r="O862" s="65"/>
      <c r="P862" s="65"/>
      <c r="Q862" s="13"/>
      <c r="R862" s="13"/>
      <c r="S862" s="13"/>
      <c r="T862" s="13"/>
      <c r="U862" s="65"/>
      <c r="V862" s="65"/>
      <c r="W862" s="65"/>
      <c r="X862" s="65"/>
      <c r="Y862" s="65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0000" customHeight="1">
      <c r="B863" s="88"/>
      <c r="H863" s="162"/>
      <c r="I863" s="65"/>
      <c r="J863" s="277"/>
      <c r="K863" s="65"/>
      <c r="L863" s="162"/>
      <c r="O863" s="65"/>
      <c r="P863" s="65"/>
      <c r="Q863" s="13"/>
      <c r="R863" s="13"/>
      <c r="S863" s="13"/>
      <c r="T863" s="13"/>
      <c r="U863" s="65"/>
      <c r="V863" s="65"/>
      <c r="W863" s="65"/>
      <c r="X863" s="65"/>
      <c r="Y863" s="65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0000" customHeight="1">
      <c r="B864" s="88"/>
      <c r="H864" s="162"/>
      <c r="I864" s="65"/>
      <c r="J864" s="162"/>
      <c r="K864" s="65"/>
      <c r="L864" s="162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0000" customHeight="1">
      <c r="B865" s="88"/>
      <c r="H865" s="162"/>
      <c r="I865" s="65"/>
      <c r="J865" s="162"/>
      <c r="K865" s="65"/>
      <c r="L865" s="162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0000" customHeight="1">
      <c r="B866" s="88"/>
      <c r="H866" s="220"/>
      <c r="I866" s="65"/>
      <c r="J866" s="162"/>
      <c r="K866" s="65"/>
      <c r="L866" s="162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0000" customHeight="1">
      <c r="A867" s="156" t="s">
        <v>116</v>
      </c>
      <c r="B867" s="88"/>
      <c r="C867" s="241"/>
      <c r="D867" s="241"/>
      <c r="E867" s="158">
        <f>F867*120%</f>
        <v>0</v>
      </c>
      <c r="F867" s="158">
        <f>(D867-C867+1)*G867</f>
        <v>0</v>
      </c>
      <c r="G867" s="159">
        <f>M867*40</f>
        <v>0</v>
      </c>
      <c r="H867" s="162"/>
      <c r="I867" s="65"/>
      <c r="J867" s="162"/>
      <c r="K867" s="65"/>
      <c r="L867" s="162"/>
      <c r="M867" s="162"/>
      <c r="N867" s="163"/>
      <c r="O867" s="65"/>
      <c r="P867" s="65"/>
      <c r="Q867" s="13"/>
      <c r="R867" s="13"/>
      <c r="S867" s="65"/>
      <c r="T867" s="13"/>
      <c r="U867" s="65"/>
      <c r="V867" s="65"/>
      <c r="W867" s="65"/>
      <c r="X867" s="65"/>
      <c r="Y867" s="65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0000" customHeight="1">
      <c r="B868" s="88"/>
      <c r="H868" s="65"/>
      <c r="I868" s="65"/>
      <c r="J868" s="162"/>
      <c r="K868" s="65"/>
      <c r="L868" s="162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0000" customHeight="1">
      <c r="B869" s="88"/>
      <c r="H869" s="65"/>
      <c r="I869" s="65"/>
      <c r="J869" s="162"/>
      <c r="K869" s="65"/>
      <c r="L869" s="162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0000" customHeight="1">
      <c r="B870" s="88"/>
      <c r="H870" s="65"/>
      <c r="I870" s="65"/>
      <c r="J870" s="162"/>
      <c r="K870" s="65"/>
      <c r="L870" s="162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0000" customHeight="1">
      <c r="B871" s="88"/>
      <c r="H871" s="169"/>
      <c r="I871" s="65"/>
      <c r="J871" s="162"/>
      <c r="K871" s="65"/>
      <c r="L871" s="162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0000" customHeight="1">
      <c r="A872" s="156" t="s">
        <v>116</v>
      </c>
      <c r="B872" s="88"/>
      <c r="C872" s="241"/>
      <c r="D872" s="241"/>
      <c r="E872" s="158">
        <f>F872*120%</f>
        <v>0</v>
      </c>
      <c r="F872" s="158">
        <f>(D872-C872+1)*G872</f>
        <v>0</v>
      </c>
      <c r="G872" s="159">
        <f>M872*40</f>
        <v>0</v>
      </c>
      <c r="H872" s="162"/>
      <c r="I872" s="65"/>
      <c r="J872" s="162"/>
      <c r="K872" s="188"/>
      <c r="L872" s="162"/>
      <c r="M872" s="162"/>
      <c r="N872" s="163"/>
      <c r="O872" s="65"/>
      <c r="P872" s="65"/>
      <c r="Q872" s="13"/>
      <c r="R872" s="13"/>
      <c r="S872" s="65"/>
      <c r="T872" s="13"/>
      <c r="U872" s="65"/>
      <c r="V872" s="65"/>
      <c r="W872" s="65"/>
      <c r="X872" s="65"/>
      <c r="Y872" s="65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0000" customHeight="1">
      <c r="B873" s="88"/>
      <c r="H873" s="162"/>
      <c r="I873" s="65"/>
      <c r="J873" s="162"/>
      <c r="K873" s="188"/>
      <c r="L873" s="162"/>
      <c r="O873" s="65"/>
      <c r="P873" s="65"/>
      <c r="Q873" s="13"/>
      <c r="R873" s="13"/>
      <c r="S873" s="65"/>
      <c r="T873" s="13"/>
      <c r="U873" s="65"/>
      <c r="V873" s="65"/>
      <c r="W873" s="65"/>
      <c r="X873" s="65"/>
      <c r="Y873" s="65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0000" customHeight="1">
      <c r="B874" s="88"/>
      <c r="H874" s="162"/>
      <c r="I874" s="65"/>
      <c r="J874" s="162"/>
      <c r="K874" s="188"/>
      <c r="L874" s="162"/>
      <c r="O874" s="65"/>
      <c r="P874" s="65"/>
      <c r="Q874" s="13"/>
      <c r="R874" s="13"/>
      <c r="S874" s="65"/>
      <c r="T874" s="13"/>
      <c r="U874" s="65"/>
      <c r="V874" s="65"/>
      <c r="W874" s="65"/>
      <c r="X874" s="65"/>
      <c r="Y874" s="65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0000" customHeight="1">
      <c r="B875" s="88"/>
      <c r="H875" s="162"/>
      <c r="I875" s="65"/>
      <c r="J875" s="162"/>
      <c r="K875" s="65"/>
      <c r="L875" s="162"/>
      <c r="O875" s="65"/>
      <c r="P875" s="65"/>
      <c r="Q875" s="13"/>
      <c r="R875" s="13"/>
      <c r="S875" s="65"/>
      <c r="T875" s="13"/>
      <c r="U875" s="65"/>
      <c r="V875" s="65"/>
      <c r="W875" s="65"/>
      <c r="X875" s="65"/>
      <c r="Y875" s="65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0000" customHeight="1">
      <c r="B876" s="88"/>
      <c r="H876" s="220"/>
      <c r="I876" s="65"/>
      <c r="J876" s="162"/>
      <c r="K876" s="65"/>
      <c r="L876" s="162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0000" customHeight="1">
      <c r="A877" s="156" t="s">
        <v>116</v>
      </c>
      <c r="B877" s="88"/>
      <c r="C877" s="241"/>
      <c r="D877" s="241"/>
      <c r="E877" s="158">
        <f>F877*120%</f>
        <v>0</v>
      </c>
      <c r="F877" s="158">
        <f>(D877-C877+1)*G877</f>
        <v>0</v>
      </c>
      <c r="G877" s="159">
        <f>M877*40</f>
        <v>0</v>
      </c>
      <c r="H877" s="162"/>
      <c r="I877" s="65"/>
      <c r="J877" s="162"/>
      <c r="K877" s="188"/>
      <c r="L877" s="162"/>
      <c r="M877" s="162"/>
      <c r="N877" s="163"/>
      <c r="O877" s="65"/>
      <c r="P877" s="65"/>
      <c r="Q877" s="13"/>
      <c r="R877" s="13"/>
      <c r="S877" s="65"/>
      <c r="T877" s="13"/>
      <c r="U877" s="65"/>
      <c r="V877" s="65"/>
      <c r="W877" s="65"/>
      <c r="X877" s="65"/>
      <c r="Y877" s="65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0000" customHeight="1">
      <c r="B878" s="88"/>
      <c r="H878" s="162"/>
      <c r="I878" s="65"/>
      <c r="J878" s="162"/>
      <c r="K878" s="188"/>
      <c r="L878" s="162"/>
      <c r="O878" s="65"/>
      <c r="P878" s="65"/>
      <c r="Q878" s="13"/>
      <c r="R878" s="13"/>
      <c r="S878" s="65"/>
      <c r="T878" s="13"/>
      <c r="U878" s="65"/>
      <c r="V878" s="65"/>
      <c r="W878" s="65"/>
      <c r="X878" s="65"/>
      <c r="Y878" s="65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0000" customHeight="1">
      <c r="B879" s="88"/>
      <c r="H879" s="162"/>
      <c r="I879" s="65"/>
      <c r="J879" s="162"/>
      <c r="K879" s="188"/>
      <c r="L879" s="162"/>
      <c r="O879" s="65"/>
      <c r="P879" s="65"/>
      <c r="Q879" s="13"/>
      <c r="R879" s="13"/>
      <c r="S879" s="65"/>
      <c r="T879" s="13"/>
      <c r="U879" s="65"/>
      <c r="V879" s="65"/>
      <c r="W879" s="65"/>
      <c r="X879" s="65"/>
      <c r="Y879" s="65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0000" customHeight="1">
      <c r="B880" s="88"/>
      <c r="H880" s="162"/>
      <c r="I880" s="65"/>
      <c r="J880" s="162"/>
      <c r="K880" s="65"/>
      <c r="L880" s="162"/>
      <c r="O880" s="65"/>
      <c r="P880" s="65"/>
      <c r="Q880" s="13"/>
      <c r="R880" s="13"/>
      <c r="S880" s="65"/>
      <c r="T880" s="13"/>
      <c r="U880" s="65"/>
      <c r="V880" s="65"/>
      <c r="W880" s="65"/>
      <c r="X880" s="65"/>
      <c r="Y880" s="65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0000" customHeight="1">
      <c r="B881" s="88"/>
      <c r="H881" s="220"/>
      <c r="I881" s="65"/>
      <c r="J881" s="162"/>
      <c r="K881" s="65"/>
      <c r="L881" s="162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0000" customHeight="1">
      <c r="A882" s="156" t="s">
        <v>116</v>
      </c>
      <c r="B882" s="88"/>
      <c r="C882" s="241"/>
      <c r="D882" s="177"/>
      <c r="E882" s="158">
        <f>F882*120%</f>
        <v>0</v>
      </c>
      <c r="F882" s="158">
        <f>(D882-C882+1)*G882</f>
        <v>0</v>
      </c>
      <c r="G882" s="159">
        <f>M882*40</f>
        <v>0</v>
      </c>
      <c r="H882" s="162"/>
      <c r="I882" s="65"/>
      <c r="J882" s="162"/>
      <c r="K882" s="65"/>
      <c r="L882" s="162"/>
      <c r="M882" s="162"/>
      <c r="N882" s="163"/>
      <c r="O882" s="65"/>
      <c r="P882" s="65"/>
      <c r="Q882" s="13"/>
      <c r="R882" s="13"/>
      <c r="S882" s="65"/>
      <c r="T882" s="65"/>
      <c r="U882" s="65"/>
      <c r="V882" s="65"/>
      <c r="W882" s="65"/>
      <c r="X882" s="65"/>
      <c r="Y882" s="65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0000" customHeight="1">
      <c r="B883" s="88"/>
      <c r="H883" s="162"/>
      <c r="I883" s="65"/>
      <c r="J883" s="162"/>
      <c r="K883" s="188"/>
      <c r="L883" s="162"/>
      <c r="O883" s="65"/>
      <c r="P883" s="65"/>
      <c r="Q883" s="13"/>
      <c r="R883" s="13"/>
      <c r="S883" s="65"/>
      <c r="T883" s="65"/>
      <c r="U883" s="65"/>
      <c r="V883" s="65"/>
      <c r="W883" s="65"/>
      <c r="X883" s="65"/>
      <c r="Y883" s="65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0000" customHeight="1">
      <c r="B884" s="88"/>
      <c r="H884" s="162"/>
      <c r="I884" s="65"/>
      <c r="J884" s="162"/>
      <c r="K884" s="188"/>
      <c r="L884" s="162"/>
      <c r="O884" s="65"/>
      <c r="P884" s="65"/>
      <c r="Q884" s="13"/>
      <c r="R884" s="13"/>
      <c r="S884" s="65"/>
      <c r="T884" s="65"/>
      <c r="U884" s="65"/>
      <c r="V884" s="65"/>
      <c r="W884" s="65"/>
      <c r="X884" s="65"/>
      <c r="Y884" s="65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0000" customHeight="1">
      <c r="B885" s="88"/>
      <c r="H885" s="162"/>
      <c r="I885" s="65"/>
      <c r="J885" s="162"/>
      <c r="K885" s="65"/>
      <c r="L885" s="162"/>
      <c r="O885" s="65"/>
      <c r="P885" s="65"/>
      <c r="Q885" s="13"/>
      <c r="R885" s="13"/>
      <c r="S885" s="65"/>
      <c r="T885" s="65"/>
      <c r="U885" s="65"/>
      <c r="V885" s="65"/>
      <c r="W885" s="65"/>
      <c r="X885" s="65"/>
      <c r="Y885" s="65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0000" customHeight="1">
      <c r="B886" s="88"/>
      <c r="H886" s="220"/>
      <c r="I886" s="65"/>
      <c r="J886" s="162"/>
      <c r="K886" s="65"/>
      <c r="L886" s="162"/>
      <c r="O886" s="65"/>
      <c r="P886" s="65"/>
      <c r="Q886" s="13"/>
      <c r="R886" s="13"/>
      <c r="S886" s="65"/>
      <c r="T886" s="65"/>
      <c r="U886" s="65"/>
      <c r="V886" s="65"/>
      <c r="W886" s="65"/>
      <c r="X886" s="65"/>
      <c r="Y886" s="65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0000" customHeight="1">
      <c r="A887" s="156" t="s">
        <v>116</v>
      </c>
      <c r="B887" s="88"/>
      <c r="C887" s="241"/>
      <c r="D887" s="241"/>
      <c r="E887" s="158">
        <f>F887*120%</f>
        <v>0</v>
      </c>
      <c r="F887" s="158">
        <f>(D887-C887+1)*G887</f>
        <v>0</v>
      </c>
      <c r="G887" s="159">
        <f>M887*40</f>
        <v>0</v>
      </c>
      <c r="H887" s="162"/>
      <c r="I887" s="65"/>
      <c r="J887" s="162"/>
      <c r="K887" s="188"/>
      <c r="L887" s="162"/>
      <c r="M887" s="162"/>
      <c r="N887" s="163"/>
      <c r="O887" s="65"/>
      <c r="P887" s="65"/>
      <c r="Q887" s="13"/>
      <c r="R887" s="13"/>
      <c r="S887" s="65"/>
      <c r="T887" s="13"/>
      <c r="U887" s="65"/>
      <c r="V887" s="65"/>
      <c r="W887" s="65"/>
      <c r="X887" s="65"/>
      <c r="Y887" s="65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0000" customHeight="1">
      <c r="B888" s="88"/>
      <c r="H888" s="162"/>
      <c r="I888" s="65"/>
      <c r="J888" s="162"/>
      <c r="K888" s="188"/>
      <c r="L888" s="162"/>
      <c r="O888" s="65"/>
      <c r="P888" s="65"/>
      <c r="Q888" s="13"/>
      <c r="R888" s="13"/>
      <c r="S888" s="65"/>
      <c r="T888" s="13"/>
      <c r="U888" s="65"/>
      <c r="V888" s="65"/>
      <c r="W888" s="65"/>
      <c r="X888" s="65"/>
      <c r="Y888" s="65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0000" customHeight="1">
      <c r="B889" s="88"/>
      <c r="H889" s="162"/>
      <c r="I889" s="65"/>
      <c r="J889" s="162"/>
      <c r="K889" s="188"/>
      <c r="L889" s="162"/>
      <c r="O889" s="65"/>
      <c r="P889" s="65"/>
      <c r="Q889" s="13"/>
      <c r="R889" s="13"/>
      <c r="S889" s="65"/>
      <c r="T889" s="13"/>
      <c r="U889" s="65"/>
      <c r="V889" s="65"/>
      <c r="W889" s="65"/>
      <c r="X889" s="65"/>
      <c r="Y889" s="65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0000" customHeight="1">
      <c r="B890" s="88"/>
      <c r="H890" s="162"/>
      <c r="I890" s="65"/>
      <c r="J890" s="162"/>
      <c r="K890" s="65"/>
      <c r="L890" s="162"/>
      <c r="O890" s="65"/>
      <c r="P890" s="65"/>
      <c r="Q890" s="13"/>
      <c r="R890" s="13"/>
      <c r="S890" s="65"/>
      <c r="T890" s="13"/>
      <c r="U890" s="65"/>
      <c r="V890" s="65"/>
      <c r="W890" s="65"/>
      <c r="X890" s="65"/>
      <c r="Y890" s="65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0000" customHeight="1">
      <c r="B891" s="88"/>
      <c r="H891" s="169"/>
      <c r="I891" s="65"/>
      <c r="J891" s="162"/>
      <c r="K891" s="65"/>
      <c r="L891" s="162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0000" customHeight="1">
      <c r="A892" s="156" t="s">
        <v>116</v>
      </c>
      <c r="B892" s="88"/>
      <c r="C892" s="241"/>
      <c r="D892" s="241"/>
      <c r="E892" s="158">
        <f>F892*120%</f>
        <v>0</v>
      </c>
      <c r="F892" s="158">
        <f>(D892-C892+1)*G892</f>
        <v>0</v>
      </c>
      <c r="G892" s="159">
        <f>M892*40</f>
        <v>0</v>
      </c>
      <c r="H892" s="162"/>
      <c r="I892" s="65"/>
      <c r="J892" s="162"/>
      <c r="K892" s="188"/>
      <c r="L892" s="162"/>
      <c r="M892" s="162"/>
      <c r="N892" s="163"/>
      <c r="O892" s="65"/>
      <c r="P892" s="65"/>
      <c r="Q892" s="13"/>
      <c r="R892" s="13"/>
      <c r="S892" s="65"/>
      <c r="T892" s="65"/>
      <c r="U892" s="65"/>
      <c r="V892" s="65"/>
      <c r="W892" s="65"/>
      <c r="X892" s="65"/>
      <c r="Y892" s="65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0000" customHeight="1">
      <c r="B893" s="88"/>
      <c r="H893" s="162"/>
      <c r="I893" s="65"/>
      <c r="J893" s="162"/>
      <c r="K893" s="188"/>
      <c r="L893" s="162"/>
      <c r="O893" s="65"/>
      <c r="P893" s="65"/>
      <c r="Q893" s="13"/>
      <c r="R893" s="13"/>
      <c r="S893" s="65"/>
      <c r="T893" s="65"/>
      <c r="U893" s="65"/>
      <c r="V893" s="65"/>
      <c r="W893" s="65"/>
      <c r="X893" s="65"/>
      <c r="Y893" s="65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0000" customHeight="1">
      <c r="B894" s="88"/>
      <c r="H894" s="162"/>
      <c r="I894" s="65"/>
      <c r="J894" s="162"/>
      <c r="K894" s="188"/>
      <c r="L894" s="162"/>
      <c r="O894" s="65"/>
      <c r="P894" s="65"/>
      <c r="Q894" s="13"/>
      <c r="R894" s="13"/>
      <c r="S894" s="65"/>
      <c r="T894" s="65"/>
      <c r="U894" s="65"/>
      <c r="V894" s="65"/>
      <c r="W894" s="65"/>
      <c r="X894" s="65"/>
      <c r="Y894" s="65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0000" customHeight="1">
      <c r="B895" s="88"/>
      <c r="H895" s="162"/>
      <c r="I895" s="65"/>
      <c r="J895" s="162"/>
      <c r="K895" s="65"/>
      <c r="L895" s="162"/>
      <c r="O895" s="65"/>
      <c r="P895" s="65"/>
      <c r="Q895" s="13"/>
      <c r="R895" s="13"/>
      <c r="S895" s="65"/>
      <c r="T895" s="65"/>
      <c r="U895" s="65"/>
      <c r="V895" s="65"/>
      <c r="W895" s="65"/>
      <c r="X895" s="65"/>
      <c r="Y895" s="65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0000" customHeight="1">
      <c r="B896" s="1"/>
      <c r="H896" s="220"/>
      <c r="I896" s="65"/>
      <c r="J896" s="162"/>
      <c r="K896" s="65"/>
      <c r="L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0000" customHeight="1">
      <c r="A897" s="156" t="s">
        <v>116</v>
      </c>
      <c r="B897" s="88"/>
      <c r="C897" s="279"/>
      <c r="D897" s="279"/>
      <c r="E897" s="158">
        <f>F897*120%</f>
        <v>0</v>
      </c>
      <c r="F897" s="158">
        <f>(D897-C897+1)*G897</f>
        <v>0</v>
      </c>
      <c r="G897" s="159">
        <f>M897*40</f>
        <v>0</v>
      </c>
      <c r="H897" s="162"/>
      <c r="I897" s="65"/>
      <c r="J897" s="467"/>
      <c r="K897" s="188"/>
      <c r="L897" s="162"/>
      <c r="M897" s="65"/>
      <c r="N897" s="163"/>
      <c r="O897" s="467"/>
      <c r="P897" s="65"/>
      <c r="Q897" s="13"/>
      <c r="R897" s="13"/>
      <c r="S897" s="65"/>
      <c r="T897" s="65"/>
      <c r="U897" s="65"/>
      <c r="V897" s="65"/>
      <c r="W897" s="65"/>
      <c r="X897" s="65"/>
      <c r="Y897" s="65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0000" customHeight="1">
      <c r="B898" s="88"/>
      <c r="H898" s="65"/>
      <c r="I898" s="65"/>
      <c r="J898" s="467"/>
      <c r="K898" s="188"/>
      <c r="L898" s="162"/>
      <c r="O898" s="467"/>
      <c r="P898" s="65"/>
      <c r="Q898" s="13"/>
      <c r="R898" s="13"/>
      <c r="S898" s="65"/>
      <c r="T898" s="65"/>
      <c r="U898" s="65"/>
      <c r="V898" s="65"/>
      <c r="W898" s="65"/>
      <c r="X898" s="65"/>
      <c r="Y898" s="65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0000" customHeight="1">
      <c r="B899" s="88"/>
      <c r="H899" s="277"/>
      <c r="I899" s="65"/>
      <c r="J899" s="467"/>
      <c r="K899" s="188"/>
      <c r="L899" s="162"/>
      <c r="O899" s="467"/>
      <c r="P899" s="65"/>
      <c r="Q899" s="13"/>
      <c r="R899" s="13"/>
      <c r="S899" s="65"/>
      <c r="T899" s="65"/>
      <c r="U899" s="65"/>
      <c r="V899" s="65"/>
      <c r="W899" s="65"/>
      <c r="X899" s="65"/>
      <c r="Y899" s="65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0000" customHeight="1">
      <c r="B900" s="88"/>
      <c r="H900" s="277"/>
      <c r="I900" s="65"/>
      <c r="J900" s="467"/>
      <c r="K900" s="65"/>
      <c r="L900" s="162"/>
      <c r="O900" s="467"/>
      <c r="P900" s="65"/>
      <c r="Q900" s="13"/>
      <c r="R900" s="13"/>
      <c r="S900" s="65"/>
      <c r="T900" s="65"/>
      <c r="U900" s="65"/>
      <c r="V900" s="65"/>
      <c r="W900" s="65"/>
      <c r="X900" s="65"/>
      <c r="Y900" s="65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0000" customHeight="1">
      <c r="B901" s="88"/>
      <c r="H901" s="476"/>
      <c r="I901" s="65"/>
      <c r="J901" s="467"/>
      <c r="K901" s="65"/>
      <c r="L901" s="162"/>
      <c r="O901" s="467"/>
      <c r="P901" s="65"/>
      <c r="Q901" s="13"/>
      <c r="R901" s="13"/>
      <c r="S901" s="65"/>
      <c r="T901" s="65"/>
      <c r="U901" s="65"/>
      <c r="V901" s="65"/>
      <c r="W901" s="65"/>
      <c r="X901" s="65"/>
      <c r="Y901" s="65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0000" customHeight="1">
      <c r="A902" s="156" t="s">
        <v>116</v>
      </c>
      <c r="B902" s="88"/>
      <c r="C902" s="279"/>
      <c r="D902" s="279"/>
      <c r="E902" s="158">
        <f>F902*120%</f>
        <v>0</v>
      </c>
      <c r="F902" s="158">
        <f>(D902-C902+1)*G902</f>
        <v>0</v>
      </c>
      <c r="G902" s="159">
        <f>M902*40</f>
        <v>0</v>
      </c>
      <c r="H902" s="162"/>
      <c r="I902" s="65"/>
      <c r="J902" s="467"/>
      <c r="K902" s="188"/>
      <c r="L902" s="162"/>
      <c r="M902" s="65"/>
      <c r="N902" s="163"/>
      <c r="O902" s="467"/>
      <c r="P902" s="65"/>
      <c r="Q902" s="13"/>
      <c r="R902" s="13"/>
      <c r="S902" s="65"/>
      <c r="T902" s="65"/>
      <c r="U902" s="65"/>
      <c r="V902" s="65"/>
      <c r="W902" s="65"/>
      <c r="X902" s="65"/>
      <c r="Y902" s="65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0000" customHeight="1">
      <c r="B903" s="88"/>
      <c r="H903" s="162"/>
      <c r="I903" s="65"/>
      <c r="J903" s="467"/>
      <c r="K903" s="188"/>
      <c r="L903" s="162"/>
      <c r="O903" s="467"/>
      <c r="P903" s="65"/>
      <c r="Q903" s="13"/>
      <c r="R903" s="13"/>
      <c r="S903" s="65"/>
      <c r="T903" s="65"/>
      <c r="U903" s="65"/>
      <c r="V903" s="65"/>
      <c r="W903" s="65"/>
      <c r="X903" s="65"/>
      <c r="Y903" s="65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0000" customHeight="1">
      <c r="B904" s="88"/>
      <c r="H904" s="162"/>
      <c r="I904" s="65"/>
      <c r="J904" s="467"/>
      <c r="K904" s="188"/>
      <c r="L904" s="162"/>
      <c r="O904" s="467"/>
      <c r="P904" s="65"/>
      <c r="Q904" s="13"/>
      <c r="R904" s="13"/>
      <c r="S904" s="65"/>
      <c r="T904" s="65"/>
      <c r="U904" s="65"/>
      <c r="V904" s="65"/>
      <c r="W904" s="65"/>
      <c r="X904" s="65"/>
      <c r="Y904" s="65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0000" customHeight="1">
      <c r="B905" s="88"/>
      <c r="H905" s="162"/>
      <c r="I905" s="65"/>
      <c r="J905" s="467"/>
      <c r="K905" s="65"/>
      <c r="L905" s="162"/>
      <c r="O905" s="467"/>
      <c r="P905" s="65"/>
      <c r="Q905" s="13"/>
      <c r="R905" s="13"/>
      <c r="S905" s="65"/>
      <c r="T905" s="65"/>
      <c r="U905" s="65"/>
      <c r="V905" s="65"/>
      <c r="W905" s="65"/>
      <c r="X905" s="65"/>
      <c r="Y905" s="65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0000" customHeight="1">
      <c r="B906" s="88"/>
      <c r="H906" s="476"/>
      <c r="I906" s="65"/>
      <c r="J906" s="467"/>
      <c r="K906" s="65"/>
      <c r="L906" s="162"/>
      <c r="O906" s="467"/>
      <c r="P906" s="65"/>
      <c r="Q906" s="13"/>
      <c r="R906" s="13"/>
      <c r="S906" s="65"/>
      <c r="T906" s="65"/>
      <c r="U906" s="65"/>
      <c r="V906" s="65"/>
      <c r="W906" s="65"/>
      <c r="X906" s="65"/>
      <c r="Y906" s="65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0000" customHeight="1">
      <c r="A907" s="156" t="s">
        <v>116</v>
      </c>
      <c r="B907" s="88"/>
      <c r="C907" s="279"/>
      <c r="D907" s="279"/>
      <c r="E907" s="158">
        <f>F907*120%</f>
        <v>0</v>
      </c>
      <c r="F907" s="158">
        <f>(D907-C907+1)*G907</f>
        <v>0</v>
      </c>
      <c r="G907" s="159">
        <f>M907*40</f>
        <v>0</v>
      </c>
      <c r="H907" s="162"/>
      <c r="I907" s="65"/>
      <c r="J907" s="467"/>
      <c r="K907" s="188"/>
      <c r="L907" s="162"/>
      <c r="M907" s="65"/>
      <c r="N907" s="163"/>
      <c r="O907" s="467"/>
      <c r="P907" s="65"/>
      <c r="Q907" s="13"/>
      <c r="R907" s="13"/>
      <c r="S907" s="65"/>
      <c r="T907" s="65"/>
      <c r="U907" s="65"/>
      <c r="V907" s="65"/>
      <c r="W907" s="65"/>
      <c r="X907" s="65"/>
      <c r="Y907" s="65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0000" customHeight="1">
      <c r="B908" s="88"/>
      <c r="H908" s="162"/>
      <c r="I908" s="65"/>
      <c r="J908" s="467"/>
      <c r="K908" s="188"/>
      <c r="L908" s="162"/>
      <c r="O908" s="467"/>
      <c r="P908" s="65"/>
      <c r="Q908" s="13"/>
      <c r="R908" s="13"/>
      <c r="S908" s="65"/>
      <c r="T908" s="65"/>
      <c r="U908" s="65"/>
      <c r="V908" s="65"/>
      <c r="W908" s="65"/>
      <c r="X908" s="65"/>
      <c r="Y908" s="65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0000" customHeight="1">
      <c r="B909" s="88"/>
      <c r="H909" s="162"/>
      <c r="I909" s="65"/>
      <c r="J909" s="467"/>
      <c r="K909" s="188"/>
      <c r="L909" s="162"/>
      <c r="O909" s="467"/>
      <c r="P909" s="65"/>
      <c r="Q909" s="13"/>
      <c r="R909" s="13"/>
      <c r="S909" s="65"/>
      <c r="T909" s="65"/>
      <c r="U909" s="65"/>
      <c r="V909" s="65"/>
      <c r="W909" s="65"/>
      <c r="X909" s="65"/>
      <c r="Y909" s="65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0000" customHeight="1">
      <c r="B910" s="88"/>
      <c r="H910" s="162"/>
      <c r="I910" s="65"/>
      <c r="J910" s="467"/>
      <c r="K910" s="65"/>
      <c r="L910" s="162"/>
      <c r="O910" s="467"/>
      <c r="P910" s="65"/>
      <c r="Q910" s="13"/>
      <c r="R910" s="13"/>
      <c r="S910" s="65"/>
      <c r="T910" s="65"/>
      <c r="U910" s="65"/>
      <c r="V910" s="65"/>
      <c r="W910" s="65"/>
      <c r="X910" s="65"/>
      <c r="Y910" s="65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0000" customHeight="1">
      <c r="B911" s="88"/>
      <c r="H911" s="476"/>
      <c r="I911" s="65"/>
      <c r="J911" s="467"/>
      <c r="K911" s="65"/>
      <c r="L911" s="162"/>
      <c r="O911" s="467"/>
      <c r="P911" s="65"/>
      <c r="Q911" s="13"/>
      <c r="R911" s="13"/>
      <c r="S911" s="65"/>
      <c r="T911" s="65"/>
      <c r="U911" s="65"/>
      <c r="V911" s="65"/>
      <c r="W911" s="65"/>
      <c r="X911" s="65"/>
      <c r="Y911" s="65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0000" customHeight="1">
      <c r="A912" s="156" t="s">
        <v>116</v>
      </c>
      <c r="B912" s="88"/>
      <c r="C912" s="279"/>
      <c r="D912" s="279"/>
      <c r="E912" s="158">
        <f>F912*120%</f>
        <v>0</v>
      </c>
      <c r="F912" s="158">
        <f>(D912-C912+1)*G912</f>
        <v>0</v>
      </c>
      <c r="G912" s="159">
        <f>M912*40</f>
        <v>0</v>
      </c>
      <c r="H912" s="162"/>
      <c r="I912" s="65"/>
      <c r="J912" s="467"/>
      <c r="K912" s="188"/>
      <c r="L912" s="162"/>
      <c r="M912" s="65"/>
      <c r="N912" s="163"/>
      <c r="O912" s="467"/>
      <c r="P912" s="65"/>
      <c r="Q912" s="13"/>
      <c r="R912" s="13"/>
      <c r="S912" s="65"/>
      <c r="T912" s="65"/>
      <c r="U912" s="65"/>
      <c r="V912" s="65"/>
      <c r="W912" s="65"/>
      <c r="X912" s="65"/>
      <c r="Y912" s="65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0000" customHeight="1">
      <c r="B913" s="88"/>
      <c r="H913" s="162"/>
      <c r="I913" s="65"/>
      <c r="J913" s="467"/>
      <c r="K913" s="188"/>
      <c r="L913" s="162"/>
      <c r="O913" s="467"/>
      <c r="P913" s="65"/>
      <c r="Q913" s="13"/>
      <c r="R913" s="13"/>
      <c r="S913" s="65"/>
      <c r="T913" s="65"/>
      <c r="U913" s="65"/>
      <c r="V913" s="65"/>
      <c r="W913" s="65"/>
      <c r="X913" s="65"/>
      <c r="Y913" s="65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0000" customHeight="1">
      <c r="B914" s="88"/>
      <c r="H914" s="162"/>
      <c r="I914" s="65"/>
      <c r="J914" s="467"/>
      <c r="K914" s="188"/>
      <c r="L914" s="162"/>
      <c r="O914" s="467"/>
      <c r="P914" s="65"/>
      <c r="Q914" s="13"/>
      <c r="R914" s="13"/>
      <c r="S914" s="65"/>
      <c r="T914" s="65"/>
      <c r="U914" s="65"/>
      <c r="V914" s="65"/>
      <c r="W914" s="65"/>
      <c r="X914" s="65"/>
      <c r="Y914" s="65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0000" customHeight="1">
      <c r="B915" s="88"/>
      <c r="H915" s="162"/>
      <c r="I915" s="65"/>
      <c r="J915" s="467"/>
      <c r="K915" s="65"/>
      <c r="L915" s="162"/>
      <c r="O915" s="467"/>
      <c r="P915" s="65"/>
      <c r="Q915" s="13"/>
      <c r="R915" s="13"/>
      <c r="S915" s="65"/>
      <c r="T915" s="65"/>
      <c r="U915" s="65"/>
      <c r="V915" s="65"/>
      <c r="W915" s="65"/>
      <c r="X915" s="65"/>
      <c r="Y915" s="65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0000" customHeight="1">
      <c r="B916" s="88"/>
      <c r="H916" s="476"/>
      <c r="I916" s="65"/>
      <c r="J916" s="467"/>
      <c r="K916" s="65"/>
      <c r="L916" s="162"/>
      <c r="O916" s="467"/>
      <c r="P916" s="65"/>
      <c r="Q916" s="13"/>
      <c r="R916" s="13"/>
      <c r="S916" s="65"/>
      <c r="T916" s="65"/>
      <c r="U916" s="65"/>
      <c r="V916" s="65"/>
      <c r="W916" s="65"/>
      <c r="X916" s="65"/>
      <c r="Y916" s="65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0000" customHeight="1">
      <c r="A917" s="156" t="s">
        <v>116</v>
      </c>
      <c r="B917" s="88"/>
      <c r="C917" s="470"/>
      <c r="D917" s="470"/>
      <c r="E917" s="158">
        <f>F917*120%</f>
        <v>0</v>
      </c>
      <c r="F917" s="158">
        <f>(D917-C917+1)*G917</f>
        <v>0</v>
      </c>
      <c r="G917" s="159">
        <f>M917*40</f>
        <v>0</v>
      </c>
      <c r="H917" s="162"/>
      <c r="I917" s="65"/>
      <c r="J917" s="267"/>
      <c r="K917" s="65"/>
      <c r="L917" s="162"/>
      <c r="M917" s="13"/>
      <c r="N917" s="163"/>
      <c r="O917" s="467"/>
      <c r="P917" s="65"/>
      <c r="Q917" s="13"/>
      <c r="R917" s="13"/>
      <c r="S917" s="13"/>
      <c r="T917" s="13"/>
      <c r="U917" s="13"/>
      <c r="V917" s="165"/>
      <c r="W917" s="165"/>
      <c r="X917" s="165"/>
      <c r="Y917" s="165"/>
      <c r="Z917" s="166"/>
      <c r="AA917" s="166"/>
      <c r="AB917" s="166"/>
      <c r="AC917" s="166"/>
      <c r="AD917" s="166"/>
      <c r="AE917" s="166"/>
      <c r="AF917" s="166"/>
      <c r="AG917" s="166"/>
      <c r="AH917" s="166"/>
    </row>
    <row r="918" spans="1:34" ht="15.750000" customHeight="1">
      <c r="B918" s="88"/>
      <c r="H918" s="162"/>
      <c r="I918" s="65"/>
      <c r="J918" s="267"/>
      <c r="K918" s="65"/>
      <c r="L918" s="162"/>
      <c r="O918" s="467"/>
      <c r="P918" s="65"/>
      <c r="Q918" s="13"/>
      <c r="R918" s="13"/>
      <c r="S918" s="13"/>
      <c r="T918" s="13"/>
      <c r="U918" s="13"/>
      <c r="V918" s="165"/>
      <c r="W918" s="165"/>
      <c r="X918" s="165"/>
      <c r="Y918" s="165"/>
      <c r="Z918" s="166"/>
      <c r="AA918" s="166"/>
      <c r="AB918" s="166"/>
      <c r="AC918" s="166"/>
      <c r="AD918" s="166"/>
      <c r="AE918" s="166"/>
      <c r="AF918" s="166"/>
      <c r="AG918" s="166"/>
      <c r="AH918" s="166"/>
    </row>
    <row r="919" spans="1:34" ht="15.750000" customHeight="1">
      <c r="B919" s="88"/>
      <c r="H919" s="162"/>
      <c r="I919" s="65"/>
      <c r="J919" s="267"/>
      <c r="K919" s="65"/>
      <c r="L919" s="162"/>
      <c r="O919" s="467"/>
      <c r="P919" s="65"/>
      <c r="Q919" s="13"/>
      <c r="R919" s="13"/>
      <c r="S919" s="13"/>
      <c r="T919" s="13"/>
      <c r="U919" s="13"/>
      <c r="V919" s="165"/>
      <c r="W919" s="165"/>
      <c r="X919" s="165"/>
      <c r="Y919" s="165"/>
      <c r="Z919" s="166"/>
      <c r="AA919" s="166"/>
      <c r="AB919" s="166"/>
      <c r="AC919" s="166"/>
      <c r="AD919" s="166"/>
      <c r="AE919" s="166"/>
      <c r="AF919" s="166"/>
      <c r="AG919" s="166"/>
      <c r="AH919" s="166"/>
    </row>
    <row r="920" spans="1:34" ht="15.750000" customHeight="1">
      <c r="B920" s="88"/>
      <c r="H920" s="162"/>
      <c r="I920" s="65"/>
      <c r="J920" s="267"/>
      <c r="K920" s="65"/>
      <c r="L920" s="162"/>
      <c r="O920" s="467"/>
      <c r="P920" s="65"/>
      <c r="Q920" s="13"/>
      <c r="R920" s="13"/>
      <c r="S920" s="13"/>
      <c r="T920" s="13"/>
      <c r="U920" s="13"/>
      <c r="V920" s="165"/>
      <c r="W920" s="165"/>
      <c r="X920" s="165"/>
      <c r="Y920" s="165"/>
      <c r="Z920" s="166"/>
      <c r="AA920" s="166"/>
      <c r="AB920" s="166"/>
      <c r="AC920" s="166"/>
      <c r="AD920" s="166"/>
      <c r="AE920" s="166"/>
      <c r="AF920" s="166"/>
      <c r="AG920" s="166"/>
      <c r="AH920" s="166"/>
    </row>
    <row r="921" spans="1:34" ht="15.750000" customHeight="1">
      <c r="B921" s="166"/>
      <c r="H921" s="460"/>
      <c r="I921" s="65"/>
      <c r="J921" s="277"/>
      <c r="K921" s="65"/>
      <c r="L921" s="277"/>
      <c r="O921" s="13"/>
      <c r="P921" s="65"/>
      <c r="Q921" s="13"/>
      <c r="R921" s="13"/>
      <c r="S921" s="13"/>
      <c r="T921" s="13"/>
      <c r="U921" s="13"/>
      <c r="V921" s="165"/>
      <c r="W921" s="165"/>
      <c r="X921" s="165"/>
      <c r="Y921" s="165"/>
      <c r="Z921" s="166"/>
      <c r="AA921" s="166"/>
      <c r="AB921" s="166"/>
      <c r="AC921" s="166"/>
      <c r="AD921" s="166"/>
      <c r="AE921" s="166"/>
      <c r="AF921" s="166"/>
      <c r="AG921" s="166"/>
      <c r="AH921" s="166"/>
    </row>
    <row r="922" spans="1:34" ht="15.750000" customHeight="1">
      <c r="A922" s="156" t="s">
        <v>116</v>
      </c>
      <c r="B922" s="88"/>
      <c r="C922" s="279"/>
      <c r="D922" s="279"/>
      <c r="E922" s="158">
        <f>F922*120%</f>
        <v>0</v>
      </c>
      <c r="F922" s="158">
        <f>(D922-C922+1)*G922</f>
        <v>0</v>
      </c>
      <c r="G922" s="159">
        <f>M922*40</f>
        <v>0</v>
      </c>
      <c r="H922" s="162"/>
      <c r="I922" s="65"/>
      <c r="J922" s="162"/>
      <c r="K922" s="65"/>
      <c r="L922" s="162"/>
      <c r="M922" s="162"/>
      <c r="N922" s="163"/>
      <c r="O922" s="164"/>
      <c r="P922" s="65"/>
      <c r="Q922" s="13"/>
      <c r="R922" s="13"/>
      <c r="S922" s="65"/>
      <c r="T922" s="65"/>
      <c r="U922" s="65"/>
      <c r="V922" s="65"/>
      <c r="W922" s="65"/>
      <c r="X922" s="65"/>
      <c r="Y922" s="65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0000" customHeight="1">
      <c r="B923" s="1"/>
      <c r="H923" s="65"/>
      <c r="I923" s="65"/>
      <c r="J923" s="65"/>
      <c r="K923" s="65"/>
      <c r="L923" s="65"/>
      <c r="O923" s="164"/>
      <c r="P923" s="65"/>
      <c r="Q923" s="13"/>
      <c r="R923" s="13"/>
      <c r="S923" s="65"/>
      <c r="T923" s="65"/>
      <c r="U923" s="65"/>
      <c r="V923" s="65"/>
      <c r="W923" s="65"/>
      <c r="X923" s="65"/>
      <c r="Y923" s="65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0000" customHeight="1">
      <c r="B924" s="1"/>
      <c r="H924" s="65"/>
      <c r="I924" s="65"/>
      <c r="J924" s="65"/>
      <c r="K924" s="65"/>
      <c r="L924" s="65"/>
      <c r="O924" s="164"/>
      <c r="P924" s="65"/>
      <c r="Q924" s="13"/>
      <c r="R924" s="13"/>
      <c r="S924" s="65"/>
      <c r="T924" s="65"/>
      <c r="U924" s="65"/>
      <c r="V924" s="65"/>
      <c r="W924" s="65"/>
      <c r="X924" s="65"/>
      <c r="Y924" s="65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0000" customHeight="1">
      <c r="B925" s="1"/>
      <c r="H925" s="65"/>
      <c r="I925" s="65"/>
      <c r="J925" s="65"/>
      <c r="K925" s="65"/>
      <c r="L925" s="65"/>
      <c r="O925" s="164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0000" customHeight="1">
      <c r="B926" s="1"/>
      <c r="H926" s="169"/>
      <c r="I926" s="65"/>
      <c r="J926" s="65"/>
      <c r="K926" s="65"/>
      <c r="L926" s="65"/>
      <c r="O926" s="164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0000" customHeight="1">
      <c r="A927" s="156" t="s">
        <v>116</v>
      </c>
      <c r="B927" s="88"/>
      <c r="C927" s="279"/>
      <c r="D927" s="279"/>
      <c r="E927" s="158">
        <f>F927*120%</f>
        <v>0</v>
      </c>
      <c r="F927" s="158">
        <f>(D927-C927+1)*G927</f>
        <v>0</v>
      </c>
      <c r="G927" s="159">
        <f>M927*40</f>
        <v>0</v>
      </c>
      <c r="H927" s="162"/>
      <c r="I927" s="65"/>
      <c r="J927" s="162"/>
      <c r="K927" s="65"/>
      <c r="L927" s="162"/>
      <c r="M927" s="162"/>
      <c r="N927" s="163"/>
      <c r="O927" s="164"/>
      <c r="P927" s="65"/>
      <c r="Q927" s="13"/>
      <c r="R927" s="13"/>
      <c r="S927" s="65"/>
      <c r="T927" s="65"/>
      <c r="U927" s="65"/>
      <c r="V927" s="65"/>
      <c r="W927" s="65"/>
      <c r="X927" s="65"/>
      <c r="Y927" s="65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0000" customHeight="1">
      <c r="B928" s="88"/>
      <c r="H928" s="162"/>
      <c r="I928" s="65"/>
      <c r="J928" s="162"/>
      <c r="K928" s="65"/>
      <c r="L928" s="162"/>
      <c r="O928" s="164"/>
      <c r="P928" s="65"/>
      <c r="Q928" s="13"/>
      <c r="R928" s="13"/>
      <c r="S928" s="65"/>
      <c r="T928" s="65"/>
      <c r="U928" s="65"/>
      <c r="V928" s="65"/>
      <c r="W928" s="65"/>
      <c r="X928" s="65"/>
      <c r="Y928" s="65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0000" customHeight="1">
      <c r="B929" s="88"/>
      <c r="H929" s="162"/>
      <c r="I929" s="65"/>
      <c r="J929" s="162"/>
      <c r="K929" s="65"/>
      <c r="L929" s="162"/>
      <c r="O929" s="164"/>
      <c r="P929" s="65"/>
      <c r="Q929" s="13"/>
      <c r="R929" s="13"/>
      <c r="S929" s="65"/>
      <c r="T929" s="65"/>
      <c r="U929" s="65"/>
      <c r="V929" s="65"/>
      <c r="W929" s="65"/>
      <c r="X929" s="65"/>
      <c r="Y929" s="65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0000" customHeight="1">
      <c r="B930" s="1"/>
      <c r="H930" s="65"/>
      <c r="I930" s="65"/>
      <c r="J930" s="65"/>
      <c r="K930" s="65"/>
      <c r="L930" s="65"/>
      <c r="O930" s="164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0000" customHeight="1">
      <c r="B931" s="1"/>
      <c r="H931" s="169"/>
      <c r="I931" s="65"/>
      <c r="J931" s="65"/>
      <c r="K931" s="65"/>
      <c r="L931" s="65"/>
      <c r="O931" s="164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0000" customHeight="1">
      <c r="A932" s="156" t="s">
        <v>116</v>
      </c>
      <c r="B932" s="88"/>
      <c r="C932" s="279"/>
      <c r="D932" s="279"/>
      <c r="E932" s="158">
        <f>F932*120%</f>
        <v>0</v>
      </c>
      <c r="F932" s="158">
        <f>(D932-C932+1)*G932</f>
        <v>0</v>
      </c>
      <c r="G932" s="159">
        <f>M932*40</f>
        <v>0</v>
      </c>
      <c r="H932" s="162"/>
      <c r="I932" s="65"/>
      <c r="J932" s="162"/>
      <c r="K932" s="65"/>
      <c r="L932" s="162"/>
      <c r="M932" s="162"/>
      <c r="N932" s="163"/>
      <c r="O932" s="164"/>
      <c r="P932" s="65"/>
      <c r="Q932" s="13"/>
      <c r="R932" s="13"/>
      <c r="S932" s="188"/>
      <c r="T932" s="65"/>
      <c r="U932" s="65"/>
      <c r="V932" s="65"/>
      <c r="W932" s="65"/>
      <c r="X932" s="65"/>
      <c r="Y932" s="65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0000" customHeight="1">
      <c r="B933" s="1"/>
      <c r="H933" s="65"/>
      <c r="I933" s="65"/>
      <c r="J933" s="65"/>
      <c r="K933" s="65"/>
      <c r="L933" s="65"/>
      <c r="O933" s="164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0000" customHeight="1">
      <c r="B934" s="1"/>
      <c r="H934" s="65"/>
      <c r="I934" s="65"/>
      <c r="J934" s="65"/>
      <c r="K934" s="65"/>
      <c r="L934" s="65"/>
      <c r="O934" s="164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0000" customHeight="1">
      <c r="B935" s="1"/>
      <c r="H935" s="65"/>
      <c r="I935" s="65"/>
      <c r="J935" s="65"/>
      <c r="K935" s="65"/>
      <c r="L935" s="65"/>
      <c r="O935" s="164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0000" customHeight="1">
      <c r="B936" s="1"/>
      <c r="H936" s="169"/>
      <c r="I936" s="65"/>
      <c r="J936" s="65"/>
      <c r="K936" s="65"/>
      <c r="L936" s="65"/>
      <c r="O936" s="164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0000" customHeight="1">
      <c r="A937" s="156" t="s">
        <v>116</v>
      </c>
      <c r="B937" s="88"/>
      <c r="C937" s="279"/>
      <c r="D937" s="177"/>
      <c r="E937" s="158">
        <f>F937*120%</f>
        <v>0</v>
      </c>
      <c r="F937" s="158">
        <f>(D937-C937+1)*G937</f>
        <v>0</v>
      </c>
      <c r="G937" s="159">
        <f>M937*40</f>
        <v>0</v>
      </c>
      <c r="H937" s="162"/>
      <c r="I937" s="65"/>
      <c r="J937" s="162"/>
      <c r="K937" s="65"/>
      <c r="L937" s="162"/>
      <c r="M937" s="162"/>
      <c r="N937" s="163"/>
      <c r="O937" s="164"/>
      <c r="P937" s="65"/>
      <c r="Q937" s="13"/>
      <c r="R937" s="13"/>
      <c r="S937" s="188"/>
      <c r="T937" s="65"/>
      <c r="U937" s="65"/>
      <c r="V937" s="65"/>
      <c r="W937" s="65"/>
      <c r="X937" s="65"/>
      <c r="Y937" s="65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0000" customHeight="1">
      <c r="B938" s="88"/>
      <c r="H938" s="162"/>
      <c r="I938" s="65"/>
      <c r="J938" s="162"/>
      <c r="K938" s="188"/>
      <c r="L938" s="162"/>
      <c r="O938" s="164"/>
      <c r="P938" s="65"/>
      <c r="Q938" s="13"/>
      <c r="R938" s="13"/>
      <c r="S938" s="188"/>
      <c r="T938" s="65"/>
      <c r="U938" s="65"/>
      <c r="V938" s="65"/>
      <c r="W938" s="65"/>
      <c r="X938" s="65"/>
      <c r="Y938" s="65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0000" customHeight="1">
      <c r="B939" s="1"/>
      <c r="H939" s="65"/>
      <c r="I939" s="65"/>
      <c r="J939" s="65"/>
      <c r="K939" s="65"/>
      <c r="L939" s="65"/>
      <c r="O939" s="164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0000" customHeight="1">
      <c r="B940" s="1"/>
      <c r="H940" s="65"/>
      <c r="I940" s="65"/>
      <c r="J940" s="65"/>
      <c r="K940" s="65"/>
      <c r="L940" s="65"/>
      <c r="O940" s="164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0000" customHeight="1">
      <c r="B941" s="1"/>
      <c r="H941" s="169"/>
      <c r="I941" s="65"/>
      <c r="J941" s="65"/>
      <c r="K941" s="65"/>
      <c r="L941" s="65"/>
      <c r="O941" s="164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0000" customHeight="1">
      <c r="A942" s="156" t="s">
        <v>116</v>
      </c>
      <c r="B942" s="88"/>
      <c r="C942" s="279"/>
      <c r="D942" s="279"/>
      <c r="E942" s="158">
        <f>F942*120%</f>
        <v>0</v>
      </c>
      <c r="F942" s="158">
        <f>(D942-C942+1)*G942</f>
        <v>0</v>
      </c>
      <c r="G942" s="159">
        <f>M942*40</f>
        <v>0</v>
      </c>
      <c r="H942" s="162"/>
      <c r="I942" s="65"/>
      <c r="J942" s="162"/>
      <c r="K942" s="65"/>
      <c r="L942" s="162"/>
      <c r="M942" s="162"/>
      <c r="N942" s="163"/>
      <c r="O942" s="164"/>
      <c r="P942" s="65"/>
      <c r="Q942" s="13"/>
      <c r="R942" s="13"/>
      <c r="S942" s="188"/>
      <c r="T942" s="65"/>
      <c r="U942" s="65"/>
      <c r="V942" s="65"/>
      <c r="W942" s="65"/>
      <c r="X942" s="65"/>
      <c r="Y942" s="65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0000" customHeight="1">
      <c r="B943" s="88"/>
      <c r="H943" s="162"/>
      <c r="I943" s="65"/>
      <c r="J943" s="162"/>
      <c r="K943" s="188"/>
      <c r="L943" s="162"/>
      <c r="O943" s="164"/>
      <c r="P943" s="65"/>
      <c r="Q943" s="13"/>
      <c r="R943" s="13"/>
      <c r="S943" s="188"/>
      <c r="T943" s="65"/>
      <c r="U943" s="65"/>
      <c r="V943" s="65"/>
      <c r="W943" s="65"/>
      <c r="X943" s="65"/>
      <c r="Y943" s="65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0000" customHeight="1">
      <c r="B944" s="88"/>
      <c r="H944" s="162"/>
      <c r="I944" s="65"/>
      <c r="J944" s="162"/>
      <c r="K944" s="188"/>
      <c r="L944" s="162"/>
      <c r="O944" s="164"/>
      <c r="P944" s="65"/>
      <c r="Q944" s="13"/>
      <c r="R944" s="13"/>
      <c r="S944" s="188"/>
      <c r="T944" s="65"/>
      <c r="U944" s="65"/>
      <c r="V944" s="65"/>
      <c r="W944" s="65"/>
      <c r="X944" s="65"/>
      <c r="Y944" s="65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0000" customHeight="1">
      <c r="B945" s="88"/>
      <c r="H945" s="162"/>
      <c r="I945" s="65"/>
      <c r="J945" s="162"/>
      <c r="K945" s="65"/>
      <c r="L945" s="162"/>
      <c r="O945" s="164"/>
      <c r="P945" s="65"/>
      <c r="Q945" s="13"/>
      <c r="R945" s="13"/>
      <c r="S945" s="188"/>
      <c r="T945" s="65"/>
      <c r="U945" s="65"/>
      <c r="V945" s="65"/>
      <c r="W945" s="65"/>
      <c r="X945" s="65"/>
      <c r="Y945" s="65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0000" customHeight="1">
      <c r="B946" s="1"/>
      <c r="H946" s="169"/>
      <c r="I946" s="65"/>
      <c r="J946" s="65"/>
      <c r="K946" s="65"/>
      <c r="L946" s="65"/>
      <c r="O946" s="164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0000" customHeight="1">
      <c r="A947" s="156" t="s">
        <v>116</v>
      </c>
      <c r="B947" s="88"/>
      <c r="C947" s="279"/>
      <c r="D947" s="177"/>
      <c r="E947" s="158">
        <f>F947*120%</f>
        <v>0</v>
      </c>
      <c r="F947" s="158">
        <f>(D947-C947+1)*G947</f>
        <v>0</v>
      </c>
      <c r="G947" s="159">
        <f>M947*40</f>
        <v>0</v>
      </c>
      <c r="H947" s="162"/>
      <c r="I947" s="65"/>
      <c r="J947" s="162"/>
      <c r="K947" s="65"/>
      <c r="L947" s="162"/>
      <c r="M947" s="162"/>
      <c r="N947" s="163"/>
      <c r="O947" s="164"/>
      <c r="P947" s="65"/>
      <c r="Q947" s="13"/>
      <c r="R947" s="13"/>
      <c r="S947" s="188"/>
      <c r="T947" s="65"/>
      <c r="U947" s="65"/>
      <c r="V947" s="65"/>
      <c r="W947" s="65"/>
      <c r="X947" s="65"/>
      <c r="Y947" s="65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0000" customHeight="1">
      <c r="B948" s="88"/>
      <c r="H948" s="162"/>
      <c r="I948" s="65"/>
      <c r="J948" s="162"/>
      <c r="K948" s="188"/>
      <c r="L948" s="162"/>
      <c r="O948" s="164"/>
      <c r="P948" s="65"/>
      <c r="Q948" s="13"/>
      <c r="R948" s="13"/>
      <c r="S948" s="188"/>
      <c r="T948" s="65"/>
      <c r="U948" s="65"/>
      <c r="V948" s="65"/>
      <c r="W948" s="65"/>
      <c r="X948" s="65"/>
      <c r="Y948" s="65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0000" customHeight="1">
      <c r="B949" s="88"/>
      <c r="H949" s="162"/>
      <c r="I949" s="65"/>
      <c r="J949" s="162"/>
      <c r="K949" s="188"/>
      <c r="L949" s="162"/>
      <c r="O949" s="164"/>
      <c r="P949" s="65"/>
      <c r="Q949" s="13"/>
      <c r="R949" s="13"/>
      <c r="S949" s="188"/>
      <c r="T949" s="65"/>
      <c r="U949" s="65"/>
      <c r="V949" s="65"/>
      <c r="W949" s="65"/>
      <c r="X949" s="65"/>
      <c r="Y949" s="65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0000" customHeight="1">
      <c r="B950" s="1"/>
      <c r="H950" s="65"/>
      <c r="I950" s="65"/>
      <c r="J950" s="65"/>
      <c r="K950" s="65"/>
      <c r="L950" s="65"/>
      <c r="O950" s="164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0000" customHeight="1">
      <c r="B951" s="1"/>
      <c r="H951" s="169"/>
      <c r="I951" s="65"/>
      <c r="J951" s="65"/>
      <c r="K951" s="65"/>
      <c r="L951" s="65"/>
      <c r="O951" s="164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0000" customHeight="1">
      <c r="A952" s="156" t="s">
        <v>116</v>
      </c>
      <c r="B952" s="88"/>
      <c r="C952" s="279"/>
      <c r="D952" s="177"/>
      <c r="E952" s="158">
        <f>F952*120%</f>
        <v>0</v>
      </c>
      <c r="F952" s="158">
        <f>(D952-C952+1)*G952</f>
        <v>0</v>
      </c>
      <c r="G952" s="159">
        <f>M952*40</f>
        <v>0</v>
      </c>
      <c r="H952" s="162"/>
      <c r="I952" s="65"/>
      <c r="J952" s="162"/>
      <c r="K952" s="65"/>
      <c r="L952" s="162"/>
      <c r="M952" s="162"/>
      <c r="N952" s="163"/>
      <c r="O952" s="164"/>
      <c r="P952" s="65"/>
      <c r="Q952" s="13"/>
      <c r="R952" s="13"/>
      <c r="S952" s="188"/>
      <c r="T952" s="65"/>
      <c r="U952" s="65"/>
      <c r="V952" s="65"/>
      <c r="W952" s="65"/>
      <c r="X952" s="65"/>
      <c r="Y952" s="65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0000" customHeight="1">
      <c r="B953" s="88"/>
      <c r="H953" s="162"/>
      <c r="I953" s="65"/>
      <c r="J953" s="162"/>
      <c r="K953" s="188"/>
      <c r="L953" s="162"/>
      <c r="O953" s="164"/>
      <c r="P953" s="65"/>
      <c r="Q953" s="13"/>
      <c r="R953" s="13"/>
      <c r="S953" s="188"/>
      <c r="T953" s="65"/>
      <c r="U953" s="65"/>
      <c r="V953" s="65"/>
      <c r="W953" s="65"/>
      <c r="X953" s="65"/>
      <c r="Y953" s="65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0000" customHeight="1">
      <c r="B954" s="88"/>
      <c r="H954" s="162"/>
      <c r="I954" s="65"/>
      <c r="J954" s="162"/>
      <c r="K954" s="188"/>
      <c r="L954" s="162"/>
      <c r="O954" s="164"/>
      <c r="P954" s="65"/>
      <c r="Q954" s="13"/>
      <c r="R954" s="13"/>
      <c r="S954" s="188"/>
      <c r="T954" s="65"/>
      <c r="U954" s="65"/>
      <c r="V954" s="65"/>
      <c r="W954" s="65"/>
      <c r="X954" s="65"/>
      <c r="Y954" s="65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0000" customHeight="1">
      <c r="B955" s="1"/>
      <c r="H955" s="65"/>
      <c r="I955" s="65"/>
      <c r="J955" s="65"/>
      <c r="K955" s="65"/>
      <c r="L955" s="65"/>
      <c r="O955" s="164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0000" customHeight="1">
      <c r="B956" s="1"/>
      <c r="H956" s="169"/>
      <c r="I956" s="65"/>
      <c r="J956" s="65"/>
      <c r="K956" s="65"/>
      <c r="L956" s="65"/>
      <c r="O956" s="164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0000" customHeight="1">
      <c r="A957" s="156" t="s">
        <v>116</v>
      </c>
      <c r="B957" s="88"/>
      <c r="C957" s="279"/>
      <c r="D957" s="279"/>
      <c r="E957" s="158">
        <f>F957*120%</f>
        <v>0</v>
      </c>
      <c r="F957" s="158">
        <f>(D957-C957+1)*G957</f>
        <v>0</v>
      </c>
      <c r="G957" s="159">
        <f>M957*40</f>
        <v>0</v>
      </c>
      <c r="H957" s="162"/>
      <c r="I957" s="65"/>
      <c r="J957" s="162"/>
      <c r="K957" s="65"/>
      <c r="L957" s="162"/>
      <c r="M957" s="162"/>
      <c r="N957" s="163"/>
      <c r="O957" s="164"/>
      <c r="P957" s="65"/>
      <c r="Q957" s="13"/>
      <c r="R957" s="13"/>
      <c r="S957" s="188"/>
      <c r="T957" s="65"/>
      <c r="U957" s="65"/>
      <c r="V957" s="65"/>
      <c r="W957" s="65"/>
      <c r="X957" s="65"/>
      <c r="Y957" s="65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0000" customHeight="1">
      <c r="B958" s="88"/>
      <c r="H958" s="162"/>
      <c r="I958" s="65"/>
      <c r="J958" s="162"/>
      <c r="K958" s="188"/>
      <c r="L958" s="162"/>
      <c r="O958" s="164"/>
      <c r="P958" s="65"/>
      <c r="Q958" s="13"/>
      <c r="R958" s="13"/>
      <c r="S958" s="188"/>
      <c r="T958" s="65"/>
      <c r="U958" s="65"/>
      <c r="V958" s="65"/>
      <c r="W958" s="65"/>
      <c r="X958" s="65"/>
      <c r="Y958" s="65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0000" customHeight="1">
      <c r="B959" s="88"/>
      <c r="H959" s="162"/>
      <c r="I959" s="65"/>
      <c r="J959" s="162"/>
      <c r="K959" s="188"/>
      <c r="L959" s="162"/>
      <c r="O959" s="164"/>
      <c r="P959" s="65"/>
      <c r="Q959" s="13"/>
      <c r="R959" s="13"/>
      <c r="S959" s="188"/>
      <c r="T959" s="65"/>
      <c r="U959" s="65"/>
      <c r="V959" s="65"/>
      <c r="W959" s="65"/>
      <c r="X959" s="65"/>
      <c r="Y959" s="65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0000" customHeight="1">
      <c r="B960" s="88"/>
      <c r="H960" s="162"/>
      <c r="I960" s="65"/>
      <c r="J960" s="162"/>
      <c r="K960" s="65"/>
      <c r="L960" s="162"/>
      <c r="O960" s="164"/>
      <c r="P960" s="65"/>
      <c r="Q960" s="13"/>
      <c r="R960" s="13"/>
      <c r="S960" s="188"/>
      <c r="T960" s="65"/>
      <c r="U960" s="65"/>
      <c r="V960" s="65"/>
      <c r="W960" s="65"/>
      <c r="X960" s="65"/>
      <c r="Y960" s="65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0000" customHeight="1">
      <c r="B961" s="88"/>
      <c r="H961" s="220"/>
      <c r="I961" s="65"/>
      <c r="J961" s="162"/>
      <c r="K961" s="65"/>
      <c r="L961" s="162"/>
      <c r="O961" s="164"/>
      <c r="P961" s="65"/>
      <c r="Q961" s="13"/>
      <c r="R961" s="13"/>
      <c r="S961" s="188"/>
      <c r="T961" s="65"/>
      <c r="U961" s="65"/>
      <c r="V961" s="65"/>
      <c r="W961" s="65"/>
      <c r="X961" s="65"/>
      <c r="Y961" s="65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0000" customHeight="1">
      <c r="A962" s="156" t="s">
        <v>116</v>
      </c>
      <c r="B962" s="88"/>
      <c r="C962" s="279"/>
      <c r="D962" s="279"/>
      <c r="E962" s="158">
        <f>F962*120%</f>
        <v>0</v>
      </c>
      <c r="F962" s="158">
        <f>(D962-C962+1)*G962</f>
        <v>0</v>
      </c>
      <c r="G962" s="159">
        <f>M962*40</f>
        <v>0</v>
      </c>
      <c r="H962" s="162"/>
      <c r="I962" s="65"/>
      <c r="J962" s="162"/>
      <c r="K962" s="65"/>
      <c r="L962" s="162"/>
      <c r="M962" s="162"/>
      <c r="N962" s="163"/>
      <c r="O962" s="164"/>
      <c r="P962" s="65"/>
      <c r="Q962" s="13"/>
      <c r="R962" s="13"/>
      <c r="S962" s="188"/>
      <c r="T962" s="65"/>
      <c r="U962" s="13"/>
      <c r="V962" s="165"/>
      <c r="W962" s="165"/>
      <c r="X962" s="165"/>
      <c r="Y962" s="165"/>
      <c r="Z962" s="166"/>
      <c r="AA962" s="166"/>
      <c r="AB962" s="166"/>
      <c r="AC962" s="166"/>
      <c r="AD962" s="166"/>
      <c r="AE962" s="166"/>
      <c r="AF962" s="166"/>
      <c r="AG962" s="166"/>
      <c r="AH962" s="166"/>
    </row>
    <row r="963" spans="1:34" ht="15.750000" customHeight="1">
      <c r="B963" s="88"/>
      <c r="H963" s="162"/>
      <c r="I963" s="65"/>
      <c r="J963" s="162"/>
      <c r="K963" s="188"/>
      <c r="L963" s="162"/>
      <c r="O963" s="164"/>
      <c r="P963" s="65"/>
      <c r="Q963" s="13"/>
      <c r="R963" s="13"/>
      <c r="S963" s="188"/>
      <c r="T963" s="65"/>
      <c r="U963" s="13"/>
      <c r="V963" s="165"/>
      <c r="W963" s="165"/>
      <c r="X963" s="165"/>
      <c r="Y963" s="165"/>
      <c r="Z963" s="166"/>
      <c r="AA963" s="166"/>
      <c r="AB963" s="166"/>
      <c r="AC963" s="166"/>
      <c r="AD963" s="166"/>
      <c r="AE963" s="166"/>
      <c r="AF963" s="166"/>
      <c r="AG963" s="166"/>
      <c r="AH963" s="166"/>
    </row>
    <row r="964" spans="1:34" ht="15.750000" customHeight="1">
      <c r="B964" s="88"/>
      <c r="H964" s="162"/>
      <c r="I964" s="65"/>
      <c r="J964" s="162"/>
      <c r="K964" s="188"/>
      <c r="L964" s="162"/>
      <c r="O964" s="164"/>
      <c r="P964" s="65"/>
      <c r="Q964" s="13"/>
      <c r="R964" s="13"/>
      <c r="S964" s="188"/>
      <c r="T964" s="65"/>
      <c r="U964" s="13"/>
      <c r="V964" s="165"/>
      <c r="W964" s="165"/>
      <c r="X964" s="165"/>
      <c r="Y964" s="165"/>
      <c r="Z964" s="166"/>
      <c r="AA964" s="166"/>
      <c r="AB964" s="166"/>
      <c r="AC964" s="166"/>
      <c r="AD964" s="166"/>
      <c r="AE964" s="166"/>
      <c r="AF964" s="166"/>
      <c r="AG964" s="166"/>
      <c r="AH964" s="166"/>
    </row>
    <row r="965" spans="1:34" ht="15.750000" customHeight="1">
      <c r="B965" s="88"/>
      <c r="H965" s="162"/>
      <c r="I965" s="65"/>
      <c r="J965" s="162"/>
      <c r="K965" s="65"/>
      <c r="L965" s="162"/>
      <c r="O965" s="164"/>
      <c r="P965" s="65"/>
      <c r="Q965" s="13"/>
      <c r="R965" s="13"/>
      <c r="S965" s="188"/>
      <c r="T965" s="65"/>
      <c r="U965" s="13"/>
      <c r="V965" s="165"/>
      <c r="W965" s="165"/>
      <c r="X965" s="165"/>
      <c r="Y965" s="165"/>
      <c r="Z965" s="166"/>
      <c r="AA965" s="166"/>
      <c r="AB965" s="166"/>
      <c r="AC965" s="166"/>
      <c r="AD965" s="166"/>
      <c r="AE965" s="166"/>
      <c r="AF965" s="166"/>
      <c r="AG965" s="166"/>
      <c r="AH965" s="166"/>
    </row>
    <row r="966" spans="1:34" ht="15.750000" customHeight="1">
      <c r="B966" s="88"/>
      <c r="H966" s="220"/>
      <c r="I966" s="65"/>
      <c r="J966" s="162"/>
      <c r="K966" s="65"/>
      <c r="L966" s="162"/>
      <c r="O966" s="164"/>
      <c r="P966" s="65"/>
      <c r="Q966" s="13"/>
      <c r="R966" s="13"/>
      <c r="S966" s="188"/>
      <c r="T966" s="65"/>
      <c r="U966" s="13"/>
      <c r="V966" s="165"/>
      <c r="W966" s="165"/>
      <c r="X966" s="165"/>
      <c r="Y966" s="165"/>
      <c r="Z966" s="166"/>
      <c r="AA966" s="166"/>
      <c r="AB966" s="166"/>
      <c r="AC966" s="166"/>
      <c r="AD966" s="166"/>
      <c r="AE966" s="166"/>
      <c r="AF966" s="166"/>
      <c r="AG966" s="166"/>
      <c r="AH966" s="166"/>
    </row>
    <row r="967" spans="1:34" ht="15.750000" customHeight="1">
      <c r="A967" s="156" t="s">
        <v>116</v>
      </c>
      <c r="B967" s="88"/>
      <c r="C967" s="279"/>
      <c r="D967" s="177"/>
      <c r="E967" s="158">
        <f>F967*120%</f>
        <v>0</v>
      </c>
      <c r="F967" s="158">
        <f>(D967-C967+1)*G967</f>
        <v>0</v>
      </c>
      <c r="G967" s="159">
        <f>M967*40</f>
        <v>0</v>
      </c>
      <c r="H967" s="162"/>
      <c r="I967" s="65"/>
      <c r="J967" s="162"/>
      <c r="K967" s="65"/>
      <c r="L967" s="162"/>
      <c r="M967" s="162"/>
      <c r="N967" s="163"/>
      <c r="O967" s="164"/>
      <c r="P967" s="65"/>
      <c r="Q967" s="13"/>
      <c r="R967" s="13"/>
      <c r="S967" s="188"/>
      <c r="T967" s="65"/>
      <c r="U967" s="13"/>
      <c r="V967" s="165"/>
      <c r="W967" s="165"/>
      <c r="X967" s="165"/>
      <c r="Y967" s="165"/>
      <c r="Z967" s="166"/>
      <c r="AA967" s="166"/>
      <c r="AB967" s="166"/>
      <c r="AC967" s="166"/>
      <c r="AD967" s="166"/>
      <c r="AE967" s="166"/>
      <c r="AF967" s="166"/>
      <c r="AG967" s="166"/>
      <c r="AH967" s="166"/>
    </row>
    <row r="968" spans="1:34" ht="15.750000" customHeight="1">
      <c r="B968" s="88"/>
      <c r="H968" s="162"/>
      <c r="I968" s="65"/>
      <c r="J968" s="162"/>
      <c r="K968" s="188"/>
      <c r="L968" s="162"/>
      <c r="O968" s="164"/>
      <c r="P968" s="65"/>
      <c r="Q968" s="13"/>
      <c r="R968" s="13"/>
      <c r="S968" s="188"/>
      <c r="T968" s="65"/>
      <c r="U968" s="13"/>
      <c r="V968" s="165"/>
      <c r="W968" s="165"/>
      <c r="X968" s="165"/>
      <c r="Y968" s="165"/>
      <c r="Z968" s="166"/>
      <c r="AA968" s="166"/>
      <c r="AB968" s="166"/>
      <c r="AC968" s="166"/>
      <c r="AD968" s="166"/>
      <c r="AE968" s="166"/>
      <c r="AF968" s="166"/>
      <c r="AG968" s="166"/>
      <c r="AH968" s="166"/>
    </row>
    <row r="969" spans="1:34" ht="15.750000" customHeight="1">
      <c r="B969" s="88"/>
      <c r="H969" s="162"/>
      <c r="I969" s="65"/>
      <c r="J969" s="162"/>
      <c r="K969" s="188"/>
      <c r="L969" s="162"/>
      <c r="O969" s="164"/>
      <c r="P969" s="65"/>
      <c r="Q969" s="13"/>
      <c r="R969" s="13"/>
      <c r="S969" s="188"/>
      <c r="T969" s="65"/>
      <c r="U969" s="13"/>
      <c r="V969" s="165"/>
      <c r="W969" s="165"/>
      <c r="X969" s="165"/>
      <c r="Y969" s="165"/>
      <c r="Z969" s="166"/>
      <c r="AA969" s="166"/>
      <c r="AB969" s="166"/>
      <c r="AC969" s="166"/>
      <c r="AD969" s="166"/>
      <c r="AE969" s="166"/>
      <c r="AF969" s="166"/>
      <c r="AG969" s="166"/>
      <c r="AH969" s="166"/>
    </row>
    <row r="970" spans="1:34" ht="15.750000" customHeight="1">
      <c r="B970" s="88"/>
      <c r="H970" s="162"/>
      <c r="I970" s="65"/>
      <c r="J970" s="162"/>
      <c r="K970" s="65"/>
      <c r="L970" s="162"/>
      <c r="O970" s="164"/>
      <c r="P970" s="65"/>
      <c r="Q970" s="13"/>
      <c r="R970" s="13"/>
      <c r="S970" s="188"/>
      <c r="T970" s="65"/>
      <c r="U970" s="13"/>
      <c r="V970" s="165"/>
      <c r="W970" s="165"/>
      <c r="X970" s="165"/>
      <c r="Y970" s="165"/>
      <c r="Z970" s="166"/>
      <c r="AA970" s="166"/>
      <c r="AB970" s="166"/>
      <c r="AC970" s="166"/>
      <c r="AD970" s="166"/>
      <c r="AE970" s="166"/>
      <c r="AF970" s="166"/>
      <c r="AG970" s="166"/>
      <c r="AH970" s="166"/>
    </row>
    <row r="971" spans="1:34" ht="15.750000" customHeight="1">
      <c r="B971" s="88"/>
      <c r="H971" s="220"/>
      <c r="I971" s="65"/>
      <c r="J971" s="162"/>
      <c r="K971" s="65"/>
      <c r="L971" s="162"/>
      <c r="O971" s="164"/>
      <c r="P971" s="65"/>
      <c r="Q971" s="13"/>
      <c r="R971" s="13"/>
      <c r="S971" s="188"/>
      <c r="T971" s="65"/>
      <c r="U971" s="13"/>
      <c r="V971" s="165"/>
      <c r="W971" s="165"/>
      <c r="X971" s="165"/>
      <c r="Y971" s="165"/>
      <c r="Z971" s="166"/>
      <c r="AA971" s="166"/>
      <c r="AB971" s="166"/>
      <c r="AC971" s="166"/>
      <c r="AD971" s="166"/>
      <c r="AE971" s="166"/>
      <c r="AF971" s="166"/>
      <c r="AG971" s="166"/>
      <c r="AH971" s="166"/>
    </row>
    <row r="972" spans="1:34" ht="15.750000" customHeight="1">
      <c r="A972" s="156" t="s">
        <v>116</v>
      </c>
      <c r="B972" s="88"/>
      <c r="C972" s="279"/>
      <c r="D972" s="177"/>
      <c r="E972" s="158">
        <f>F972*120%</f>
        <v>0</v>
      </c>
      <c r="F972" s="158">
        <f>(D972-C972+1)*G972</f>
        <v>0</v>
      </c>
      <c r="G972" s="159">
        <f>M972*40</f>
        <v>0</v>
      </c>
      <c r="H972" s="162"/>
      <c r="I972" s="65"/>
      <c r="J972" s="162"/>
      <c r="K972" s="65"/>
      <c r="L972" s="162"/>
      <c r="M972" s="162"/>
      <c r="N972" s="163"/>
      <c r="O972" s="164"/>
      <c r="P972" s="65"/>
      <c r="Q972" s="13"/>
      <c r="R972" s="13"/>
      <c r="S972" s="188"/>
      <c r="T972" s="65"/>
      <c r="U972" s="13"/>
      <c r="V972" s="165"/>
      <c r="W972" s="165"/>
      <c r="X972" s="165"/>
      <c r="Y972" s="165"/>
      <c r="Z972" s="166"/>
      <c r="AA972" s="166"/>
      <c r="AB972" s="166"/>
      <c r="AC972" s="166"/>
      <c r="AD972" s="166"/>
      <c r="AE972" s="166"/>
      <c r="AF972" s="166"/>
      <c r="AG972" s="166"/>
      <c r="AH972" s="166"/>
    </row>
    <row r="973" spans="1:34" ht="15.750000" customHeight="1">
      <c r="B973" s="88"/>
      <c r="H973" s="162"/>
      <c r="I973" s="65"/>
      <c r="J973" s="162"/>
      <c r="K973" s="188"/>
      <c r="L973" s="162"/>
      <c r="O973" s="164"/>
      <c r="P973" s="65"/>
      <c r="Q973" s="13"/>
      <c r="R973" s="13"/>
      <c r="S973" s="188"/>
      <c r="T973" s="65"/>
      <c r="U973" s="13"/>
      <c r="V973" s="165"/>
      <c r="W973" s="165"/>
      <c r="X973" s="165"/>
      <c r="Y973" s="165"/>
      <c r="Z973" s="166"/>
      <c r="AA973" s="166"/>
      <c r="AB973" s="166"/>
      <c r="AC973" s="166"/>
      <c r="AD973" s="166"/>
      <c r="AE973" s="166"/>
      <c r="AF973" s="166"/>
      <c r="AG973" s="166"/>
      <c r="AH973" s="166"/>
    </row>
    <row r="974" spans="1:34" ht="15.750000" customHeight="1">
      <c r="B974" s="88"/>
      <c r="H974" s="162"/>
      <c r="I974" s="65"/>
      <c r="J974" s="162"/>
      <c r="K974" s="188"/>
      <c r="L974" s="162"/>
      <c r="O974" s="164"/>
      <c r="P974" s="65"/>
      <c r="Q974" s="13"/>
      <c r="R974" s="13"/>
      <c r="S974" s="188"/>
      <c r="T974" s="65"/>
      <c r="U974" s="13"/>
      <c r="V974" s="165"/>
      <c r="W974" s="165"/>
      <c r="X974" s="165"/>
      <c r="Y974" s="165"/>
      <c r="Z974" s="166"/>
      <c r="AA974" s="166"/>
      <c r="AB974" s="166"/>
      <c r="AC974" s="166"/>
      <c r="AD974" s="166"/>
      <c r="AE974" s="166"/>
      <c r="AF974" s="166"/>
      <c r="AG974" s="166"/>
      <c r="AH974" s="166"/>
    </row>
    <row r="975" spans="1:34" ht="15.750000" customHeight="1">
      <c r="B975" s="166"/>
      <c r="H975" s="65"/>
      <c r="I975" s="65"/>
      <c r="J975" s="65"/>
      <c r="K975" s="65"/>
      <c r="L975" s="65"/>
      <c r="O975" s="164"/>
      <c r="P975" s="65"/>
      <c r="Q975" s="13"/>
      <c r="R975" s="13"/>
      <c r="S975" s="65"/>
      <c r="T975" s="13"/>
      <c r="U975" s="13"/>
      <c r="V975" s="165"/>
      <c r="W975" s="165"/>
      <c r="X975" s="165"/>
      <c r="Y975" s="165"/>
      <c r="Z975" s="166"/>
      <c r="AA975" s="166"/>
      <c r="AB975" s="166"/>
      <c r="AC975" s="166"/>
      <c r="AD975" s="166"/>
      <c r="AE975" s="166"/>
      <c r="AF975" s="166"/>
      <c r="AG975" s="166"/>
      <c r="AH975" s="166"/>
    </row>
    <row r="976" spans="1:34" ht="15.750000" customHeight="1">
      <c r="B976" s="166"/>
      <c r="H976" s="169"/>
      <c r="I976" s="65"/>
      <c r="J976" s="65"/>
      <c r="K976" s="65"/>
      <c r="L976" s="65"/>
      <c r="O976" s="164"/>
      <c r="P976" s="65"/>
      <c r="Q976" s="13"/>
      <c r="R976" s="13"/>
      <c r="S976" s="65"/>
      <c r="T976" s="13"/>
      <c r="U976" s="13"/>
      <c r="V976" s="165"/>
      <c r="W976" s="165"/>
      <c r="X976" s="165"/>
      <c r="Y976" s="165"/>
      <c r="Z976" s="166"/>
      <c r="AA976" s="166"/>
      <c r="AB976" s="166"/>
      <c r="AC976" s="166"/>
      <c r="AD976" s="166"/>
      <c r="AE976" s="166"/>
      <c r="AF976" s="166"/>
      <c r="AG976" s="166"/>
      <c r="AH976" s="166"/>
    </row>
    <row r="977" spans="1:34" ht="15.750000" customHeight="1">
      <c r="A977" s="156" t="s">
        <v>116</v>
      </c>
      <c r="B977" s="88"/>
      <c r="C977" s="279"/>
      <c r="D977" s="177"/>
      <c r="E977" s="158">
        <f>F977*120%</f>
        <v>0</v>
      </c>
      <c r="F977" s="158">
        <f>(D977-C977+1)*G977</f>
        <v>0</v>
      </c>
      <c r="G977" s="159">
        <f>M977*40</f>
        <v>0</v>
      </c>
      <c r="H977" s="162"/>
      <c r="I977" s="65"/>
      <c r="J977" s="162"/>
      <c r="K977" s="65"/>
      <c r="L977" s="162"/>
      <c r="M977" s="162"/>
      <c r="N977" s="163"/>
      <c r="O977" s="164"/>
      <c r="P977" s="65"/>
      <c r="Q977" s="13"/>
      <c r="R977" s="13"/>
      <c r="S977" s="188"/>
      <c r="T977" s="65"/>
      <c r="U977" s="13"/>
      <c r="V977" s="165"/>
      <c r="W977" s="165"/>
      <c r="X977" s="165"/>
      <c r="Y977" s="165"/>
      <c r="Z977" s="166"/>
      <c r="AA977" s="166"/>
      <c r="AB977" s="166"/>
      <c r="AC977" s="166"/>
      <c r="AD977" s="166"/>
      <c r="AE977" s="166"/>
      <c r="AF977" s="166"/>
      <c r="AG977" s="166"/>
      <c r="AH977" s="166"/>
    </row>
    <row r="978" spans="1:34" ht="15.750000" customHeight="1">
      <c r="B978" s="88"/>
      <c r="H978" s="65"/>
      <c r="I978" s="65"/>
      <c r="J978" s="65"/>
      <c r="K978" s="65"/>
      <c r="L978" s="65"/>
      <c r="O978" s="164"/>
      <c r="P978" s="65"/>
      <c r="Q978" s="13"/>
      <c r="R978" s="13"/>
      <c r="S978" s="65"/>
      <c r="T978" s="13"/>
      <c r="U978" s="13"/>
      <c r="V978" s="165"/>
      <c r="W978" s="165"/>
      <c r="X978" s="165"/>
      <c r="Y978" s="165"/>
      <c r="Z978" s="166"/>
      <c r="AA978" s="166"/>
      <c r="AB978" s="166"/>
      <c r="AC978" s="166"/>
      <c r="AD978" s="166"/>
      <c r="AE978" s="166"/>
      <c r="AF978" s="166"/>
      <c r="AG978" s="166"/>
      <c r="AH978" s="166"/>
    </row>
    <row r="979" spans="1:34" ht="15.750000" customHeight="1">
      <c r="B979" s="166"/>
      <c r="H979" s="65"/>
      <c r="I979" s="65"/>
      <c r="J979" s="65"/>
      <c r="K979" s="65"/>
      <c r="L979" s="65"/>
      <c r="O979" s="164"/>
      <c r="P979" s="65"/>
      <c r="Q979" s="13"/>
      <c r="R979" s="13"/>
      <c r="S979" s="65"/>
      <c r="T979" s="13"/>
      <c r="U979" s="13"/>
      <c r="V979" s="165"/>
      <c r="W979" s="165"/>
      <c r="X979" s="165"/>
      <c r="Y979" s="165"/>
      <c r="Z979" s="166"/>
      <c r="AA979" s="166"/>
      <c r="AB979" s="166"/>
      <c r="AC979" s="166"/>
      <c r="AD979" s="166"/>
      <c r="AE979" s="166"/>
      <c r="AF979" s="166"/>
      <c r="AG979" s="166"/>
      <c r="AH979" s="166"/>
    </row>
    <row r="980" spans="1:34" ht="15.750000" customHeight="1">
      <c r="B980" s="166"/>
      <c r="H980" s="65"/>
      <c r="I980" s="65"/>
      <c r="J980" s="65"/>
      <c r="K980" s="65"/>
      <c r="L980" s="65"/>
      <c r="O980" s="164"/>
      <c r="P980" s="65"/>
      <c r="Q980" s="13"/>
      <c r="R980" s="13"/>
      <c r="S980" s="65"/>
      <c r="T980" s="13"/>
      <c r="U980" s="13"/>
      <c r="V980" s="165"/>
      <c r="W980" s="165"/>
      <c r="X980" s="165"/>
      <c r="Y980" s="165"/>
      <c r="Z980" s="166"/>
      <c r="AA980" s="166"/>
      <c r="AB980" s="166"/>
      <c r="AC980" s="166"/>
      <c r="AD980" s="166"/>
      <c r="AE980" s="166"/>
      <c r="AF980" s="166"/>
      <c r="AG980" s="166"/>
      <c r="AH980" s="166"/>
    </row>
    <row r="981" spans="1:34" ht="15.750000" customHeight="1">
      <c r="B981" s="166"/>
      <c r="H981" s="169"/>
      <c r="I981" s="65"/>
      <c r="J981" s="65"/>
      <c r="K981" s="65"/>
      <c r="L981" s="65"/>
      <c r="O981" s="164"/>
      <c r="P981" s="65"/>
      <c r="Q981" s="13"/>
      <c r="R981" s="13"/>
      <c r="S981" s="65"/>
      <c r="T981" s="13"/>
      <c r="U981" s="13"/>
      <c r="V981" s="165"/>
      <c r="W981" s="165"/>
      <c r="X981" s="165"/>
      <c r="Y981" s="165"/>
      <c r="Z981" s="166"/>
      <c r="AA981" s="166"/>
      <c r="AB981" s="166"/>
      <c r="AC981" s="166"/>
      <c r="AD981" s="166"/>
      <c r="AE981" s="166"/>
      <c r="AF981" s="166"/>
      <c r="AG981" s="166"/>
      <c r="AH981" s="166"/>
    </row>
    <row r="982" spans="1:34" ht="15.750000" customHeight="1">
      <c r="A982" s="156" t="s">
        <v>116</v>
      </c>
      <c r="B982" s="88"/>
      <c r="C982" s="279"/>
      <c r="D982" s="177"/>
      <c r="E982" s="158">
        <f>F982*120%</f>
        <v>0</v>
      </c>
      <c r="F982" s="158">
        <f>(D982-C982+1)*G982</f>
        <v>0</v>
      </c>
      <c r="G982" s="159">
        <f>M982*40</f>
        <v>0</v>
      </c>
      <c r="H982" s="162"/>
      <c r="I982" s="65"/>
      <c r="J982" s="162"/>
      <c r="K982" s="65"/>
      <c r="L982" s="162"/>
      <c r="M982" s="162"/>
      <c r="N982" s="163"/>
      <c r="O982" s="164"/>
      <c r="P982" s="65"/>
      <c r="Q982" s="13"/>
      <c r="R982" s="13"/>
      <c r="S982" s="188"/>
      <c r="T982" s="65"/>
      <c r="U982" s="65"/>
      <c r="V982" s="65"/>
      <c r="W982" s="65"/>
      <c r="X982" s="65"/>
      <c r="Y982" s="65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0000" customHeight="1">
      <c r="B983" s="88"/>
      <c r="H983" s="162"/>
      <c r="I983" s="65"/>
      <c r="J983" s="162"/>
      <c r="K983" s="188"/>
      <c r="L983" s="162"/>
      <c r="O983" s="164"/>
      <c r="P983" s="65"/>
      <c r="Q983" s="13"/>
      <c r="R983" s="13"/>
      <c r="S983" s="188"/>
      <c r="T983" s="65"/>
      <c r="U983" s="65"/>
      <c r="V983" s="65"/>
      <c r="W983" s="65"/>
      <c r="X983" s="65"/>
      <c r="Y983" s="65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0000" customHeight="1">
      <c r="B984" s="1"/>
      <c r="H984" s="65"/>
      <c r="I984" s="65"/>
      <c r="J984" s="65"/>
      <c r="K984" s="65"/>
      <c r="L984" s="65"/>
      <c r="O984" s="164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0000" customHeight="1">
      <c r="B985" s="1"/>
      <c r="H985" s="65"/>
      <c r="I985" s="65"/>
      <c r="J985" s="65"/>
      <c r="K985" s="65"/>
      <c r="L985" s="65"/>
      <c r="O985" s="164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0000" customHeight="1">
      <c r="B986" s="1"/>
      <c r="H986" s="169"/>
      <c r="I986" s="65"/>
      <c r="J986" s="65"/>
      <c r="K986" s="65"/>
      <c r="L986" s="65"/>
      <c r="O986" s="164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0000" customHeight="1">
      <c r="A987" s="156" t="s">
        <v>116</v>
      </c>
      <c r="B987" s="88"/>
      <c r="C987" s="279"/>
      <c r="D987" s="177"/>
      <c r="E987" s="158">
        <f>F987*120%</f>
        <v>0</v>
      </c>
      <c r="F987" s="158">
        <f>(D987-C987+1)*G987</f>
        <v>0</v>
      </c>
      <c r="G987" s="159">
        <f>M987*40</f>
        <v>0</v>
      </c>
      <c r="H987" s="162"/>
      <c r="I987" s="65"/>
      <c r="J987" s="162"/>
      <c r="K987" s="65"/>
      <c r="L987" s="162"/>
      <c r="M987" s="162"/>
      <c r="N987" s="163"/>
      <c r="O987" s="164"/>
      <c r="P987" s="65"/>
      <c r="Q987" s="13"/>
      <c r="R987" s="13"/>
      <c r="S987" s="188"/>
      <c r="T987" s="65"/>
      <c r="U987" s="65"/>
      <c r="V987" s="65"/>
      <c r="W987" s="65"/>
      <c r="X987" s="65"/>
      <c r="Y987" s="65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0000" customHeight="1">
      <c r="B988" s="1"/>
      <c r="H988" s="65"/>
      <c r="I988" s="65"/>
      <c r="J988" s="65"/>
      <c r="K988" s="65"/>
      <c r="L988" s="65"/>
      <c r="O988" s="164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0000" customHeight="1">
      <c r="B989" s="1"/>
      <c r="H989" s="65"/>
      <c r="I989" s="65"/>
      <c r="J989" s="65"/>
      <c r="K989" s="65"/>
      <c r="L989" s="65"/>
      <c r="O989" s="164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0000" customHeight="1">
      <c r="B990" s="1"/>
      <c r="H990" s="65"/>
      <c r="I990" s="65"/>
      <c r="J990" s="65"/>
      <c r="K990" s="65"/>
      <c r="L990" s="65"/>
      <c r="O990" s="164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0000" customHeight="1">
      <c r="B991" s="1"/>
      <c r="H991" s="169"/>
      <c r="I991" s="65"/>
      <c r="J991" s="65"/>
      <c r="K991" s="65"/>
      <c r="L991" s="65"/>
      <c r="O991" s="164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0000" customHeight="1">
      <c r="A992" s="156" t="s">
        <v>116</v>
      </c>
      <c r="B992" s="88"/>
      <c r="C992" s="279"/>
      <c r="D992" s="177"/>
      <c r="E992" s="158">
        <f>F992*120%</f>
        <v>0</v>
      </c>
      <c r="F992" s="158">
        <f>(D992-C992+1)*G992</f>
        <v>0</v>
      </c>
      <c r="G992" s="159">
        <f>M992*40</f>
        <v>0</v>
      </c>
      <c r="H992" s="162"/>
      <c r="I992" s="65"/>
      <c r="J992" s="162"/>
      <c r="K992" s="65"/>
      <c r="L992" s="162"/>
      <c r="M992" s="162"/>
      <c r="N992" s="163"/>
      <c r="O992" s="164"/>
      <c r="P992" s="65"/>
      <c r="Q992" s="13"/>
      <c r="R992" s="13"/>
      <c r="S992" s="188"/>
      <c r="T992" s="65"/>
      <c r="U992" s="65"/>
      <c r="V992" s="65"/>
      <c r="W992" s="65"/>
      <c r="X992" s="65"/>
      <c r="Y992" s="65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0000" customHeight="1">
      <c r="B993" s="1"/>
      <c r="H993" s="65"/>
      <c r="I993" s="65"/>
      <c r="J993" s="65"/>
      <c r="K993" s="65"/>
      <c r="L993" s="65"/>
      <c r="O993" s="164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0000" customHeight="1">
      <c r="B994" s="1"/>
      <c r="H994" s="65"/>
      <c r="I994" s="65"/>
      <c r="J994" s="65"/>
      <c r="K994" s="65"/>
      <c r="L994" s="65"/>
      <c r="O994" s="164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0000" customHeight="1">
      <c r="B995" s="1"/>
      <c r="H995" s="65"/>
      <c r="I995" s="65"/>
      <c r="J995" s="65"/>
      <c r="K995" s="65"/>
      <c r="L995" s="65"/>
      <c r="O995" s="164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0000" customHeight="1">
      <c r="B996" s="1"/>
      <c r="H996" s="169"/>
      <c r="I996" s="65"/>
      <c r="J996" s="65"/>
      <c r="K996" s="65"/>
      <c r="L996" s="65"/>
      <c r="O996" s="164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0000" customHeight="1">
      <c r="A997" s="156" t="s">
        <v>116</v>
      </c>
      <c r="B997" s="88"/>
      <c r="C997" s="279"/>
      <c r="D997" s="279"/>
      <c r="E997" s="158">
        <f>F997*120%</f>
        <v>0</v>
      </c>
      <c r="F997" s="158">
        <f>(D997-C997+1)*G997</f>
        <v>0</v>
      </c>
      <c r="G997" s="159">
        <f>M997*40</f>
        <v>0</v>
      </c>
      <c r="H997" s="162"/>
      <c r="I997" s="65"/>
      <c r="J997" s="162"/>
      <c r="K997" s="65"/>
      <c r="L997" s="162"/>
      <c r="M997" s="162"/>
      <c r="N997" s="163"/>
      <c r="O997" s="164"/>
      <c r="P997" s="65"/>
      <c r="Q997" s="13"/>
      <c r="R997" s="13"/>
      <c r="S997" s="188"/>
      <c r="T997" s="65"/>
      <c r="U997" s="65"/>
      <c r="V997" s="65"/>
      <c r="W997" s="65"/>
      <c r="X997" s="65"/>
      <c r="Y997" s="65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5.750000" customHeight="1">
      <c r="B998" s="88"/>
      <c r="H998" s="162"/>
      <c r="I998" s="65"/>
      <c r="J998" s="162"/>
      <c r="K998" s="65"/>
      <c r="L998" s="162"/>
      <c r="O998" s="164"/>
      <c r="P998" s="65"/>
      <c r="Q998" s="13"/>
      <c r="R998" s="13"/>
      <c r="S998" s="188"/>
      <c r="T998" s="65"/>
      <c r="U998" s="65"/>
      <c r="V998" s="65"/>
      <c r="W998" s="65"/>
      <c r="X998" s="65"/>
      <c r="Y998" s="65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5.750000" customHeight="1">
      <c r="B999" s="88"/>
      <c r="H999" s="162"/>
      <c r="I999" s="65"/>
      <c r="J999" s="162"/>
      <c r="K999" s="65"/>
      <c r="L999" s="162"/>
      <c r="O999" s="164"/>
      <c r="P999" s="65"/>
      <c r="Q999" s="13"/>
      <c r="R999" s="13"/>
      <c r="S999" s="188"/>
      <c r="T999" s="65"/>
      <c r="U999" s="65"/>
      <c r="V999" s="65"/>
      <c r="W999" s="65"/>
      <c r="X999" s="65"/>
      <c r="Y999" s="65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5.750000" customHeight="1">
      <c r="B1000" s="88"/>
      <c r="H1000" s="162"/>
      <c r="I1000" s="65"/>
      <c r="J1000" s="162"/>
      <c r="K1000" s="188"/>
      <c r="L1000" s="162"/>
      <c r="O1000" s="164"/>
      <c r="P1000" s="65"/>
      <c r="Q1000" s="13"/>
      <c r="R1000" s="13"/>
      <c r="S1000" s="188"/>
      <c r="T1000" s="65"/>
      <c r="U1000" s="65"/>
      <c r="V1000" s="65"/>
      <c r="W1000" s="65"/>
      <c r="X1000" s="65"/>
      <c r="Y1000" s="65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spans="1:34" ht="15.750000" customHeight="1">
      <c r="B1001" s="88"/>
      <c r="H1001" s="220"/>
      <c r="I1001" s="65"/>
      <c r="J1001" s="162"/>
      <c r="K1001" s="188"/>
      <c r="L1001" s="162"/>
      <c r="O1001" s="164"/>
      <c r="P1001" s="65"/>
      <c r="Q1001" s="13"/>
      <c r="R1001" s="13"/>
      <c r="S1001" s="188"/>
      <c r="T1001" s="65"/>
      <c r="U1001" s="65"/>
      <c r="V1001" s="65"/>
      <c r="W1001" s="65"/>
      <c r="X1001" s="65"/>
      <c r="Y1001" s="65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spans="1:34" ht="15.750000" customHeight="1">
      <c r="A1002" s="156" t="s">
        <v>116</v>
      </c>
      <c r="B1002" s="88"/>
      <c r="C1002" s="279"/>
      <c r="D1002" s="279"/>
      <c r="E1002" s="158">
        <f>F1002*120%</f>
        <v>0</v>
      </c>
      <c r="F1002" s="158">
        <f>(D1002-C1002+1)*G1002</f>
        <v>0</v>
      </c>
      <c r="G1002" s="159">
        <f>M1002*40</f>
        <v>0</v>
      </c>
      <c r="H1002" s="162"/>
      <c r="I1002" s="65"/>
      <c r="J1002" s="162"/>
      <c r="K1002" s="65"/>
      <c r="L1002" s="162"/>
      <c r="M1002" s="162"/>
      <c r="N1002" s="163"/>
      <c r="O1002" s="164"/>
      <c r="P1002" s="65"/>
      <c r="Q1002" s="13"/>
      <c r="R1002" s="13"/>
      <c r="S1002" s="188"/>
      <c r="T1002" s="65"/>
      <c r="U1002" s="65"/>
      <c r="V1002" s="65"/>
      <c r="W1002" s="65"/>
      <c r="X1002" s="65"/>
      <c r="Y1002" s="65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 spans="1:34" ht="15.750000" customHeight="1">
      <c r="B1003" s="88"/>
      <c r="H1003" s="162"/>
      <c r="I1003" s="65"/>
      <c r="J1003" s="162"/>
      <c r="K1003" s="65"/>
      <c r="L1003" s="162"/>
      <c r="O1003" s="164"/>
      <c r="P1003" s="65"/>
      <c r="Q1003" s="13"/>
      <c r="R1003" s="13"/>
      <c r="S1003" s="188"/>
      <c r="T1003" s="65"/>
      <c r="U1003" s="65"/>
      <c r="V1003" s="65"/>
      <c r="W1003" s="65"/>
      <c r="X1003" s="65"/>
      <c r="Y1003" s="65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 spans="1:34" ht="15.750000" customHeight="1">
      <c r="B1004" s="88"/>
      <c r="H1004" s="162"/>
      <c r="I1004" s="65"/>
      <c r="J1004" s="162"/>
      <c r="K1004" s="65"/>
      <c r="L1004" s="162"/>
      <c r="O1004" s="164"/>
      <c r="P1004" s="65"/>
      <c r="Q1004" s="13"/>
      <c r="R1004" s="13"/>
      <c r="S1004" s="188"/>
      <c r="T1004" s="65"/>
      <c r="U1004" s="65"/>
      <c r="V1004" s="65"/>
      <c r="W1004" s="65"/>
      <c r="X1004" s="65"/>
      <c r="Y1004" s="65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 spans="1:34" ht="15.750000" customHeight="1">
      <c r="B1005" s="88"/>
      <c r="H1005" s="162"/>
      <c r="I1005" s="65"/>
      <c r="J1005" s="162"/>
      <c r="K1005" s="188"/>
      <c r="L1005" s="162"/>
      <c r="O1005" s="164"/>
      <c r="P1005" s="65"/>
      <c r="Q1005" s="13"/>
      <c r="R1005" s="13"/>
      <c r="S1005" s="188"/>
      <c r="T1005" s="65"/>
      <c r="U1005" s="65"/>
      <c r="V1005" s="65"/>
      <c r="W1005" s="65"/>
      <c r="X1005" s="65"/>
      <c r="Y1005" s="65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 spans="1:34" ht="15.750000" customHeight="1">
      <c r="B1006" s="88"/>
      <c r="H1006" s="220"/>
      <c r="I1006" s="65"/>
      <c r="J1006" s="162"/>
      <c r="K1006" s="188"/>
      <c r="L1006" s="162"/>
      <c r="O1006" s="164"/>
      <c r="P1006" s="65"/>
      <c r="Q1006" s="13"/>
      <c r="R1006" s="13"/>
      <c r="S1006" s="188"/>
      <c r="T1006" s="65"/>
      <c r="U1006" s="65"/>
      <c r="V1006" s="65"/>
      <c r="W1006" s="65"/>
      <c r="X1006" s="65"/>
      <c r="Y1006" s="65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 spans="1:34" ht="15.750000" customHeight="1">
      <c r="A1007" s="156" t="s">
        <v>116</v>
      </c>
      <c r="B1007" s="88"/>
      <c r="C1007" s="279"/>
      <c r="D1007" s="177"/>
      <c r="E1007" s="158">
        <f>F1007*120%</f>
        <v>0</v>
      </c>
      <c r="F1007" s="158">
        <f>(D1007-C1007+1)*G1007</f>
        <v>0</v>
      </c>
      <c r="G1007" s="159">
        <f>M1007*40</f>
        <v>0</v>
      </c>
      <c r="H1007" s="162"/>
      <c r="I1007" s="65"/>
      <c r="J1007" s="162"/>
      <c r="K1007" s="65"/>
      <c r="L1007" s="162"/>
      <c r="M1007" s="162"/>
      <c r="N1007" s="163"/>
      <c r="O1007" s="164"/>
      <c r="P1007" s="65"/>
      <c r="Q1007" s="13"/>
      <c r="R1007" s="13"/>
      <c r="S1007" s="188"/>
      <c r="T1007" s="65"/>
      <c r="U1007" s="65"/>
      <c r="V1007" s="65"/>
      <c r="W1007" s="65"/>
      <c r="X1007" s="65"/>
      <c r="Y1007" s="65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 spans="1:34" ht="15.750000" customHeight="1">
      <c r="B1008" s="88"/>
      <c r="H1008" s="162"/>
      <c r="I1008" s="65"/>
      <c r="J1008" s="162"/>
      <c r="K1008" s="65"/>
      <c r="L1008" s="162"/>
      <c r="O1008" s="164"/>
      <c r="P1008" s="65"/>
      <c r="Q1008" s="13"/>
      <c r="R1008" s="13"/>
      <c r="S1008" s="188"/>
      <c r="T1008" s="65"/>
      <c r="U1008" s="65"/>
      <c r="V1008" s="65"/>
      <c r="W1008" s="65"/>
      <c r="X1008" s="65"/>
      <c r="Y1008" s="65"/>
      <c r="Z1008" s="1"/>
      <c r="AA1008" s="1"/>
      <c r="AB1008" s="1"/>
      <c r="AC1008" s="1"/>
      <c r="AD1008" s="1"/>
      <c r="AE1008" s="1"/>
      <c r="AF1008" s="1"/>
      <c r="AG1008" s="1"/>
      <c r="AH1008" s="1"/>
    </row>
    <row r="1009" spans="1:34" ht="15.750000" customHeight="1">
      <c r="B1009" s="88"/>
      <c r="H1009" s="162"/>
      <c r="I1009" s="65"/>
      <c r="J1009" s="162"/>
      <c r="K1009" s="188"/>
      <c r="L1009" s="162"/>
      <c r="O1009" s="164"/>
      <c r="P1009" s="65"/>
      <c r="Q1009" s="13"/>
      <c r="R1009" s="13"/>
      <c r="S1009" s="188"/>
      <c r="T1009" s="65"/>
      <c r="U1009" s="65"/>
      <c r="V1009" s="65"/>
      <c r="W1009" s="65"/>
      <c r="X1009" s="65"/>
      <c r="Y1009" s="65"/>
      <c r="Z1009" s="1"/>
      <c r="AA1009" s="1"/>
      <c r="AB1009" s="1"/>
      <c r="AC1009" s="1"/>
      <c r="AD1009" s="1"/>
      <c r="AE1009" s="1"/>
      <c r="AF1009" s="1"/>
      <c r="AG1009" s="1"/>
      <c r="AH1009" s="1"/>
    </row>
    <row r="1010" spans="1:34" ht="15.750000" customHeight="1">
      <c r="B1010" s="88"/>
      <c r="H1010" s="162"/>
      <c r="I1010" s="65"/>
      <c r="J1010" s="162"/>
      <c r="K1010" s="188"/>
      <c r="L1010" s="162"/>
      <c r="O1010" s="164"/>
      <c r="P1010" s="65"/>
      <c r="Q1010" s="13"/>
      <c r="R1010" s="13"/>
      <c r="S1010" s="188"/>
      <c r="T1010" s="65"/>
      <c r="U1010" s="65"/>
      <c r="V1010" s="65"/>
      <c r="W1010" s="65"/>
      <c r="X1010" s="65"/>
      <c r="Y1010" s="65"/>
      <c r="Z1010" s="1"/>
      <c r="AA1010" s="1"/>
      <c r="AB1010" s="1"/>
      <c r="AC1010" s="1"/>
      <c r="AD1010" s="1"/>
      <c r="AE1010" s="1"/>
      <c r="AF1010" s="1"/>
      <c r="AG1010" s="1"/>
      <c r="AH1010" s="1"/>
    </row>
    <row r="1011" spans="1:34" ht="15.750000" customHeight="1">
      <c r="B1011" s="88"/>
      <c r="H1011" s="169"/>
      <c r="I1011" s="65"/>
      <c r="J1011" s="162"/>
      <c r="K1011" s="65"/>
      <c r="L1011" s="65"/>
      <c r="O1011" s="164"/>
      <c r="P1011" s="65"/>
      <c r="Q1011" s="65"/>
      <c r="R1011" s="65"/>
      <c r="S1011" s="65"/>
      <c r="T1011" s="65"/>
      <c r="U1011" s="65"/>
      <c r="V1011" s="65"/>
      <c r="W1011" s="65"/>
      <c r="X1011" s="65"/>
      <c r="Y1011" s="65"/>
      <c r="Z1011" s="1"/>
      <c r="AA1011" s="1"/>
      <c r="AB1011" s="1"/>
      <c r="AC1011" s="1"/>
      <c r="AD1011" s="1"/>
      <c r="AE1011" s="1"/>
      <c r="AF1011" s="1"/>
      <c r="AG1011" s="1"/>
      <c r="AH1011" s="1"/>
    </row>
    <row r="1012" spans="1:34" ht="15.750000" customHeight="1">
      <c r="A1012" s="156" t="s">
        <v>116</v>
      </c>
      <c r="B1012" s="88"/>
      <c r="C1012" s="279"/>
      <c r="D1012" s="177"/>
      <c r="E1012" s="158">
        <f>F1012*120%</f>
        <v>0</v>
      </c>
      <c r="F1012" s="158">
        <f>(D1012-C1012+1)*G1012</f>
        <v>0</v>
      </c>
      <c r="G1012" s="159">
        <f>M1012*40</f>
        <v>0</v>
      </c>
      <c r="H1012" s="162"/>
      <c r="I1012" s="65"/>
      <c r="J1012" s="162"/>
      <c r="K1012" s="65"/>
      <c r="L1012" s="162"/>
      <c r="M1012" s="162"/>
      <c r="N1012" s="163"/>
      <c r="O1012" s="164"/>
      <c r="P1012" s="65"/>
      <c r="Q1012" s="13"/>
      <c r="R1012" s="13"/>
      <c r="S1012" s="188"/>
      <c r="T1012" s="65"/>
      <c r="U1012" s="65"/>
      <c r="V1012" s="65"/>
      <c r="W1012" s="65"/>
      <c r="X1012" s="65"/>
      <c r="Y1012" s="65"/>
      <c r="Z1012" s="1"/>
      <c r="AA1012" s="1"/>
      <c r="AB1012" s="1"/>
      <c r="AC1012" s="1"/>
      <c r="AD1012" s="1"/>
      <c r="AE1012" s="1"/>
      <c r="AF1012" s="1"/>
      <c r="AG1012" s="1"/>
      <c r="AH1012" s="1"/>
    </row>
    <row r="1013" spans="1:34" ht="15.750000" customHeight="1">
      <c r="B1013" s="88"/>
      <c r="H1013" s="162"/>
      <c r="I1013" s="65"/>
      <c r="J1013" s="162"/>
      <c r="K1013" s="188"/>
      <c r="L1013" s="162"/>
      <c r="O1013" s="164"/>
      <c r="P1013" s="65"/>
      <c r="Q1013" s="13"/>
      <c r="R1013" s="13"/>
      <c r="S1013" s="188"/>
      <c r="T1013" s="65"/>
      <c r="U1013" s="65"/>
      <c r="V1013" s="65"/>
      <c r="W1013" s="65"/>
      <c r="X1013" s="65"/>
      <c r="Y1013" s="65"/>
      <c r="Z1013" s="1"/>
      <c r="AA1013" s="1"/>
      <c r="AB1013" s="1"/>
      <c r="AC1013" s="1"/>
      <c r="AD1013" s="1"/>
      <c r="AE1013" s="1"/>
      <c r="AF1013" s="1"/>
      <c r="AG1013" s="1"/>
      <c r="AH1013" s="1"/>
    </row>
    <row r="1014" spans="1:34" ht="15.750000" customHeight="1">
      <c r="B1014" s="88"/>
      <c r="H1014" s="162"/>
      <c r="I1014" s="65"/>
      <c r="J1014" s="162"/>
      <c r="K1014" s="188"/>
      <c r="L1014" s="162"/>
      <c r="O1014" s="164"/>
      <c r="P1014" s="65"/>
      <c r="Q1014" s="13"/>
      <c r="R1014" s="13"/>
      <c r="S1014" s="188"/>
      <c r="T1014" s="65"/>
      <c r="U1014" s="65"/>
      <c r="V1014" s="65"/>
      <c r="W1014" s="65"/>
      <c r="X1014" s="65"/>
      <c r="Y1014" s="65"/>
      <c r="Z1014" s="1"/>
      <c r="AA1014" s="1"/>
      <c r="AB1014" s="1"/>
      <c r="AC1014" s="1"/>
      <c r="AD1014" s="1"/>
      <c r="AE1014" s="1"/>
      <c r="AF1014" s="1"/>
      <c r="AG1014" s="1"/>
      <c r="AH1014" s="1"/>
    </row>
    <row r="1015" spans="1:34" ht="15.750000" customHeight="1">
      <c r="B1015" s="88"/>
      <c r="H1015" s="162"/>
      <c r="I1015" s="65"/>
      <c r="J1015" s="162"/>
      <c r="K1015" s="65"/>
      <c r="L1015" s="162"/>
      <c r="O1015" s="164"/>
      <c r="P1015" s="65"/>
      <c r="Q1015" s="13"/>
      <c r="R1015" s="13"/>
      <c r="S1015" s="188"/>
      <c r="T1015" s="65"/>
      <c r="U1015" s="65"/>
      <c r="V1015" s="65"/>
      <c r="W1015" s="65"/>
      <c r="X1015" s="65"/>
      <c r="Y1015" s="65"/>
      <c r="Z1015" s="1"/>
      <c r="AA1015" s="1"/>
      <c r="AB1015" s="1"/>
      <c r="AC1015" s="1"/>
      <c r="AD1015" s="1"/>
      <c r="AE1015" s="1"/>
      <c r="AF1015" s="1"/>
      <c r="AG1015" s="1"/>
      <c r="AH1015" s="1"/>
    </row>
    <row r="1016" spans="1:34" ht="15.750000" customHeight="1">
      <c r="B1016" s="88"/>
      <c r="H1016" s="220"/>
      <c r="I1016" s="65"/>
      <c r="J1016" s="162"/>
      <c r="K1016" s="65"/>
      <c r="L1016" s="162"/>
      <c r="O1016" s="164"/>
      <c r="P1016" s="65"/>
      <c r="Q1016" s="13"/>
      <c r="R1016" s="13"/>
      <c r="S1016" s="188"/>
      <c r="T1016" s="65"/>
      <c r="U1016" s="65"/>
      <c r="V1016" s="65"/>
      <c r="W1016" s="65"/>
      <c r="X1016" s="65"/>
      <c r="Y1016" s="65"/>
      <c r="Z1016" s="1"/>
      <c r="AA1016" s="1"/>
      <c r="AB1016" s="1"/>
      <c r="AC1016" s="1"/>
      <c r="AD1016" s="1"/>
      <c r="AE1016" s="1"/>
      <c r="AF1016" s="1"/>
      <c r="AG1016" s="1"/>
      <c r="AH1016" s="1"/>
    </row>
    <row r="1017" spans="1:34" ht="15.750000" customHeight="1">
      <c r="A1017" s="156" t="s">
        <v>116</v>
      </c>
      <c r="B1017" s="88"/>
      <c r="C1017" s="279"/>
      <c r="D1017" s="177"/>
      <c r="E1017" s="158">
        <f>F1017*120%</f>
        <v>0</v>
      </c>
      <c r="F1017" s="158">
        <f>(D1017-C1017+1)*G1017</f>
        <v>0</v>
      </c>
      <c r="G1017" s="159">
        <f>M1017*40</f>
        <v>0</v>
      </c>
      <c r="H1017" s="162"/>
      <c r="I1017" s="65"/>
      <c r="J1017" s="162"/>
      <c r="K1017" s="65"/>
      <c r="L1017" s="162"/>
      <c r="M1017" s="162"/>
      <c r="N1017" s="163"/>
      <c r="O1017" s="164"/>
      <c r="P1017" s="65"/>
      <c r="Q1017" s="13"/>
      <c r="R1017" s="13"/>
      <c r="S1017" s="188"/>
      <c r="T1017" s="65"/>
      <c r="U1017" s="65"/>
      <c r="V1017" s="65"/>
      <c r="W1017" s="65"/>
      <c r="X1017" s="65"/>
      <c r="Y1017" s="65"/>
      <c r="Z1017" s="1"/>
      <c r="AA1017" s="1"/>
      <c r="AB1017" s="1"/>
      <c r="AC1017" s="1"/>
      <c r="AD1017" s="1"/>
      <c r="AE1017" s="1"/>
      <c r="AF1017" s="1"/>
      <c r="AG1017" s="1"/>
      <c r="AH1017" s="1"/>
    </row>
    <row r="1018" spans="1:34" ht="15.750000" customHeight="1">
      <c r="B1018" s="88"/>
      <c r="H1018" s="162"/>
      <c r="I1018" s="65"/>
      <c r="J1018" s="162"/>
      <c r="K1018" s="188"/>
      <c r="L1018" s="162"/>
      <c r="O1018" s="164"/>
      <c r="P1018" s="65"/>
      <c r="Q1018" s="13"/>
      <c r="R1018" s="13"/>
      <c r="S1018" s="188"/>
      <c r="T1018" s="65"/>
      <c r="U1018" s="65"/>
      <c r="V1018" s="65"/>
      <c r="W1018" s="65"/>
      <c r="X1018" s="65"/>
      <c r="Y1018" s="65"/>
      <c r="Z1018" s="1"/>
      <c r="AA1018" s="1"/>
      <c r="AB1018" s="1"/>
      <c r="AC1018" s="1"/>
      <c r="AD1018" s="1"/>
      <c r="AE1018" s="1"/>
      <c r="AF1018" s="1"/>
      <c r="AG1018" s="1"/>
      <c r="AH1018" s="1"/>
    </row>
    <row r="1019" spans="1:34" ht="15.750000" customHeight="1">
      <c r="B1019" s="88"/>
      <c r="H1019" s="162"/>
      <c r="I1019" s="65"/>
      <c r="J1019" s="162"/>
      <c r="K1019" s="188"/>
      <c r="L1019" s="162"/>
      <c r="O1019" s="164"/>
      <c r="P1019" s="65"/>
      <c r="Q1019" s="13"/>
      <c r="R1019" s="13"/>
      <c r="S1019" s="188"/>
      <c r="T1019" s="65"/>
      <c r="U1019" s="65"/>
      <c r="V1019" s="65"/>
      <c r="W1019" s="65"/>
      <c r="X1019" s="65"/>
      <c r="Y1019" s="65"/>
      <c r="Z1019" s="1"/>
      <c r="AA1019" s="1"/>
      <c r="AB1019" s="1"/>
      <c r="AC1019" s="1"/>
      <c r="AD1019" s="1"/>
      <c r="AE1019" s="1"/>
      <c r="AF1019" s="1"/>
      <c r="AG1019" s="1"/>
      <c r="AH1019" s="1"/>
    </row>
    <row r="1020" spans="1:34" ht="15.750000" customHeight="1">
      <c r="B1020" s="1"/>
      <c r="H1020" s="65"/>
      <c r="I1020" s="65"/>
      <c r="J1020" s="162"/>
      <c r="K1020" s="65"/>
      <c r="L1020" s="65"/>
      <c r="O1020" s="164"/>
      <c r="P1020" s="65"/>
      <c r="Q1020" s="65"/>
      <c r="R1020" s="65"/>
      <c r="S1020" s="65"/>
      <c r="T1020" s="65"/>
      <c r="U1020" s="65"/>
      <c r="V1020" s="65"/>
      <c r="W1020" s="65"/>
      <c r="X1020" s="65"/>
      <c r="Y1020" s="65"/>
      <c r="Z1020" s="1"/>
      <c r="AA1020" s="1"/>
      <c r="AB1020" s="1"/>
      <c r="AC1020" s="1"/>
      <c r="AD1020" s="1"/>
      <c r="AE1020" s="1"/>
      <c r="AF1020" s="1"/>
      <c r="AG1020" s="1"/>
      <c r="AH1020" s="1"/>
    </row>
    <row r="1021" spans="1:34" ht="15.750000" customHeight="1">
      <c r="B1021" s="1"/>
      <c r="H1021" s="169"/>
      <c r="I1021" s="65"/>
      <c r="J1021" s="162"/>
      <c r="K1021" s="65"/>
      <c r="L1021" s="65"/>
      <c r="O1021" s="164"/>
      <c r="P1021" s="65"/>
      <c r="Q1021" s="65"/>
      <c r="R1021" s="65"/>
      <c r="S1021" s="65"/>
      <c r="T1021" s="65"/>
      <c r="U1021" s="65"/>
      <c r="V1021" s="65"/>
      <c r="W1021" s="65"/>
      <c r="X1021" s="65"/>
      <c r="Y1021" s="65"/>
      <c r="Z1021" s="1"/>
      <c r="AA1021" s="1"/>
      <c r="AB1021" s="1"/>
      <c r="AC1021" s="1"/>
      <c r="AD1021" s="1"/>
      <c r="AE1021" s="1"/>
      <c r="AF1021" s="1"/>
      <c r="AG1021" s="1"/>
      <c r="AH1021" s="1"/>
    </row>
    <row r="1022" spans="1:34" ht="15.750000" customHeight="1">
      <c r="A1022" s="156" t="s">
        <v>116</v>
      </c>
      <c r="B1022" s="88"/>
      <c r="C1022" s="177"/>
      <c r="D1022" s="177"/>
      <c r="E1022" s="158">
        <f>F1022*120%</f>
        <v>0</v>
      </c>
      <c r="F1022" s="158">
        <f>(D1022-C1022+1)*G1022</f>
        <v>0</v>
      </c>
      <c r="G1022" s="159">
        <f>M1022*40</f>
        <v>0</v>
      </c>
      <c r="H1022" s="162"/>
      <c r="I1022" s="65"/>
      <c r="J1022" s="162"/>
      <c r="K1022" s="65"/>
      <c r="L1022" s="162"/>
      <c r="M1022" s="162"/>
      <c r="N1022" s="163"/>
      <c r="O1022" s="164"/>
      <c r="P1022" s="65"/>
      <c r="Q1022" s="13"/>
      <c r="R1022" s="13"/>
      <c r="S1022" s="65"/>
      <c r="T1022" s="65"/>
      <c r="U1022" s="13"/>
      <c r="V1022" s="165"/>
      <c r="W1022" s="165"/>
      <c r="X1022" s="165"/>
      <c r="Y1022" s="165"/>
      <c r="Z1022" s="166"/>
      <c r="AA1022" s="166"/>
      <c r="AB1022" s="166"/>
      <c r="AC1022" s="166"/>
      <c r="AD1022" s="166"/>
      <c r="AE1022" s="166"/>
      <c r="AF1022" s="166"/>
      <c r="AG1022" s="166"/>
      <c r="AH1022" s="166"/>
    </row>
    <row r="1023" spans="1:34" ht="15.750000" customHeight="1">
      <c r="B1023" s="88"/>
      <c r="H1023" s="65"/>
      <c r="I1023" s="65"/>
      <c r="J1023" s="65"/>
      <c r="K1023" s="65"/>
      <c r="L1023" s="65"/>
      <c r="O1023" s="164"/>
      <c r="P1023" s="65"/>
      <c r="Q1023" s="13"/>
      <c r="R1023" s="13"/>
      <c r="S1023" s="65"/>
      <c r="T1023" s="13"/>
      <c r="U1023" s="13"/>
      <c r="V1023" s="165"/>
      <c r="W1023" s="165"/>
      <c r="X1023" s="165"/>
      <c r="Y1023" s="165"/>
      <c r="Z1023" s="166"/>
      <c r="AA1023" s="166"/>
      <c r="AB1023" s="166"/>
      <c r="AC1023" s="166"/>
      <c r="AD1023" s="166"/>
      <c r="AE1023" s="166"/>
      <c r="AF1023" s="166"/>
      <c r="AG1023" s="166"/>
      <c r="AH1023" s="166"/>
    </row>
    <row r="1024" spans="1:34" ht="15.750000" customHeight="1">
      <c r="B1024" s="166"/>
      <c r="H1024" s="65"/>
      <c r="I1024" s="65"/>
      <c r="J1024" s="65"/>
      <c r="K1024" s="65"/>
      <c r="L1024" s="65"/>
      <c r="O1024" s="164"/>
      <c r="P1024" s="65"/>
      <c r="Q1024" s="13"/>
      <c r="R1024" s="13"/>
      <c r="S1024" s="65"/>
      <c r="T1024" s="13"/>
      <c r="U1024" s="13"/>
      <c r="V1024" s="165"/>
      <c r="W1024" s="165"/>
      <c r="X1024" s="165"/>
      <c r="Y1024" s="165"/>
      <c r="Z1024" s="166"/>
      <c r="AA1024" s="166"/>
      <c r="AB1024" s="166"/>
      <c r="AC1024" s="166"/>
      <c r="AD1024" s="166"/>
      <c r="AE1024" s="166"/>
      <c r="AF1024" s="166"/>
      <c r="AG1024" s="166"/>
      <c r="AH1024" s="166"/>
    </row>
    <row r="1025" spans="1:34" ht="15.750000" customHeight="1">
      <c r="B1025" s="166"/>
      <c r="H1025" s="65"/>
      <c r="I1025" s="65"/>
      <c r="J1025" s="65"/>
      <c r="K1025" s="65"/>
      <c r="L1025" s="65"/>
      <c r="O1025" s="164"/>
      <c r="P1025" s="65"/>
      <c r="Q1025" s="13"/>
      <c r="R1025" s="13"/>
      <c r="S1025" s="65"/>
      <c r="T1025" s="13"/>
      <c r="U1025" s="13"/>
      <c r="V1025" s="165"/>
      <c r="W1025" s="165"/>
      <c r="X1025" s="165"/>
      <c r="Y1025" s="165"/>
      <c r="Z1025" s="166"/>
      <c r="AA1025" s="166"/>
      <c r="AB1025" s="166"/>
      <c r="AC1025" s="166"/>
      <c r="AD1025" s="166"/>
      <c r="AE1025" s="166"/>
      <c r="AF1025" s="166"/>
      <c r="AG1025" s="166"/>
      <c r="AH1025" s="166"/>
    </row>
    <row r="1026" spans="1:34" ht="15.750000" customHeight="1">
      <c r="B1026" s="166"/>
      <c r="H1026" s="169"/>
      <c r="I1026" s="65"/>
      <c r="J1026" s="65"/>
      <c r="K1026" s="65"/>
      <c r="L1026" s="65"/>
      <c r="O1026" s="164"/>
      <c r="P1026" s="65"/>
      <c r="Q1026" s="13"/>
      <c r="R1026" s="13"/>
      <c r="S1026" s="65"/>
      <c r="T1026" s="13"/>
      <c r="U1026" s="13"/>
      <c r="V1026" s="165"/>
      <c r="W1026" s="165"/>
      <c r="X1026" s="165"/>
      <c r="Y1026" s="165"/>
      <c r="Z1026" s="166"/>
      <c r="AA1026" s="166"/>
      <c r="AB1026" s="166"/>
      <c r="AC1026" s="166"/>
      <c r="AD1026" s="166"/>
      <c r="AE1026" s="166"/>
      <c r="AF1026" s="166"/>
      <c r="AG1026" s="166"/>
      <c r="AH1026" s="166"/>
    </row>
    <row r="1027" spans="1:34" ht="15.750000" customHeight="1">
      <c r="A1027" s="156" t="s">
        <v>116</v>
      </c>
      <c r="B1027" s="88"/>
      <c r="C1027" s="177"/>
      <c r="D1027" s="177"/>
      <c r="E1027" s="158">
        <f>F1027*120%</f>
        <v>0</v>
      </c>
      <c r="F1027" s="158">
        <f>(D1027-C1027+1)*G1027</f>
        <v>0</v>
      </c>
      <c r="G1027" s="159">
        <f>M1027*40</f>
        <v>0</v>
      </c>
      <c r="H1027" s="162"/>
      <c r="I1027" s="65"/>
      <c r="J1027" s="162"/>
      <c r="K1027" s="65"/>
      <c r="L1027" s="162"/>
      <c r="M1027" s="162"/>
      <c r="N1027" s="163"/>
      <c r="O1027" s="164"/>
      <c r="P1027" s="65"/>
      <c r="Q1027" s="13"/>
      <c r="R1027" s="13"/>
      <c r="S1027" s="65"/>
      <c r="T1027" s="65"/>
      <c r="U1027" s="13"/>
      <c r="V1027" s="165"/>
      <c r="W1027" s="165"/>
      <c r="X1027" s="165"/>
      <c r="Y1027" s="165"/>
      <c r="Z1027" s="166"/>
      <c r="AA1027" s="166"/>
      <c r="AB1027" s="166"/>
      <c r="AC1027" s="166"/>
      <c r="AD1027" s="166"/>
      <c r="AE1027" s="166"/>
      <c r="AF1027" s="166"/>
      <c r="AG1027" s="166"/>
      <c r="AH1027" s="166"/>
    </row>
    <row r="1028" spans="1:34" ht="15.750000" customHeight="1">
      <c r="B1028" s="88"/>
      <c r="H1028" s="65"/>
      <c r="I1028" s="65"/>
      <c r="J1028" s="65"/>
      <c r="K1028" s="65"/>
      <c r="L1028" s="65"/>
      <c r="O1028" s="164"/>
      <c r="P1028" s="65"/>
      <c r="Q1028" s="13"/>
      <c r="R1028" s="13"/>
      <c r="S1028" s="65"/>
      <c r="T1028" s="13"/>
      <c r="U1028" s="13"/>
      <c r="V1028" s="165"/>
      <c r="W1028" s="165"/>
      <c r="X1028" s="165"/>
      <c r="Y1028" s="165"/>
      <c r="Z1028" s="166"/>
      <c r="AA1028" s="166"/>
      <c r="AB1028" s="166"/>
      <c r="AC1028" s="166"/>
      <c r="AD1028" s="166"/>
      <c r="AE1028" s="166"/>
      <c r="AF1028" s="166"/>
      <c r="AG1028" s="166"/>
      <c r="AH1028" s="166"/>
    </row>
    <row r="1029" spans="1:34" ht="15.750000" customHeight="1">
      <c r="B1029" s="166"/>
      <c r="H1029" s="65"/>
      <c r="I1029" s="65"/>
      <c r="J1029" s="65"/>
      <c r="K1029" s="65"/>
      <c r="L1029" s="65"/>
      <c r="O1029" s="164"/>
      <c r="P1029" s="65"/>
      <c r="Q1029" s="13"/>
      <c r="R1029" s="13"/>
      <c r="S1029" s="65"/>
      <c r="T1029" s="13"/>
      <c r="U1029" s="13"/>
      <c r="V1029" s="165"/>
      <c r="W1029" s="165"/>
      <c r="X1029" s="165"/>
      <c r="Y1029" s="165"/>
      <c r="Z1029" s="166"/>
      <c r="AA1029" s="166"/>
      <c r="AB1029" s="166"/>
      <c r="AC1029" s="166"/>
      <c r="AD1029" s="166"/>
      <c r="AE1029" s="166"/>
      <c r="AF1029" s="166"/>
      <c r="AG1029" s="166"/>
      <c r="AH1029" s="166"/>
    </row>
    <row r="1030" spans="1:34" ht="15.750000" customHeight="1">
      <c r="B1030" s="166"/>
      <c r="H1030" s="65"/>
      <c r="I1030" s="65"/>
      <c r="J1030" s="65"/>
      <c r="K1030" s="65"/>
      <c r="L1030" s="65"/>
      <c r="O1030" s="164"/>
      <c r="P1030" s="65"/>
      <c r="Q1030" s="13"/>
      <c r="R1030" s="13"/>
      <c r="S1030" s="65"/>
      <c r="T1030" s="13"/>
      <c r="U1030" s="13"/>
      <c r="V1030" s="165"/>
      <c r="W1030" s="165"/>
      <c r="X1030" s="165"/>
      <c r="Y1030" s="165"/>
      <c r="Z1030" s="166"/>
      <c r="AA1030" s="166"/>
      <c r="AB1030" s="166"/>
      <c r="AC1030" s="166"/>
      <c r="AD1030" s="166"/>
      <c r="AE1030" s="166"/>
      <c r="AF1030" s="166"/>
      <c r="AG1030" s="166"/>
      <c r="AH1030" s="166"/>
    </row>
    <row r="1031" spans="1:34" ht="15.750000" customHeight="1">
      <c r="B1031" s="166"/>
      <c r="H1031" s="169"/>
      <c r="I1031" s="65"/>
      <c r="J1031" s="65"/>
      <c r="K1031" s="65"/>
      <c r="L1031" s="65"/>
      <c r="O1031" s="164"/>
      <c r="P1031" s="65"/>
      <c r="Q1031" s="13"/>
      <c r="R1031" s="13"/>
      <c r="S1031" s="65"/>
      <c r="T1031" s="13"/>
      <c r="U1031" s="13"/>
      <c r="V1031" s="165"/>
      <c r="W1031" s="165"/>
      <c r="X1031" s="165"/>
      <c r="Y1031" s="165"/>
      <c r="Z1031" s="166"/>
      <c r="AA1031" s="166"/>
      <c r="AB1031" s="166"/>
      <c r="AC1031" s="166"/>
      <c r="AD1031" s="166"/>
      <c r="AE1031" s="166"/>
      <c r="AF1031" s="166"/>
      <c r="AG1031" s="166"/>
      <c r="AH1031" s="166"/>
    </row>
    <row r="1032" spans="1:34" ht="15.750000" customHeight="1">
      <c r="A1032" s="156" t="s">
        <v>116</v>
      </c>
      <c r="B1032" s="88"/>
      <c r="C1032" s="177"/>
      <c r="D1032" s="177"/>
      <c r="E1032" s="158">
        <f>F1032*120%</f>
        <v>0</v>
      </c>
      <c r="F1032" s="158">
        <f>(D1032-C1032+1)*G1032</f>
        <v>0</v>
      </c>
      <c r="G1032" s="159">
        <f>M1032*40</f>
        <v>0</v>
      </c>
      <c r="H1032" s="162"/>
      <c r="I1032" s="65"/>
      <c r="J1032" s="162"/>
      <c r="K1032" s="65"/>
      <c r="L1032" s="162"/>
      <c r="M1032" s="162"/>
      <c r="N1032" s="163"/>
      <c r="O1032" s="164"/>
      <c r="P1032" s="65"/>
      <c r="Q1032" s="13"/>
      <c r="R1032" s="13"/>
      <c r="S1032" s="65"/>
      <c r="T1032" s="65"/>
      <c r="U1032" s="13"/>
      <c r="V1032" s="165"/>
      <c r="W1032" s="165"/>
      <c r="X1032" s="165"/>
      <c r="Y1032" s="165"/>
      <c r="Z1032" s="166"/>
      <c r="AA1032" s="166"/>
      <c r="AB1032" s="166"/>
      <c r="AC1032" s="166"/>
      <c r="AD1032" s="166"/>
      <c r="AE1032" s="166"/>
      <c r="AF1032" s="166"/>
      <c r="AG1032" s="166"/>
      <c r="AH1032" s="166"/>
    </row>
    <row r="1033" spans="1:34" ht="15.750000" customHeight="1">
      <c r="B1033" s="88"/>
      <c r="H1033" s="162"/>
      <c r="I1033" s="65"/>
      <c r="J1033" s="162"/>
      <c r="K1033" s="188"/>
      <c r="L1033" s="162"/>
      <c r="O1033" s="164"/>
      <c r="P1033" s="65"/>
      <c r="Q1033" s="13"/>
      <c r="R1033" s="13"/>
      <c r="S1033" s="65"/>
      <c r="T1033" s="65"/>
      <c r="U1033" s="13"/>
      <c r="V1033" s="165"/>
      <c r="W1033" s="165"/>
      <c r="X1033" s="165"/>
      <c r="Y1033" s="165"/>
      <c r="Z1033" s="166"/>
      <c r="AA1033" s="166"/>
      <c r="AB1033" s="166"/>
      <c r="AC1033" s="166"/>
      <c r="AD1033" s="166"/>
      <c r="AE1033" s="166"/>
      <c r="AF1033" s="166"/>
      <c r="AG1033" s="166"/>
      <c r="AH1033" s="166"/>
    </row>
    <row r="1034" spans="1:34" ht="15.750000" customHeight="1">
      <c r="B1034" s="88"/>
      <c r="H1034" s="162"/>
      <c r="I1034" s="65"/>
      <c r="J1034" s="162"/>
      <c r="K1034" s="188"/>
      <c r="L1034" s="162"/>
      <c r="O1034" s="164"/>
      <c r="P1034" s="65"/>
      <c r="Q1034" s="13"/>
      <c r="R1034" s="13"/>
      <c r="S1034" s="65"/>
      <c r="T1034" s="65"/>
      <c r="U1034" s="13"/>
      <c r="V1034" s="165"/>
      <c r="W1034" s="165"/>
      <c r="X1034" s="165"/>
      <c r="Y1034" s="165"/>
      <c r="Z1034" s="166"/>
      <c r="AA1034" s="166"/>
      <c r="AB1034" s="166"/>
      <c r="AC1034" s="166"/>
      <c r="AD1034" s="166"/>
      <c r="AE1034" s="166"/>
      <c r="AF1034" s="166"/>
      <c r="AG1034" s="166"/>
      <c r="AH1034" s="166"/>
    </row>
    <row r="1035" spans="1:34" ht="15.750000" customHeight="1">
      <c r="B1035" s="166"/>
      <c r="H1035" s="65"/>
      <c r="I1035" s="65"/>
      <c r="J1035" s="65"/>
      <c r="K1035" s="65"/>
      <c r="L1035" s="65"/>
      <c r="O1035" s="164"/>
      <c r="P1035" s="65"/>
      <c r="Q1035" s="13"/>
      <c r="R1035" s="13"/>
      <c r="S1035" s="65"/>
      <c r="T1035" s="13"/>
      <c r="U1035" s="13"/>
      <c r="V1035" s="165"/>
      <c r="W1035" s="165"/>
      <c r="X1035" s="165"/>
      <c r="Y1035" s="165"/>
      <c r="Z1035" s="166"/>
      <c r="AA1035" s="166"/>
      <c r="AB1035" s="166"/>
      <c r="AC1035" s="166"/>
      <c r="AD1035" s="166"/>
      <c r="AE1035" s="166"/>
      <c r="AF1035" s="166"/>
      <c r="AG1035" s="166"/>
      <c r="AH1035" s="166"/>
    </row>
    <row r="1036" spans="1:34" ht="15.750000" customHeight="1">
      <c r="B1036" s="166"/>
      <c r="H1036" s="169"/>
      <c r="I1036" s="65"/>
      <c r="J1036" s="65"/>
      <c r="K1036" s="65"/>
      <c r="L1036" s="65"/>
      <c r="O1036" s="164"/>
      <c r="P1036" s="65"/>
      <c r="Q1036" s="13"/>
      <c r="R1036" s="13"/>
      <c r="S1036" s="65"/>
      <c r="T1036" s="13"/>
      <c r="U1036" s="13"/>
      <c r="V1036" s="165"/>
      <c r="W1036" s="165"/>
      <c r="X1036" s="165"/>
      <c r="Y1036" s="165"/>
      <c r="Z1036" s="166"/>
      <c r="AA1036" s="166"/>
      <c r="AB1036" s="166"/>
      <c r="AC1036" s="166"/>
      <c r="AD1036" s="166"/>
      <c r="AE1036" s="166"/>
      <c r="AF1036" s="166"/>
      <c r="AG1036" s="166"/>
      <c r="AH1036" s="166"/>
    </row>
    <row r="1037" spans="1:34" ht="15.750000" customHeight="1">
      <c r="A1037" s="156" t="s">
        <v>116</v>
      </c>
      <c r="B1037" s="88"/>
      <c r="C1037" s="177"/>
      <c r="D1037" s="177"/>
      <c r="E1037" s="158">
        <f>F1037*120%</f>
        <v>0</v>
      </c>
      <c r="F1037" s="158">
        <f>(D1037-C1037+1)*G1037</f>
        <v>0</v>
      </c>
      <c r="G1037" s="159">
        <f>M1037*40</f>
        <v>0</v>
      </c>
      <c r="H1037" s="162"/>
      <c r="I1037" s="65"/>
      <c r="J1037" s="162"/>
      <c r="K1037" s="65"/>
      <c r="L1037" s="162"/>
      <c r="M1037" s="162"/>
      <c r="N1037" s="163"/>
      <c r="O1037" s="164"/>
      <c r="P1037" s="65"/>
      <c r="Q1037" s="13"/>
      <c r="R1037" s="13"/>
      <c r="S1037" s="65"/>
      <c r="T1037" s="65"/>
      <c r="U1037" s="13"/>
      <c r="V1037" s="165"/>
      <c r="W1037" s="165"/>
      <c r="X1037" s="165"/>
      <c r="Y1037" s="165"/>
      <c r="Z1037" s="166"/>
      <c r="AA1037" s="166"/>
      <c r="AB1037" s="166"/>
      <c r="AC1037" s="166"/>
      <c r="AD1037" s="166"/>
      <c r="AE1037" s="166"/>
      <c r="AF1037" s="166"/>
      <c r="AG1037" s="166"/>
      <c r="AH1037" s="166"/>
    </row>
    <row r="1038" spans="1:34" ht="15.750000" customHeight="1">
      <c r="B1038" s="88"/>
      <c r="H1038" s="65"/>
      <c r="I1038" s="65"/>
      <c r="J1038" s="65"/>
      <c r="K1038" s="65"/>
      <c r="L1038" s="65"/>
      <c r="O1038" s="164"/>
      <c r="P1038" s="65"/>
      <c r="Q1038" s="13"/>
      <c r="R1038" s="13"/>
      <c r="S1038" s="65"/>
      <c r="T1038" s="13"/>
      <c r="U1038" s="13"/>
      <c r="V1038" s="165"/>
      <c r="W1038" s="165"/>
      <c r="X1038" s="165"/>
      <c r="Y1038" s="165"/>
      <c r="Z1038" s="166"/>
      <c r="AA1038" s="166"/>
      <c r="AB1038" s="166"/>
      <c r="AC1038" s="166"/>
      <c r="AD1038" s="166"/>
      <c r="AE1038" s="166"/>
      <c r="AF1038" s="166"/>
      <c r="AG1038" s="166"/>
      <c r="AH1038" s="166"/>
    </row>
    <row r="1039" spans="1:34" ht="15.750000" customHeight="1">
      <c r="B1039" s="166"/>
      <c r="H1039" s="65"/>
      <c r="I1039" s="65"/>
      <c r="J1039" s="65"/>
      <c r="K1039" s="65"/>
      <c r="L1039" s="65"/>
      <c r="O1039" s="164"/>
      <c r="P1039" s="65"/>
      <c r="Q1039" s="13"/>
      <c r="R1039" s="13"/>
      <c r="S1039" s="65"/>
      <c r="T1039" s="13"/>
      <c r="U1039" s="13"/>
      <c r="V1039" s="165"/>
      <c r="W1039" s="165"/>
      <c r="X1039" s="165"/>
      <c r="Y1039" s="165"/>
      <c r="Z1039" s="166"/>
      <c r="AA1039" s="166"/>
      <c r="AB1039" s="166"/>
      <c r="AC1039" s="166"/>
      <c r="AD1039" s="166"/>
      <c r="AE1039" s="166"/>
      <c r="AF1039" s="166"/>
      <c r="AG1039" s="166"/>
      <c r="AH1039" s="166"/>
    </row>
    <row r="1040" spans="1:34" ht="15.750000" customHeight="1">
      <c r="B1040" s="166"/>
      <c r="H1040" s="65"/>
      <c r="I1040" s="65"/>
      <c r="J1040" s="65"/>
      <c r="K1040" s="65"/>
      <c r="L1040" s="65"/>
      <c r="O1040" s="164"/>
      <c r="P1040" s="65"/>
      <c r="Q1040" s="13"/>
      <c r="R1040" s="13"/>
      <c r="S1040" s="65"/>
      <c r="T1040" s="13"/>
      <c r="U1040" s="13"/>
      <c r="V1040" s="165"/>
      <c r="W1040" s="165"/>
      <c r="X1040" s="165"/>
      <c r="Y1040" s="165"/>
      <c r="Z1040" s="166"/>
      <c r="AA1040" s="166"/>
      <c r="AB1040" s="166"/>
      <c r="AC1040" s="166"/>
      <c r="AD1040" s="166"/>
      <c r="AE1040" s="166"/>
      <c r="AF1040" s="166"/>
      <c r="AG1040" s="166"/>
      <c r="AH1040" s="166"/>
    </row>
    <row r="1041" spans="1:34" ht="15.750000" customHeight="1">
      <c r="B1041" s="166"/>
      <c r="H1041" s="169"/>
      <c r="I1041" s="65"/>
      <c r="J1041" s="65"/>
      <c r="K1041" s="65"/>
      <c r="L1041" s="65"/>
      <c r="O1041" s="164"/>
      <c r="P1041" s="65"/>
      <c r="Q1041" s="13"/>
      <c r="R1041" s="13"/>
      <c r="S1041" s="65"/>
      <c r="T1041" s="13"/>
      <c r="U1041" s="13"/>
      <c r="V1041" s="165"/>
      <c r="W1041" s="165"/>
      <c r="X1041" s="165"/>
      <c r="Y1041" s="165"/>
      <c r="Z1041" s="166"/>
      <c r="AA1041" s="166"/>
      <c r="AB1041" s="166"/>
      <c r="AC1041" s="166"/>
      <c r="AD1041" s="166"/>
      <c r="AE1041" s="166"/>
      <c r="AF1041" s="166"/>
      <c r="AG1041" s="166"/>
      <c r="AH1041" s="166"/>
    </row>
    <row r="1042" spans="1:34" ht="15.750000" customHeight="1">
      <c r="A1042" s="156" t="s">
        <v>116</v>
      </c>
      <c r="B1042" s="88"/>
      <c r="C1042" s="177"/>
      <c r="D1042" s="177"/>
      <c r="E1042" s="158">
        <f>F1042*120%</f>
        <v>0</v>
      </c>
      <c r="F1042" s="158">
        <f>(D1042-C1042+1)*G1042</f>
        <v>0</v>
      </c>
      <c r="G1042" s="159">
        <f>M1042*40</f>
        <v>0</v>
      </c>
      <c r="H1042" s="162"/>
      <c r="I1042" s="65"/>
      <c r="J1042" s="162"/>
      <c r="K1042" s="65"/>
      <c r="L1042" s="162"/>
      <c r="M1042" s="162"/>
      <c r="N1042" s="163"/>
      <c r="O1042" s="164"/>
      <c r="P1042" s="65"/>
      <c r="Q1042" s="13"/>
      <c r="R1042" s="13"/>
      <c r="S1042" s="65"/>
      <c r="T1042" s="65"/>
      <c r="U1042" s="65"/>
      <c r="V1042" s="65"/>
      <c r="W1042" s="65"/>
      <c r="X1042" s="65"/>
      <c r="Y1042" s="65"/>
      <c r="Z1042" s="1"/>
      <c r="AA1042" s="1"/>
      <c r="AB1042" s="1"/>
      <c r="AC1042" s="1"/>
      <c r="AD1042" s="1"/>
      <c r="AE1042" s="1"/>
      <c r="AF1042" s="1"/>
      <c r="AG1042" s="1"/>
      <c r="AH1042" s="1"/>
    </row>
    <row r="1043" spans="1:34" ht="15.750000" customHeight="1">
      <c r="B1043" s="1"/>
      <c r="H1043" s="65"/>
      <c r="I1043" s="65"/>
      <c r="J1043" s="65"/>
      <c r="K1043" s="65"/>
      <c r="L1043" s="65"/>
      <c r="O1043" s="164"/>
      <c r="P1043" s="65"/>
      <c r="Q1043" s="65"/>
      <c r="R1043" s="65"/>
      <c r="S1043" s="65"/>
      <c r="T1043" s="65"/>
      <c r="U1043" s="65"/>
      <c r="V1043" s="65"/>
      <c r="W1043" s="65"/>
      <c r="X1043" s="65"/>
      <c r="Y1043" s="65"/>
      <c r="Z1043" s="1"/>
      <c r="AA1043" s="1"/>
      <c r="AB1043" s="1"/>
      <c r="AC1043" s="1"/>
      <c r="AD1043" s="1"/>
      <c r="AE1043" s="1"/>
      <c r="AF1043" s="1"/>
      <c r="AG1043" s="1"/>
      <c r="AH1043" s="1"/>
    </row>
    <row r="1044" spans="1:34" ht="15.750000" customHeight="1">
      <c r="B1044" s="1"/>
      <c r="H1044" s="65"/>
      <c r="I1044" s="65"/>
      <c r="J1044" s="65"/>
      <c r="K1044" s="65"/>
      <c r="L1044" s="65"/>
      <c r="O1044" s="164"/>
      <c r="P1044" s="65"/>
      <c r="Q1044" s="65"/>
      <c r="R1044" s="65"/>
      <c r="S1044" s="65"/>
      <c r="T1044" s="65"/>
      <c r="U1044" s="65"/>
      <c r="V1044" s="65"/>
      <c r="W1044" s="65"/>
      <c r="X1044" s="65"/>
      <c r="Y1044" s="65"/>
      <c r="Z1044" s="1"/>
      <c r="AA1044" s="1"/>
      <c r="AB1044" s="1"/>
      <c r="AC1044" s="1"/>
      <c r="AD1044" s="1"/>
      <c r="AE1044" s="1"/>
      <c r="AF1044" s="1"/>
      <c r="AG1044" s="1"/>
      <c r="AH1044" s="1"/>
    </row>
    <row r="1045" spans="1:34" ht="15.750000" customHeight="1">
      <c r="B1045" s="1"/>
      <c r="H1045" s="65"/>
      <c r="I1045" s="65"/>
      <c r="J1045" s="65"/>
      <c r="K1045" s="65"/>
      <c r="L1045" s="65"/>
      <c r="O1045" s="164"/>
      <c r="P1045" s="65"/>
      <c r="Q1045" s="65"/>
      <c r="R1045" s="65"/>
      <c r="S1045" s="65"/>
      <c r="T1045" s="65"/>
      <c r="U1045" s="65"/>
      <c r="V1045" s="65"/>
      <c r="W1045" s="65"/>
      <c r="X1045" s="65"/>
      <c r="Y1045" s="65"/>
      <c r="Z1045" s="1"/>
      <c r="AA1045" s="1"/>
      <c r="AB1045" s="1"/>
      <c r="AC1045" s="1"/>
      <c r="AD1045" s="1"/>
      <c r="AE1045" s="1"/>
      <c r="AF1045" s="1"/>
      <c r="AG1045" s="1"/>
      <c r="AH1045" s="1"/>
    </row>
    <row r="1046" spans="1:34" ht="15.750000" customHeight="1">
      <c r="B1046" s="1"/>
      <c r="H1046" s="169"/>
      <c r="I1046" s="65"/>
      <c r="J1046" s="65"/>
      <c r="K1046" s="65"/>
      <c r="L1046" s="65"/>
      <c r="O1046" s="164"/>
      <c r="P1046" s="65"/>
      <c r="Q1046" s="65"/>
      <c r="R1046" s="65"/>
      <c r="S1046" s="65"/>
      <c r="T1046" s="65"/>
      <c r="U1046" s="65"/>
      <c r="V1046" s="65"/>
      <c r="W1046" s="65"/>
      <c r="X1046" s="65"/>
      <c r="Y1046" s="65"/>
      <c r="Z1046" s="1"/>
      <c r="AA1046" s="1"/>
      <c r="AB1046" s="1"/>
      <c r="AC1046" s="1"/>
      <c r="AD1046" s="1"/>
      <c r="AE1046" s="1"/>
      <c r="AF1046" s="1"/>
      <c r="AG1046" s="1"/>
      <c r="AH1046" s="1"/>
    </row>
    <row r="1047" spans="1:34" ht="15.750000" customHeight="1">
      <c r="A1047" s="156" t="s">
        <v>116</v>
      </c>
      <c r="B1047" s="88"/>
      <c r="C1047" s="177"/>
      <c r="D1047" s="177"/>
      <c r="E1047" s="158">
        <f>F1047*120%</f>
        <v>0</v>
      </c>
      <c r="F1047" s="158">
        <f>(D1047-C1047+1)*G1047</f>
        <v>0</v>
      </c>
      <c r="G1047" s="159">
        <f>M1047*40</f>
        <v>0</v>
      </c>
      <c r="H1047" s="162"/>
      <c r="I1047" s="65"/>
      <c r="J1047" s="162"/>
      <c r="K1047" s="65"/>
      <c r="L1047" s="162"/>
      <c r="M1047" s="162"/>
      <c r="N1047" s="163"/>
      <c r="O1047" s="164"/>
      <c r="P1047" s="65"/>
      <c r="Q1047" s="13"/>
      <c r="R1047" s="13"/>
      <c r="S1047" s="188"/>
      <c r="T1047" s="65"/>
      <c r="U1047" s="65"/>
      <c r="V1047" s="65"/>
      <c r="W1047" s="65"/>
      <c r="X1047" s="65"/>
      <c r="Y1047" s="65"/>
      <c r="Z1047" s="1"/>
      <c r="AA1047" s="1"/>
      <c r="AB1047" s="1"/>
      <c r="AC1047" s="1"/>
      <c r="AD1047" s="1"/>
      <c r="AE1047" s="1"/>
      <c r="AF1047" s="1"/>
      <c r="AG1047" s="1"/>
      <c r="AH1047" s="1"/>
    </row>
    <row r="1048" spans="1:34" ht="15.750000" customHeight="1">
      <c r="B1048" s="1"/>
      <c r="H1048" s="65"/>
      <c r="I1048" s="65"/>
      <c r="J1048" s="65"/>
      <c r="K1048" s="65"/>
      <c r="L1048" s="65"/>
      <c r="O1048" s="164"/>
      <c r="P1048" s="65"/>
      <c r="Q1048" s="65"/>
      <c r="R1048" s="65"/>
      <c r="S1048" s="65"/>
      <c r="T1048" s="65"/>
      <c r="U1048" s="65"/>
      <c r="V1048" s="65"/>
      <c r="W1048" s="65"/>
      <c r="X1048" s="65"/>
      <c r="Y1048" s="65"/>
      <c r="Z1048" s="1"/>
      <c r="AA1048" s="1"/>
      <c r="AB1048" s="1"/>
      <c r="AC1048" s="1"/>
      <c r="AD1048" s="1"/>
      <c r="AE1048" s="1"/>
      <c r="AF1048" s="1"/>
      <c r="AG1048" s="1"/>
      <c r="AH1048" s="1"/>
    </row>
    <row r="1049" spans="1:34" ht="15.750000" customHeight="1">
      <c r="B1049" s="1"/>
      <c r="H1049" s="65"/>
      <c r="I1049" s="65"/>
      <c r="J1049" s="65"/>
      <c r="K1049" s="65"/>
      <c r="L1049" s="65"/>
      <c r="O1049" s="164"/>
      <c r="P1049" s="65"/>
      <c r="Q1049" s="65"/>
      <c r="R1049" s="65"/>
      <c r="S1049" s="65"/>
      <c r="T1049" s="65"/>
      <c r="U1049" s="65"/>
      <c r="V1049" s="65"/>
      <c r="W1049" s="65"/>
      <c r="X1049" s="65"/>
      <c r="Y1049" s="65"/>
      <c r="Z1049" s="1"/>
      <c r="AA1049" s="1"/>
      <c r="AB1049" s="1"/>
      <c r="AC1049" s="1"/>
      <c r="AD1049" s="1"/>
      <c r="AE1049" s="1"/>
      <c r="AF1049" s="1"/>
      <c r="AG1049" s="1"/>
      <c r="AH1049" s="1"/>
    </row>
    <row r="1050" spans="1:34" ht="15.750000" customHeight="1">
      <c r="B1050" s="1"/>
      <c r="H1050" s="65"/>
      <c r="I1050" s="65"/>
      <c r="J1050" s="65"/>
      <c r="K1050" s="65"/>
      <c r="L1050" s="65"/>
      <c r="O1050" s="164"/>
      <c r="P1050" s="65"/>
      <c r="Q1050" s="65"/>
      <c r="R1050" s="65"/>
      <c r="S1050" s="65"/>
      <c r="T1050" s="65"/>
      <c r="U1050" s="65"/>
      <c r="V1050" s="65"/>
      <c r="W1050" s="65"/>
      <c r="X1050" s="65"/>
      <c r="Y1050" s="65"/>
      <c r="Z1050" s="1"/>
      <c r="AA1050" s="1"/>
      <c r="AB1050" s="1"/>
      <c r="AC1050" s="1"/>
      <c r="AD1050" s="1"/>
      <c r="AE1050" s="1"/>
      <c r="AF1050" s="1"/>
      <c r="AG1050" s="1"/>
      <c r="AH1050" s="1"/>
    </row>
    <row r="1051" spans="1:34" ht="15.750000" customHeight="1">
      <c r="B1051" s="1"/>
      <c r="H1051" s="169"/>
      <c r="I1051" s="65"/>
      <c r="J1051" s="65"/>
      <c r="K1051" s="65"/>
      <c r="L1051" s="65"/>
      <c r="O1051" s="164"/>
      <c r="P1051" s="65"/>
      <c r="Q1051" s="65"/>
      <c r="R1051" s="65"/>
      <c r="S1051" s="65"/>
      <c r="T1051" s="65"/>
      <c r="U1051" s="65"/>
      <c r="V1051" s="65"/>
      <c r="W1051" s="65"/>
      <c r="X1051" s="65"/>
      <c r="Y1051" s="65"/>
      <c r="Z1051" s="1"/>
      <c r="AA1051" s="1"/>
      <c r="AB1051" s="1"/>
      <c r="AC1051" s="1"/>
      <c r="AD1051" s="1"/>
      <c r="AE1051" s="1"/>
      <c r="AF1051" s="1"/>
      <c r="AG1051" s="1"/>
      <c r="AH1051" s="1"/>
    </row>
    <row r="1052" spans="1:34" ht="15.750000" customHeight="1">
      <c r="A1052" s="156" t="s">
        <v>116</v>
      </c>
      <c r="B1052" s="88"/>
      <c r="C1052" s="177"/>
      <c r="D1052" s="177"/>
      <c r="E1052" s="158">
        <f>F1052*120%</f>
        <v>0</v>
      </c>
      <c r="F1052" s="158">
        <f>(D1052-C1052+1)*G1052</f>
        <v>0</v>
      </c>
      <c r="G1052" s="159">
        <f>M1052*40</f>
        <v>0</v>
      </c>
      <c r="H1052" s="162"/>
      <c r="I1052" s="65"/>
      <c r="J1052" s="162"/>
      <c r="K1052" s="65"/>
      <c r="L1052" s="162"/>
      <c r="M1052" s="162"/>
      <c r="N1052" s="163"/>
      <c r="O1052" s="164"/>
      <c r="P1052" s="65"/>
      <c r="Q1052" s="13"/>
      <c r="R1052" s="13"/>
      <c r="S1052" s="188"/>
      <c r="T1052" s="65"/>
      <c r="U1052" s="65"/>
      <c r="V1052" s="65"/>
      <c r="W1052" s="65"/>
      <c r="X1052" s="65"/>
      <c r="Y1052" s="65"/>
      <c r="Z1052" s="1"/>
      <c r="AA1052" s="1"/>
      <c r="AB1052" s="1"/>
      <c r="AC1052" s="1"/>
      <c r="AD1052" s="1"/>
      <c r="AE1052" s="1"/>
      <c r="AF1052" s="1"/>
      <c r="AG1052" s="1"/>
      <c r="AH1052" s="1"/>
    </row>
    <row r="1053" spans="1:34" ht="15.750000" customHeight="1">
      <c r="B1053" s="88"/>
      <c r="H1053" s="162"/>
      <c r="I1053" s="65"/>
      <c r="J1053" s="162"/>
      <c r="K1053" s="188"/>
      <c r="L1053" s="162"/>
      <c r="O1053" s="164"/>
      <c r="P1053" s="65"/>
      <c r="Q1053" s="13"/>
      <c r="R1053" s="13"/>
      <c r="S1053" s="188"/>
      <c r="T1053" s="65"/>
      <c r="U1053" s="65"/>
      <c r="V1053" s="65"/>
      <c r="W1053" s="65"/>
      <c r="X1053" s="65"/>
      <c r="Y1053" s="65"/>
      <c r="Z1053" s="1"/>
      <c r="AA1053" s="1"/>
      <c r="AB1053" s="1"/>
      <c r="AC1053" s="1"/>
      <c r="AD1053" s="1"/>
      <c r="AE1053" s="1"/>
      <c r="AF1053" s="1"/>
      <c r="AG1053" s="1"/>
      <c r="AH1053" s="1"/>
    </row>
    <row r="1054" spans="1:34" ht="15.750000" customHeight="1">
      <c r="B1054" s="88"/>
      <c r="H1054" s="162"/>
      <c r="I1054" s="65"/>
      <c r="J1054" s="162"/>
      <c r="K1054" s="188"/>
      <c r="L1054" s="162"/>
      <c r="O1054" s="164"/>
      <c r="P1054" s="65"/>
      <c r="Q1054" s="13"/>
      <c r="R1054" s="13"/>
      <c r="S1054" s="188"/>
      <c r="T1054" s="65"/>
      <c r="U1054" s="65"/>
      <c r="V1054" s="65"/>
      <c r="W1054" s="65"/>
      <c r="X1054" s="65"/>
      <c r="Y1054" s="65"/>
      <c r="Z1054" s="1"/>
      <c r="AA1054" s="1"/>
      <c r="AB1054" s="1"/>
      <c r="AC1054" s="1"/>
      <c r="AD1054" s="1"/>
      <c r="AE1054" s="1"/>
      <c r="AF1054" s="1"/>
      <c r="AG1054" s="1"/>
      <c r="AH1054" s="1"/>
    </row>
    <row r="1055" spans="1:34" ht="15.750000" customHeight="1">
      <c r="B1055" s="88"/>
      <c r="H1055" s="162"/>
      <c r="I1055" s="65"/>
      <c r="J1055" s="162"/>
      <c r="K1055" s="65"/>
      <c r="L1055" s="162"/>
      <c r="O1055" s="164"/>
      <c r="P1055" s="65"/>
      <c r="Q1055" s="13"/>
      <c r="R1055" s="13"/>
      <c r="S1055" s="188"/>
      <c r="T1055" s="65"/>
      <c r="U1055" s="65"/>
      <c r="V1055" s="65"/>
      <c r="W1055" s="65"/>
      <c r="X1055" s="65"/>
      <c r="Y1055" s="65"/>
      <c r="Z1055" s="1"/>
      <c r="AA1055" s="1"/>
      <c r="AB1055" s="1"/>
      <c r="AC1055" s="1"/>
      <c r="AD1055" s="1"/>
      <c r="AE1055" s="1"/>
      <c r="AF1055" s="1"/>
      <c r="AG1055" s="1"/>
      <c r="AH1055" s="1"/>
    </row>
    <row r="1056" spans="1:34" ht="15.750000" customHeight="1">
      <c r="B1056" s="88"/>
      <c r="H1056" s="220"/>
      <c r="I1056" s="65"/>
      <c r="J1056" s="162"/>
      <c r="K1056" s="65"/>
      <c r="L1056" s="162"/>
      <c r="O1056" s="164"/>
      <c r="P1056" s="65"/>
      <c r="Q1056" s="13"/>
      <c r="R1056" s="13"/>
      <c r="S1056" s="188"/>
      <c r="T1056" s="65"/>
      <c r="U1056" s="65"/>
      <c r="V1056" s="65"/>
      <c r="W1056" s="65"/>
      <c r="X1056" s="65"/>
      <c r="Y1056" s="65"/>
      <c r="Z1056" s="1"/>
      <c r="AA1056" s="1"/>
      <c r="AB1056" s="1"/>
      <c r="AC1056" s="1"/>
      <c r="AD1056" s="1"/>
      <c r="AE1056" s="1"/>
      <c r="AF1056" s="1"/>
      <c r="AG1056" s="1"/>
      <c r="AH1056" s="1"/>
    </row>
    <row r="1057" spans="1:34" ht="15.750000" customHeight="1">
      <c r="A1057" s="156" t="s">
        <v>116</v>
      </c>
      <c r="B1057" s="88"/>
      <c r="C1057" s="177"/>
      <c r="D1057" s="177"/>
      <c r="E1057" s="158">
        <f>F1057*120%</f>
        <v>0</v>
      </c>
      <c r="F1057" s="158">
        <f>(D1057-C1057+1)*G1057</f>
        <v>0</v>
      </c>
      <c r="G1057" s="159">
        <f>M1057*40</f>
        <v>0</v>
      </c>
      <c r="H1057" s="162"/>
      <c r="I1057" s="65"/>
      <c r="J1057" s="162"/>
      <c r="K1057" s="65"/>
      <c r="L1057" s="162"/>
      <c r="M1057" s="162"/>
      <c r="N1057" s="163"/>
      <c r="O1057" s="164"/>
      <c r="P1057" s="65"/>
      <c r="Q1057" s="13"/>
      <c r="R1057" s="13"/>
      <c r="S1057" s="188"/>
      <c r="T1057" s="65"/>
      <c r="U1057" s="65"/>
      <c r="V1057" s="65"/>
      <c r="W1057" s="65"/>
      <c r="X1057" s="65"/>
      <c r="Y1057" s="65"/>
      <c r="Z1057" s="1"/>
      <c r="AA1057" s="1"/>
      <c r="AB1057" s="1"/>
      <c r="AC1057" s="1"/>
      <c r="AD1057" s="1"/>
      <c r="AE1057" s="1"/>
      <c r="AF1057" s="1"/>
      <c r="AG1057" s="1"/>
      <c r="AH1057" s="1"/>
    </row>
    <row r="1058" spans="1:34" ht="15.750000" customHeight="1">
      <c r="B1058" s="1"/>
      <c r="H1058" s="65"/>
      <c r="I1058" s="65"/>
      <c r="J1058" s="65"/>
      <c r="K1058" s="65"/>
      <c r="L1058" s="65"/>
      <c r="O1058" s="164"/>
      <c r="P1058" s="65"/>
      <c r="Q1058" s="65"/>
      <c r="R1058" s="65"/>
      <c r="S1058" s="188"/>
      <c r="T1058" s="65"/>
      <c r="U1058" s="65"/>
      <c r="V1058" s="65"/>
      <c r="W1058" s="65"/>
      <c r="X1058" s="65"/>
      <c r="Y1058" s="65"/>
      <c r="Z1058" s="1"/>
      <c r="AA1058" s="1"/>
      <c r="AB1058" s="1"/>
      <c r="AC1058" s="1"/>
      <c r="AD1058" s="1"/>
      <c r="AE1058" s="1"/>
      <c r="AF1058" s="1"/>
      <c r="AG1058" s="1"/>
      <c r="AH1058" s="1"/>
    </row>
    <row r="1059" spans="1:34" ht="15.750000" customHeight="1">
      <c r="B1059" s="1"/>
      <c r="H1059" s="65"/>
      <c r="I1059" s="65"/>
      <c r="J1059" s="65"/>
      <c r="K1059" s="65"/>
      <c r="L1059" s="65"/>
      <c r="O1059" s="164"/>
      <c r="P1059" s="65"/>
      <c r="Q1059" s="65"/>
      <c r="R1059" s="65"/>
      <c r="S1059" s="188"/>
      <c r="T1059" s="65"/>
      <c r="U1059" s="65"/>
      <c r="V1059" s="65"/>
      <c r="W1059" s="65"/>
      <c r="X1059" s="65"/>
      <c r="Y1059" s="65"/>
      <c r="Z1059" s="1"/>
      <c r="AA1059" s="1"/>
      <c r="AB1059" s="1"/>
      <c r="AC1059" s="1"/>
      <c r="AD1059" s="1"/>
      <c r="AE1059" s="1"/>
      <c r="AF1059" s="1"/>
      <c r="AG1059" s="1"/>
      <c r="AH1059" s="1"/>
    </row>
    <row r="1060" spans="1:34" ht="15.750000" customHeight="1">
      <c r="B1060" s="1"/>
      <c r="H1060" s="65"/>
      <c r="I1060" s="65"/>
      <c r="J1060" s="65"/>
      <c r="K1060" s="65"/>
      <c r="L1060" s="65"/>
      <c r="O1060" s="164"/>
      <c r="P1060" s="65"/>
      <c r="Q1060" s="65"/>
      <c r="R1060" s="65"/>
      <c r="S1060" s="188"/>
      <c r="T1060" s="65"/>
      <c r="U1060" s="65"/>
      <c r="V1060" s="65"/>
      <c r="W1060" s="65"/>
      <c r="X1060" s="65"/>
      <c r="Y1060" s="65"/>
      <c r="Z1060" s="1"/>
      <c r="AA1060" s="1"/>
      <c r="AB1060" s="1"/>
      <c r="AC1060" s="1"/>
      <c r="AD1060" s="1"/>
      <c r="AE1060" s="1"/>
      <c r="AF1060" s="1"/>
      <c r="AG1060" s="1"/>
      <c r="AH1060" s="1"/>
    </row>
    <row r="1061" spans="1:34" ht="15.750000" customHeight="1">
      <c r="B1061" s="1"/>
      <c r="H1061" s="169"/>
      <c r="I1061" s="65"/>
      <c r="J1061" s="65"/>
      <c r="K1061" s="65"/>
      <c r="L1061" s="65"/>
      <c r="O1061" s="164"/>
      <c r="P1061" s="65"/>
      <c r="Q1061" s="65"/>
      <c r="R1061" s="65"/>
      <c r="S1061" s="188"/>
      <c r="T1061" s="65"/>
      <c r="U1061" s="65"/>
      <c r="V1061" s="65"/>
      <c r="W1061" s="65"/>
      <c r="X1061" s="65"/>
      <c r="Y1061" s="65"/>
      <c r="Z1061" s="1"/>
      <c r="AA1061" s="1"/>
      <c r="AB1061" s="1"/>
      <c r="AC1061" s="1"/>
      <c r="AD1061" s="1"/>
      <c r="AE1061" s="1"/>
      <c r="AF1061" s="1"/>
      <c r="AG1061" s="1"/>
      <c r="AH1061" s="1"/>
    </row>
    <row r="1062" spans="1:34" ht="15.750000" customHeight="1">
      <c r="A1062" s="156" t="s">
        <v>116</v>
      </c>
      <c r="B1062" s="88"/>
      <c r="C1062" s="177"/>
      <c r="D1062" s="177"/>
      <c r="E1062" s="158">
        <f>F1062*120%</f>
        <v>0</v>
      </c>
      <c r="F1062" s="158">
        <f>(D1062-C1062+1)*G1062</f>
        <v>0</v>
      </c>
      <c r="G1062" s="159">
        <f>M1062*40</f>
        <v>0</v>
      </c>
      <c r="H1062" s="162"/>
      <c r="I1062" s="65"/>
      <c r="J1062" s="467"/>
      <c r="K1062" s="188"/>
      <c r="L1062" s="162"/>
      <c r="M1062" s="162"/>
      <c r="N1062" s="163"/>
      <c r="O1062" s="164"/>
      <c r="P1062" s="65"/>
      <c r="Q1062" s="13"/>
      <c r="R1062" s="13"/>
      <c r="S1062" s="188"/>
      <c r="T1062" s="65"/>
      <c r="U1062" s="65"/>
      <c r="V1062" s="65"/>
      <c r="W1062" s="65"/>
      <c r="X1062" s="65"/>
      <c r="Y1062" s="65"/>
      <c r="Z1062" s="1"/>
      <c r="AA1062" s="1"/>
      <c r="AB1062" s="1"/>
      <c r="AC1062" s="1"/>
      <c r="AD1062" s="1"/>
      <c r="AE1062" s="1"/>
      <c r="AF1062" s="1"/>
      <c r="AG1062" s="1"/>
      <c r="AH1062" s="1"/>
    </row>
    <row r="1063" spans="1:34" ht="15.750000" customHeight="1">
      <c r="B1063" s="88"/>
      <c r="H1063" s="162"/>
      <c r="I1063" s="65"/>
      <c r="J1063" s="467"/>
      <c r="K1063" s="188"/>
      <c r="L1063" s="162"/>
      <c r="O1063" s="164"/>
      <c r="P1063" s="65"/>
      <c r="Q1063" s="13"/>
      <c r="R1063" s="13"/>
      <c r="S1063" s="188"/>
      <c r="T1063" s="65"/>
      <c r="U1063" s="65"/>
      <c r="V1063" s="65"/>
      <c r="W1063" s="65"/>
      <c r="X1063" s="65"/>
      <c r="Y1063" s="65"/>
      <c r="Z1063" s="1"/>
      <c r="AA1063" s="1"/>
      <c r="AB1063" s="1"/>
      <c r="AC1063" s="1"/>
      <c r="AD1063" s="1"/>
      <c r="AE1063" s="1"/>
      <c r="AF1063" s="1"/>
      <c r="AG1063" s="1"/>
      <c r="AH1063" s="1"/>
    </row>
    <row r="1064" spans="1:34" ht="15.750000" customHeight="1">
      <c r="B1064" s="88"/>
      <c r="H1064" s="162"/>
      <c r="I1064" s="65"/>
      <c r="J1064" s="467"/>
      <c r="K1064" s="188"/>
      <c r="L1064" s="162"/>
      <c r="O1064" s="164"/>
      <c r="P1064" s="65"/>
      <c r="Q1064" s="13"/>
      <c r="R1064" s="13"/>
      <c r="S1064" s="188"/>
      <c r="T1064" s="65"/>
      <c r="U1064" s="65"/>
      <c r="V1064" s="65"/>
      <c r="W1064" s="65"/>
      <c r="X1064" s="65"/>
      <c r="Y1064" s="65"/>
      <c r="Z1064" s="1"/>
      <c r="AA1064" s="1"/>
      <c r="AB1064" s="1"/>
      <c r="AC1064" s="1"/>
      <c r="AD1064" s="1"/>
      <c r="AE1064" s="1"/>
      <c r="AF1064" s="1"/>
      <c r="AG1064" s="1"/>
      <c r="AH1064" s="1"/>
    </row>
    <row r="1065" spans="1:34" ht="15.750000" customHeight="1">
      <c r="B1065" s="88"/>
      <c r="H1065" s="162"/>
      <c r="I1065" s="65"/>
      <c r="J1065" s="467"/>
      <c r="K1065" s="65"/>
      <c r="L1065" s="162"/>
      <c r="O1065" s="164"/>
      <c r="P1065" s="65"/>
      <c r="Q1065" s="13"/>
      <c r="R1065" s="13"/>
      <c r="S1065" s="188"/>
      <c r="T1065" s="65"/>
      <c r="U1065" s="65"/>
      <c r="V1065" s="65"/>
      <c r="W1065" s="65"/>
      <c r="X1065" s="65"/>
      <c r="Y1065" s="65"/>
      <c r="Z1065" s="1"/>
      <c r="AA1065" s="1"/>
      <c r="AB1065" s="1"/>
      <c r="AC1065" s="1"/>
      <c r="AD1065" s="1"/>
      <c r="AE1065" s="1"/>
      <c r="AF1065" s="1"/>
      <c r="AG1065" s="1"/>
      <c r="AH1065" s="1"/>
    </row>
    <row r="1066" spans="1:34" ht="15.750000" customHeight="1">
      <c r="B1066" s="1"/>
      <c r="H1066" s="169"/>
      <c r="I1066" s="65"/>
      <c r="J1066" s="65"/>
      <c r="K1066" s="65"/>
      <c r="L1066" s="65"/>
      <c r="O1066" s="164"/>
      <c r="P1066" s="65"/>
      <c r="Q1066" s="65"/>
      <c r="R1066" s="65"/>
      <c r="S1066" s="188"/>
      <c r="T1066" s="65"/>
      <c r="U1066" s="65"/>
      <c r="V1066" s="65"/>
      <c r="W1066" s="65"/>
      <c r="X1066" s="65"/>
      <c r="Y1066" s="65"/>
      <c r="Z1066" s="1"/>
      <c r="AA1066" s="1"/>
      <c r="AB1066" s="1"/>
      <c r="AC1066" s="1"/>
      <c r="AD1066" s="1"/>
      <c r="AE1066" s="1"/>
      <c r="AF1066" s="1"/>
      <c r="AG1066" s="1"/>
      <c r="AH1066" s="1"/>
    </row>
    <row r="1067" spans="1:34" ht="15.750000" customHeight="1">
      <c r="A1067" s="156" t="s">
        <v>116</v>
      </c>
      <c r="B1067" s="88"/>
      <c r="C1067" s="177"/>
      <c r="D1067" s="177"/>
      <c r="E1067" s="158">
        <f>F1067*120%</f>
        <v>0</v>
      </c>
      <c r="F1067" s="158">
        <f>(D1067-C1067+1)*G1067</f>
        <v>0</v>
      </c>
      <c r="G1067" s="159">
        <f>M1067*40</f>
        <v>0</v>
      </c>
      <c r="H1067" s="231"/>
      <c r="I1067" s="65"/>
      <c r="J1067" s="421"/>
      <c r="K1067" s="188"/>
      <c r="L1067" s="477"/>
      <c r="M1067" s="162"/>
      <c r="N1067" s="163"/>
      <c r="O1067" s="164"/>
      <c r="P1067" s="65"/>
      <c r="Q1067" s="13"/>
      <c r="R1067" s="13"/>
      <c r="S1067" s="188"/>
      <c r="T1067" s="65"/>
      <c r="U1067" s="65"/>
      <c r="V1067" s="65"/>
      <c r="W1067" s="65"/>
      <c r="X1067" s="65"/>
      <c r="Y1067" s="65"/>
      <c r="Z1067" s="1"/>
      <c r="AA1067" s="1"/>
      <c r="AB1067" s="1"/>
      <c r="AC1067" s="1"/>
      <c r="AD1067" s="1"/>
      <c r="AE1067" s="1"/>
      <c r="AF1067" s="1"/>
      <c r="AG1067" s="1"/>
      <c r="AH1067" s="1"/>
    </row>
    <row r="1068" spans="1:34" ht="15.750000" customHeight="1">
      <c r="B1068" s="88"/>
      <c r="H1068" s="231"/>
      <c r="I1068" s="65"/>
      <c r="J1068" s="421"/>
      <c r="K1068" s="188"/>
      <c r="L1068" s="477"/>
      <c r="O1068" s="164"/>
      <c r="P1068" s="65"/>
      <c r="Q1068" s="13"/>
      <c r="R1068" s="13"/>
      <c r="S1068" s="188"/>
      <c r="T1068" s="65"/>
      <c r="U1068" s="65"/>
      <c r="V1068" s="65"/>
      <c r="W1068" s="65"/>
      <c r="X1068" s="65"/>
      <c r="Y1068" s="65"/>
      <c r="Z1068" s="1"/>
      <c r="AA1068" s="1"/>
      <c r="AB1068" s="1"/>
      <c r="AC1068" s="1"/>
      <c r="AD1068" s="1"/>
      <c r="AE1068" s="1"/>
      <c r="AF1068" s="1"/>
      <c r="AG1068" s="1"/>
      <c r="AH1068" s="1"/>
    </row>
    <row r="1069" spans="1:34" ht="15.750000" customHeight="1">
      <c r="B1069" s="88"/>
      <c r="H1069" s="231"/>
      <c r="I1069" s="65"/>
      <c r="J1069" s="421"/>
      <c r="K1069" s="188"/>
      <c r="L1069" s="477"/>
      <c r="O1069" s="164"/>
      <c r="P1069" s="65"/>
      <c r="Q1069" s="13"/>
      <c r="R1069" s="13"/>
      <c r="S1069" s="188"/>
      <c r="T1069" s="65"/>
      <c r="U1069" s="65"/>
      <c r="V1069" s="65"/>
      <c r="W1069" s="65"/>
      <c r="X1069" s="65"/>
      <c r="Y1069" s="65"/>
      <c r="Z1069" s="1"/>
      <c r="AA1069" s="1"/>
      <c r="AB1069" s="1"/>
      <c r="AC1069" s="1"/>
      <c r="AD1069" s="1"/>
      <c r="AE1069" s="1"/>
      <c r="AF1069" s="1"/>
      <c r="AG1069" s="1"/>
      <c r="AH1069" s="1"/>
    </row>
    <row r="1070" spans="1:34" ht="15.750000" customHeight="1">
      <c r="B1070" s="88"/>
      <c r="H1070" s="231"/>
      <c r="I1070" s="65"/>
      <c r="J1070" s="421"/>
      <c r="K1070" s="188"/>
      <c r="L1070" s="477"/>
      <c r="O1070" s="164"/>
      <c r="P1070" s="65"/>
      <c r="Q1070" s="13"/>
      <c r="R1070" s="13"/>
      <c r="S1070" s="188"/>
      <c r="T1070" s="65"/>
      <c r="U1070" s="65"/>
      <c r="V1070" s="65"/>
      <c r="W1070" s="65"/>
      <c r="X1070" s="65"/>
      <c r="Y1070" s="65"/>
      <c r="Z1070" s="1"/>
      <c r="AA1070" s="1"/>
      <c r="AB1070" s="1"/>
      <c r="AC1070" s="1"/>
      <c r="AD1070" s="1"/>
      <c r="AE1070" s="1"/>
      <c r="AF1070" s="1"/>
      <c r="AG1070" s="1"/>
      <c r="AH1070" s="1"/>
    </row>
    <row r="1071" spans="1:34" ht="15.750000" customHeight="1">
      <c r="B1071" s="1"/>
      <c r="H1071" s="169"/>
      <c r="I1071" s="65"/>
      <c r="J1071" s="65"/>
      <c r="K1071" s="65"/>
      <c r="L1071" s="65"/>
      <c r="O1071" s="164"/>
      <c r="P1071" s="65"/>
      <c r="Q1071" s="65"/>
      <c r="R1071" s="65"/>
      <c r="S1071" s="188"/>
      <c r="T1071" s="65"/>
      <c r="U1071" s="65"/>
      <c r="V1071" s="65"/>
      <c r="W1071" s="65"/>
      <c r="X1071" s="65"/>
      <c r="Y1071" s="65"/>
      <c r="Z1071" s="1"/>
      <c r="AA1071" s="1"/>
      <c r="AB1071" s="1"/>
      <c r="AC1071" s="1"/>
      <c r="AD1071" s="1"/>
      <c r="AE1071" s="1"/>
      <c r="AF1071" s="1"/>
      <c r="AG1071" s="1"/>
      <c r="AH1071" s="1"/>
    </row>
    <row r="1072" spans="1:34" ht="15.750000" customHeight="1">
      <c r="A1072" s="156" t="s">
        <v>116</v>
      </c>
      <c r="B1072" s="88"/>
      <c r="C1072" s="177"/>
      <c r="D1072" s="177"/>
      <c r="E1072" s="158">
        <f>F1072*120%</f>
        <v>0</v>
      </c>
      <c r="F1072" s="158">
        <f>(D1072-C1072+1)*G1072</f>
        <v>0</v>
      </c>
      <c r="G1072" s="159">
        <f>M1072*40</f>
        <v>0</v>
      </c>
      <c r="H1072" s="162"/>
      <c r="I1072" s="65"/>
      <c r="J1072" s="421"/>
      <c r="K1072" s="188"/>
      <c r="L1072" s="477"/>
      <c r="M1072" s="162"/>
      <c r="N1072" s="163"/>
      <c r="O1072" s="164"/>
      <c r="P1072" s="65"/>
      <c r="Q1072" s="13"/>
      <c r="R1072" s="13"/>
      <c r="S1072" s="188"/>
      <c r="T1072" s="65"/>
      <c r="U1072" s="65"/>
      <c r="V1072" s="65"/>
      <c r="W1072" s="65"/>
      <c r="X1072" s="65"/>
      <c r="Y1072" s="65"/>
      <c r="Z1072" s="1"/>
      <c r="AA1072" s="1"/>
      <c r="AB1072" s="1"/>
      <c r="AC1072" s="1"/>
      <c r="AD1072" s="1"/>
      <c r="AE1072" s="1"/>
      <c r="AF1072" s="1"/>
      <c r="AG1072" s="1"/>
      <c r="AH1072" s="1"/>
    </row>
    <row r="1073" spans="1:34" ht="15.750000" customHeight="1">
      <c r="B1073" s="88"/>
      <c r="H1073" s="162"/>
      <c r="I1073" s="65"/>
      <c r="J1073" s="421"/>
      <c r="K1073" s="188"/>
      <c r="L1073" s="477"/>
      <c r="O1073" s="164"/>
      <c r="P1073" s="65"/>
      <c r="Q1073" s="13"/>
      <c r="R1073" s="13"/>
      <c r="S1073" s="188"/>
      <c r="T1073" s="65"/>
      <c r="U1073" s="65"/>
      <c r="V1073" s="65"/>
      <c r="W1073" s="65"/>
      <c r="X1073" s="65"/>
      <c r="Y1073" s="65"/>
      <c r="Z1073" s="1"/>
      <c r="AA1073" s="1"/>
      <c r="AB1073" s="1"/>
      <c r="AC1073" s="1"/>
      <c r="AD1073" s="1"/>
      <c r="AE1073" s="1"/>
      <c r="AF1073" s="1"/>
      <c r="AG1073" s="1"/>
      <c r="AH1073" s="1"/>
    </row>
    <row r="1074" spans="1:34" ht="15.750000" customHeight="1">
      <c r="B1074" s="88"/>
      <c r="H1074" s="162"/>
      <c r="I1074" s="65"/>
      <c r="J1074" s="421"/>
      <c r="K1074" s="188"/>
      <c r="L1074" s="477"/>
      <c r="O1074" s="164"/>
      <c r="P1074" s="65"/>
      <c r="Q1074" s="13"/>
      <c r="R1074" s="13"/>
      <c r="S1074" s="188"/>
      <c r="T1074" s="65"/>
      <c r="U1074" s="65"/>
      <c r="V1074" s="65"/>
      <c r="W1074" s="65"/>
      <c r="X1074" s="65"/>
      <c r="Y1074" s="65"/>
      <c r="Z1074" s="1"/>
      <c r="AA1074" s="1"/>
      <c r="AB1074" s="1"/>
      <c r="AC1074" s="1"/>
      <c r="AD1074" s="1"/>
      <c r="AE1074" s="1"/>
      <c r="AF1074" s="1"/>
      <c r="AG1074" s="1"/>
      <c r="AH1074" s="1"/>
    </row>
    <row r="1075" spans="1:34" ht="15.750000" customHeight="1">
      <c r="B1075" s="88"/>
      <c r="H1075" s="162"/>
      <c r="I1075" s="65"/>
      <c r="J1075" s="421"/>
      <c r="K1075" s="188"/>
      <c r="L1075" s="477"/>
      <c r="O1075" s="164"/>
      <c r="P1075" s="65"/>
      <c r="Q1075" s="13"/>
      <c r="R1075" s="13"/>
      <c r="S1075" s="188"/>
      <c r="T1075" s="65"/>
      <c r="U1075" s="65"/>
      <c r="V1075" s="65"/>
      <c r="W1075" s="65"/>
      <c r="X1075" s="65"/>
      <c r="Y1075" s="65"/>
      <c r="Z1075" s="1"/>
      <c r="AA1075" s="1"/>
      <c r="AB1075" s="1"/>
      <c r="AC1075" s="1"/>
      <c r="AD1075" s="1"/>
      <c r="AE1075" s="1"/>
      <c r="AF1075" s="1"/>
      <c r="AG1075" s="1"/>
      <c r="AH1075" s="1"/>
    </row>
    <row r="1076" spans="1:34" ht="15.750000" customHeight="1">
      <c r="B1076" s="1"/>
      <c r="H1076" s="169"/>
      <c r="I1076" s="65"/>
      <c r="J1076" s="65"/>
      <c r="K1076" s="65"/>
      <c r="L1076" s="65"/>
      <c r="O1076" s="164"/>
      <c r="P1076" s="65"/>
      <c r="Q1076" s="65"/>
      <c r="R1076" s="65"/>
      <c r="S1076" s="188"/>
      <c r="T1076" s="65"/>
      <c r="U1076" s="65"/>
      <c r="V1076" s="65"/>
      <c r="W1076" s="65"/>
      <c r="X1076" s="65"/>
      <c r="Y1076" s="65"/>
      <c r="Z1076" s="1"/>
      <c r="AA1076" s="1"/>
      <c r="AB1076" s="1"/>
      <c r="AC1076" s="1"/>
      <c r="AD1076" s="1"/>
      <c r="AE1076" s="1"/>
      <c r="AF1076" s="1"/>
      <c r="AG1076" s="1"/>
      <c r="AH1076" s="1"/>
    </row>
    <row r="1077" spans="1:34" ht="15.750000" customHeight="1">
      <c r="A1077" s="156" t="s">
        <v>116</v>
      </c>
      <c r="B1077" s="88"/>
      <c r="C1077" s="279"/>
      <c r="D1077" s="279"/>
      <c r="E1077" s="158">
        <f>F1077*120%</f>
        <v>0</v>
      </c>
      <c r="F1077" s="158">
        <f>(D1077-C1077+1)*G1077</f>
        <v>0</v>
      </c>
      <c r="G1077" s="159">
        <f>M1077*40</f>
        <v>0</v>
      </c>
      <c r="H1077" s="161"/>
      <c r="I1077" s="65"/>
      <c r="J1077" s="162"/>
      <c r="K1077" s="65"/>
      <c r="L1077" s="162"/>
      <c r="M1077" s="162"/>
      <c r="N1077" s="163"/>
      <c r="O1077" s="478"/>
      <c r="P1077" s="65"/>
      <c r="Q1077" s="65"/>
      <c r="R1077" s="65"/>
      <c r="S1077" s="65"/>
      <c r="T1077" s="65"/>
      <c r="U1077" s="65"/>
      <c r="V1077" s="65"/>
      <c r="W1077" s="65"/>
      <c r="X1077" s="65"/>
      <c r="Y1077" s="65"/>
      <c r="Z1077" s="1"/>
      <c r="AA1077" s="1"/>
      <c r="AB1077" s="1"/>
      <c r="AC1077" s="1"/>
      <c r="AD1077" s="1"/>
      <c r="AE1077" s="1"/>
      <c r="AF1077" s="1"/>
      <c r="AG1077" s="1"/>
      <c r="AH1077" s="1"/>
    </row>
    <row r="1078" spans="1:34" ht="15.750000" customHeight="1">
      <c r="B1078" s="1"/>
      <c r="H1078" s="65"/>
      <c r="I1078" s="65"/>
      <c r="J1078" s="65"/>
      <c r="K1078" s="65"/>
      <c r="L1078" s="65"/>
      <c r="O1078" s="164"/>
      <c r="P1078" s="65"/>
      <c r="Q1078" s="65"/>
      <c r="R1078" s="65"/>
      <c r="S1078" s="65"/>
      <c r="T1078" s="65"/>
      <c r="U1078" s="65"/>
      <c r="V1078" s="65"/>
      <c r="W1078" s="65"/>
      <c r="X1078" s="65"/>
      <c r="Y1078" s="65"/>
      <c r="Z1078" s="1"/>
      <c r="AA1078" s="1"/>
      <c r="AB1078" s="1"/>
      <c r="AC1078" s="1"/>
      <c r="AD1078" s="1"/>
      <c r="AE1078" s="1"/>
      <c r="AF1078" s="1"/>
      <c r="AG1078" s="1"/>
      <c r="AH1078" s="1"/>
    </row>
    <row r="1079" spans="1:34" ht="15.750000" customHeight="1">
      <c r="B1079" s="1"/>
      <c r="H1079" s="65"/>
      <c r="I1079" s="65"/>
      <c r="J1079" s="65"/>
      <c r="K1079" s="65"/>
      <c r="L1079" s="65"/>
      <c r="O1079" s="164"/>
      <c r="P1079" s="65"/>
      <c r="Q1079" s="65"/>
      <c r="R1079" s="65"/>
      <c r="S1079" s="65"/>
      <c r="T1079" s="65"/>
      <c r="U1079" s="65"/>
      <c r="V1079" s="65"/>
      <c r="W1079" s="65"/>
      <c r="X1079" s="65"/>
      <c r="Y1079" s="65"/>
      <c r="Z1079" s="1"/>
      <c r="AA1079" s="1"/>
      <c r="AB1079" s="1"/>
      <c r="AC1079" s="1"/>
      <c r="AD1079" s="1"/>
      <c r="AE1079" s="1"/>
      <c r="AF1079" s="1"/>
      <c r="AG1079" s="1"/>
      <c r="AH1079" s="1"/>
    </row>
    <row r="1080" spans="1:34" ht="15.750000" customHeight="1">
      <c r="B1080" s="1"/>
      <c r="H1080" s="65"/>
      <c r="I1080" s="65"/>
      <c r="J1080" s="65"/>
      <c r="K1080" s="65"/>
      <c r="L1080" s="65"/>
      <c r="O1080" s="164"/>
      <c r="P1080" s="65"/>
      <c r="Q1080" s="65"/>
      <c r="R1080" s="65"/>
      <c r="S1080" s="65"/>
      <c r="T1080" s="65"/>
      <c r="U1080" s="65"/>
      <c r="V1080" s="65"/>
      <c r="W1080" s="65"/>
      <c r="X1080" s="65"/>
      <c r="Y1080" s="65"/>
      <c r="Z1080" s="1"/>
      <c r="AA1080" s="1"/>
      <c r="AB1080" s="1"/>
      <c r="AC1080" s="1"/>
      <c r="AD1080" s="1"/>
      <c r="AE1080" s="1"/>
      <c r="AF1080" s="1"/>
      <c r="AG1080" s="1"/>
      <c r="AH1080" s="1"/>
    </row>
    <row r="1081" spans="1:34" ht="15.750000" customHeight="1">
      <c r="B1081" s="1"/>
      <c r="H1081" s="169"/>
      <c r="I1081" s="65"/>
      <c r="J1081" s="65"/>
      <c r="K1081" s="65"/>
      <c r="L1081" s="65"/>
      <c r="O1081" s="164"/>
      <c r="P1081" s="65"/>
      <c r="Q1081" s="65"/>
      <c r="R1081" s="65"/>
      <c r="S1081" s="65"/>
      <c r="T1081" s="65"/>
      <c r="U1081" s="65"/>
      <c r="V1081" s="65"/>
      <c r="W1081" s="65"/>
      <c r="X1081" s="65"/>
      <c r="Y1081" s="65"/>
      <c r="Z1081" s="1"/>
      <c r="AA1081" s="1"/>
      <c r="AB1081" s="1"/>
      <c r="AC1081" s="1"/>
      <c r="AD1081" s="1"/>
      <c r="AE1081" s="1"/>
      <c r="AF1081" s="1"/>
      <c r="AG1081" s="1"/>
      <c r="AH1081" s="1"/>
    </row>
    <row r="1082" spans="1:34" ht="15.750000" customHeight="1">
      <c r="A1082" s="156" t="s">
        <v>116</v>
      </c>
      <c r="B1082" s="88"/>
      <c r="C1082" s="279"/>
      <c r="D1082" s="279"/>
      <c r="E1082" s="158">
        <f>F1082*120%</f>
        <v>0</v>
      </c>
      <c r="F1082" s="158">
        <f>(D1082-C1082+1)*G1082</f>
        <v>0</v>
      </c>
      <c r="G1082" s="159">
        <f>M1082*40</f>
        <v>0</v>
      </c>
      <c r="H1082" s="162"/>
      <c r="I1082" s="65"/>
      <c r="J1082" s="162"/>
      <c r="K1082" s="65"/>
      <c r="L1082" s="162"/>
      <c r="M1082" s="162"/>
      <c r="N1082" s="163"/>
      <c r="O1082" s="164"/>
      <c r="P1082" s="65"/>
      <c r="Q1082" s="13"/>
      <c r="R1082" s="13"/>
      <c r="S1082" s="188"/>
      <c r="T1082" s="13"/>
      <c r="U1082" s="13"/>
      <c r="V1082" s="165"/>
      <c r="W1082" s="165"/>
      <c r="X1082" s="165"/>
      <c r="Y1082" s="165"/>
      <c r="Z1082" s="166"/>
      <c r="AA1082" s="166"/>
      <c r="AB1082" s="166"/>
      <c r="AC1082" s="166"/>
      <c r="AD1082" s="166"/>
      <c r="AE1082" s="166"/>
      <c r="AF1082" s="166"/>
      <c r="AG1082" s="166"/>
      <c r="AH1082" s="166"/>
    </row>
    <row r="1083" spans="1:34" ht="15.750000" customHeight="1">
      <c r="B1083" s="1"/>
      <c r="H1083" s="65"/>
      <c r="I1083" s="65"/>
      <c r="J1083" s="65"/>
      <c r="K1083" s="65"/>
      <c r="L1083" s="65"/>
      <c r="O1083" s="164"/>
      <c r="P1083" s="65"/>
      <c r="Q1083" s="13"/>
      <c r="R1083" s="13"/>
      <c r="S1083" s="65"/>
      <c r="T1083" s="13"/>
      <c r="U1083" s="13"/>
      <c r="V1083" s="165"/>
      <c r="W1083" s="165"/>
      <c r="X1083" s="165"/>
      <c r="Y1083" s="165"/>
      <c r="Z1083" s="166"/>
      <c r="AA1083" s="166"/>
      <c r="AB1083" s="166"/>
      <c r="AC1083" s="166"/>
      <c r="AD1083" s="166"/>
      <c r="AE1083" s="166"/>
      <c r="AF1083" s="166"/>
      <c r="AG1083" s="166"/>
      <c r="AH1083" s="166"/>
    </row>
    <row r="1084" spans="1:34" ht="15.750000" customHeight="1">
      <c r="B1084" s="1"/>
      <c r="H1084" s="65"/>
      <c r="I1084" s="65"/>
      <c r="J1084" s="65"/>
      <c r="K1084" s="65"/>
      <c r="L1084" s="65"/>
      <c r="O1084" s="164"/>
      <c r="P1084" s="65"/>
      <c r="Q1084" s="13"/>
      <c r="R1084" s="13"/>
      <c r="S1084" s="65"/>
      <c r="T1084" s="13"/>
      <c r="U1084" s="13"/>
      <c r="V1084" s="165"/>
      <c r="W1084" s="165"/>
      <c r="X1084" s="165"/>
      <c r="Y1084" s="165"/>
      <c r="Z1084" s="166"/>
      <c r="AA1084" s="166"/>
      <c r="AB1084" s="166"/>
      <c r="AC1084" s="166"/>
      <c r="AD1084" s="166"/>
      <c r="AE1084" s="166"/>
      <c r="AF1084" s="166"/>
      <c r="AG1084" s="166"/>
      <c r="AH1084" s="166"/>
    </row>
    <row r="1085" spans="1:34" ht="15.750000" customHeight="1">
      <c r="B1085" s="1"/>
      <c r="H1085" s="65"/>
      <c r="I1085" s="65"/>
      <c r="J1085" s="65"/>
      <c r="K1085" s="65"/>
      <c r="L1085" s="65"/>
      <c r="O1085" s="164"/>
      <c r="P1085" s="65"/>
      <c r="Q1085" s="13"/>
      <c r="R1085" s="13"/>
      <c r="S1085" s="65"/>
      <c r="T1085" s="13"/>
      <c r="U1085" s="13"/>
      <c r="V1085" s="165"/>
      <c r="W1085" s="165"/>
      <c r="X1085" s="165"/>
      <c r="Y1085" s="165"/>
      <c r="Z1085" s="166"/>
      <c r="AA1085" s="166"/>
      <c r="AB1085" s="166"/>
      <c r="AC1085" s="166"/>
      <c r="AD1085" s="166"/>
      <c r="AE1085" s="166"/>
      <c r="AF1085" s="166"/>
      <c r="AG1085" s="166"/>
      <c r="AH1085" s="166"/>
    </row>
    <row r="1086" spans="1:34" ht="15.750000" customHeight="1">
      <c r="B1086" s="1"/>
      <c r="H1086" s="169"/>
      <c r="I1086" s="65"/>
      <c r="J1086" s="65"/>
      <c r="K1086" s="65"/>
      <c r="L1086" s="65"/>
      <c r="O1086" s="164"/>
      <c r="P1086" s="65"/>
      <c r="Q1086" s="13"/>
      <c r="R1086" s="13"/>
      <c r="S1086" s="65"/>
      <c r="T1086" s="13"/>
      <c r="U1086" s="13"/>
      <c r="V1086" s="165"/>
      <c r="W1086" s="165"/>
      <c r="X1086" s="165"/>
      <c r="Y1086" s="165"/>
      <c r="Z1086" s="166"/>
      <c r="AA1086" s="166"/>
      <c r="AB1086" s="166"/>
      <c r="AC1086" s="166"/>
      <c r="AD1086" s="166"/>
      <c r="AE1086" s="166"/>
      <c r="AF1086" s="166"/>
      <c r="AG1086" s="166"/>
      <c r="AH1086" s="166"/>
    </row>
    <row r="1087" spans="1:34" ht="15.750000" customHeight="1">
      <c r="A1087" s="156" t="s">
        <v>116</v>
      </c>
      <c r="B1087" s="88"/>
      <c r="C1087" s="279"/>
      <c r="D1087" s="279"/>
      <c r="E1087" s="158">
        <f>F1087*120%</f>
        <v>0</v>
      </c>
      <c r="F1087" s="158">
        <f>(D1087-C1087+1)*G1087</f>
        <v>0</v>
      </c>
      <c r="G1087" s="159">
        <f>M1087*40</f>
        <v>0</v>
      </c>
      <c r="H1087" s="162"/>
      <c r="I1087" s="65"/>
      <c r="J1087" s="162"/>
      <c r="K1087" s="65"/>
      <c r="L1087" s="162"/>
      <c r="M1087" s="162"/>
      <c r="N1087" s="163"/>
      <c r="O1087" s="164"/>
      <c r="P1087" s="65"/>
      <c r="Q1087" s="13"/>
      <c r="R1087" s="13"/>
      <c r="S1087" s="188"/>
      <c r="T1087" s="13"/>
      <c r="U1087" s="13"/>
      <c r="V1087" s="165"/>
      <c r="W1087" s="165"/>
      <c r="X1087" s="165"/>
      <c r="Y1087" s="165"/>
      <c r="Z1087" s="166"/>
      <c r="AA1087" s="166"/>
      <c r="AB1087" s="166"/>
      <c r="AC1087" s="166"/>
      <c r="AD1087" s="166"/>
      <c r="AE1087" s="166"/>
      <c r="AF1087" s="166"/>
      <c r="AG1087" s="166"/>
      <c r="AH1087" s="166"/>
    </row>
    <row r="1088" spans="1:34" ht="15.750000" customHeight="1">
      <c r="B1088" s="88"/>
      <c r="H1088" s="162"/>
      <c r="I1088" s="65"/>
      <c r="J1088" s="162"/>
      <c r="K1088" s="188"/>
      <c r="L1088" s="162"/>
      <c r="O1088" s="164"/>
      <c r="P1088" s="65"/>
      <c r="Q1088" s="13"/>
      <c r="R1088" s="13"/>
      <c r="S1088" s="65"/>
      <c r="T1088" s="13"/>
      <c r="U1088" s="13"/>
      <c r="V1088" s="165"/>
      <c r="W1088" s="165"/>
      <c r="X1088" s="165"/>
      <c r="Y1088" s="165"/>
      <c r="Z1088" s="166"/>
      <c r="AA1088" s="166"/>
      <c r="AB1088" s="166"/>
      <c r="AC1088" s="166"/>
      <c r="AD1088" s="166"/>
      <c r="AE1088" s="166"/>
      <c r="AF1088" s="166"/>
      <c r="AG1088" s="166"/>
      <c r="AH1088" s="166"/>
    </row>
    <row r="1089" spans="1:34" ht="15.750000" customHeight="1">
      <c r="B1089" s="88"/>
      <c r="H1089" s="162"/>
      <c r="I1089" s="65"/>
      <c r="J1089" s="162"/>
      <c r="K1089" s="188"/>
      <c r="L1089" s="162"/>
      <c r="O1089" s="164"/>
      <c r="P1089" s="65"/>
      <c r="Q1089" s="13"/>
      <c r="R1089" s="13"/>
      <c r="S1089" s="65"/>
      <c r="T1089" s="13"/>
      <c r="U1089" s="13"/>
      <c r="V1089" s="165"/>
      <c r="W1089" s="165"/>
      <c r="X1089" s="165"/>
      <c r="Y1089" s="165"/>
      <c r="Z1089" s="166"/>
      <c r="AA1089" s="166"/>
      <c r="AB1089" s="166"/>
      <c r="AC1089" s="166"/>
      <c r="AD1089" s="166"/>
      <c r="AE1089" s="166"/>
      <c r="AF1089" s="166"/>
      <c r="AG1089" s="166"/>
      <c r="AH1089" s="166"/>
    </row>
    <row r="1090" spans="1:34" ht="15.750000" customHeight="1">
      <c r="B1090" s="88"/>
      <c r="H1090" s="162"/>
      <c r="I1090" s="65"/>
      <c r="J1090" s="162"/>
      <c r="K1090" s="65"/>
      <c r="L1090" s="162"/>
      <c r="O1090" s="164"/>
      <c r="P1090" s="65"/>
      <c r="Q1090" s="13"/>
      <c r="R1090" s="13"/>
      <c r="S1090" s="65"/>
      <c r="T1090" s="13"/>
      <c r="U1090" s="13"/>
      <c r="V1090" s="165"/>
      <c r="W1090" s="165"/>
      <c r="X1090" s="165"/>
      <c r="Y1090" s="165"/>
      <c r="Z1090" s="166"/>
      <c r="AA1090" s="166"/>
      <c r="AB1090" s="166"/>
      <c r="AC1090" s="166"/>
      <c r="AD1090" s="166"/>
      <c r="AE1090" s="166"/>
      <c r="AF1090" s="166"/>
      <c r="AG1090" s="166"/>
      <c r="AH1090" s="166"/>
    </row>
    <row r="1091" spans="1:34" ht="15.750000" customHeight="1">
      <c r="B1091" s="88"/>
      <c r="H1091" s="220"/>
      <c r="I1091" s="65"/>
      <c r="J1091" s="162"/>
      <c r="K1091" s="65"/>
      <c r="L1091" s="162"/>
      <c r="O1091" s="164"/>
      <c r="P1091" s="65"/>
      <c r="Q1091" s="13"/>
      <c r="R1091" s="13"/>
      <c r="S1091" s="65"/>
      <c r="T1091" s="13"/>
      <c r="U1091" s="13"/>
      <c r="V1091" s="165"/>
      <c r="W1091" s="165"/>
      <c r="X1091" s="165"/>
      <c r="Y1091" s="165"/>
      <c r="Z1091" s="166"/>
      <c r="AA1091" s="166"/>
      <c r="AB1091" s="166"/>
      <c r="AC1091" s="166"/>
      <c r="AD1091" s="166"/>
      <c r="AE1091" s="166"/>
      <c r="AF1091" s="166"/>
      <c r="AG1091" s="166"/>
      <c r="AH1091" s="166"/>
    </row>
    <row r="1092" spans="1:34" ht="15.750000" customHeight="1">
      <c r="A1092" s="156" t="s">
        <v>116</v>
      </c>
      <c r="B1092" s="88"/>
      <c r="C1092" s="279"/>
      <c r="D1092" s="279"/>
      <c r="E1092" s="158">
        <f>F1092*120%</f>
        <v>0</v>
      </c>
      <c r="F1092" s="158">
        <f>(D1092-C1092+1)*G1092</f>
        <v>0</v>
      </c>
      <c r="G1092" s="159">
        <f>M1092*40</f>
        <v>0</v>
      </c>
      <c r="H1092" s="162"/>
      <c r="I1092" s="65"/>
      <c r="J1092" s="162"/>
      <c r="K1092" s="188"/>
      <c r="L1092" s="162"/>
      <c r="M1092" s="162"/>
      <c r="N1092" s="163"/>
      <c r="O1092" s="164"/>
      <c r="P1092" s="65"/>
      <c r="Q1092" s="13"/>
      <c r="R1092" s="13"/>
      <c r="S1092" s="65"/>
      <c r="T1092" s="13"/>
      <c r="U1092" s="13"/>
      <c r="V1092" s="165"/>
      <c r="W1092" s="165"/>
      <c r="X1092" s="165"/>
      <c r="Y1092" s="165"/>
      <c r="Z1092" s="166"/>
      <c r="AA1092" s="166"/>
      <c r="AB1092" s="166"/>
      <c r="AC1092" s="166"/>
      <c r="AD1092" s="166"/>
      <c r="AE1092" s="166"/>
      <c r="AF1092" s="166"/>
      <c r="AG1092" s="166"/>
      <c r="AH1092" s="166"/>
    </row>
    <row r="1093" spans="1:34" ht="15.750000" customHeight="1">
      <c r="B1093" s="1"/>
      <c r="H1093" s="65"/>
      <c r="I1093" s="65"/>
      <c r="J1093" s="65"/>
      <c r="K1093" s="65"/>
      <c r="L1093" s="65"/>
      <c r="O1093" s="164"/>
      <c r="P1093" s="65"/>
      <c r="Q1093" s="13"/>
      <c r="R1093" s="13"/>
      <c r="S1093" s="65"/>
      <c r="T1093" s="13"/>
      <c r="U1093" s="13"/>
      <c r="V1093" s="165"/>
      <c r="W1093" s="165"/>
      <c r="X1093" s="165"/>
      <c r="Y1093" s="165"/>
      <c r="Z1093" s="166"/>
      <c r="AA1093" s="166"/>
      <c r="AB1093" s="166"/>
      <c r="AC1093" s="166"/>
      <c r="AD1093" s="166"/>
      <c r="AE1093" s="166"/>
      <c r="AF1093" s="166"/>
      <c r="AG1093" s="166"/>
      <c r="AH1093" s="166"/>
    </row>
    <row r="1094" spans="1:34" ht="15.750000" customHeight="1">
      <c r="B1094" s="1"/>
      <c r="H1094" s="65"/>
      <c r="I1094" s="65"/>
      <c r="J1094" s="65"/>
      <c r="K1094" s="65"/>
      <c r="L1094" s="65"/>
      <c r="O1094" s="164"/>
      <c r="P1094" s="65"/>
      <c r="Q1094" s="13"/>
      <c r="R1094" s="13"/>
      <c r="S1094" s="65"/>
      <c r="T1094" s="13"/>
      <c r="U1094" s="13"/>
      <c r="V1094" s="165"/>
      <c r="W1094" s="165"/>
      <c r="X1094" s="165"/>
      <c r="Y1094" s="165"/>
      <c r="Z1094" s="166"/>
      <c r="AA1094" s="166"/>
      <c r="AB1094" s="166"/>
      <c r="AC1094" s="166"/>
      <c r="AD1094" s="166"/>
      <c r="AE1094" s="166"/>
      <c r="AF1094" s="166"/>
      <c r="AG1094" s="166"/>
      <c r="AH1094" s="166"/>
    </row>
    <row r="1095" spans="1:34" ht="15.750000" customHeight="1">
      <c r="B1095" s="1"/>
      <c r="H1095" s="65"/>
      <c r="I1095" s="65"/>
      <c r="J1095" s="65"/>
      <c r="K1095" s="65"/>
      <c r="L1095" s="65"/>
      <c r="O1095" s="164"/>
      <c r="P1095" s="65"/>
      <c r="Q1095" s="13"/>
      <c r="R1095" s="13"/>
      <c r="S1095" s="65"/>
      <c r="T1095" s="13"/>
      <c r="U1095" s="13"/>
      <c r="V1095" s="165"/>
      <c r="W1095" s="165"/>
      <c r="X1095" s="165"/>
      <c r="Y1095" s="165"/>
      <c r="Z1095" s="166"/>
      <c r="AA1095" s="166"/>
      <c r="AB1095" s="166"/>
      <c r="AC1095" s="166"/>
      <c r="AD1095" s="166"/>
      <c r="AE1095" s="166"/>
      <c r="AF1095" s="166"/>
      <c r="AG1095" s="166"/>
      <c r="AH1095" s="166"/>
    </row>
    <row r="1096" spans="1:34" ht="15.750000" customHeight="1">
      <c r="B1096" s="1"/>
      <c r="H1096" s="169"/>
      <c r="I1096" s="65"/>
      <c r="J1096" s="65"/>
      <c r="K1096" s="65"/>
      <c r="L1096" s="65"/>
      <c r="O1096" s="164"/>
      <c r="P1096" s="65"/>
      <c r="Q1096" s="13"/>
      <c r="R1096" s="13"/>
      <c r="S1096" s="65"/>
      <c r="T1096" s="13"/>
      <c r="U1096" s="13"/>
      <c r="V1096" s="165"/>
      <c r="W1096" s="165"/>
      <c r="X1096" s="165"/>
      <c r="Y1096" s="165"/>
      <c r="Z1096" s="166"/>
      <c r="AA1096" s="166"/>
      <c r="AB1096" s="166"/>
      <c r="AC1096" s="166"/>
      <c r="AD1096" s="166"/>
      <c r="AE1096" s="166"/>
      <c r="AF1096" s="166"/>
      <c r="AG1096" s="166"/>
      <c r="AH1096" s="166"/>
    </row>
    <row r="1097" spans="1:34" ht="15.750000" customHeight="1">
      <c r="A1097" s="156" t="s">
        <v>116</v>
      </c>
      <c r="B1097" s="88"/>
      <c r="C1097" s="177"/>
      <c r="D1097" s="279"/>
      <c r="E1097" s="158">
        <f>F1097*120%</f>
        <v>0</v>
      </c>
      <c r="F1097" s="158">
        <f>(D1097-C1097+1)*G1097</f>
        <v>0</v>
      </c>
      <c r="G1097" s="159">
        <f>M1097*40</f>
        <v>0</v>
      </c>
      <c r="H1097" s="162"/>
      <c r="I1097" s="65"/>
      <c r="J1097" s="162"/>
      <c r="K1097" s="65"/>
      <c r="L1097" s="162"/>
      <c r="M1097" s="162"/>
      <c r="N1097" s="163"/>
      <c r="O1097" s="164"/>
      <c r="P1097" s="65"/>
      <c r="Q1097" s="13"/>
      <c r="R1097" s="13"/>
      <c r="S1097" s="188"/>
      <c r="T1097" s="13"/>
      <c r="U1097" s="13"/>
      <c r="V1097" s="165"/>
      <c r="W1097" s="165"/>
      <c r="X1097" s="165"/>
      <c r="Y1097" s="165"/>
      <c r="Z1097" s="166"/>
      <c r="AA1097" s="166"/>
      <c r="AB1097" s="166"/>
      <c r="AC1097" s="166"/>
      <c r="AD1097" s="166"/>
      <c r="AE1097" s="166"/>
      <c r="AF1097" s="166"/>
      <c r="AG1097" s="166"/>
      <c r="AH1097" s="166"/>
    </row>
    <row r="1098" spans="1:34" ht="15.750000" customHeight="1">
      <c r="B1098" s="88"/>
      <c r="H1098" s="162"/>
      <c r="I1098" s="65"/>
      <c r="J1098" s="162"/>
      <c r="K1098" s="65"/>
      <c r="L1098" s="162"/>
      <c r="O1098" s="164"/>
      <c r="P1098" s="65"/>
      <c r="Q1098" s="13"/>
      <c r="R1098" s="13"/>
      <c r="S1098" s="65"/>
      <c r="T1098" s="13"/>
      <c r="U1098" s="13"/>
      <c r="V1098" s="165"/>
      <c r="W1098" s="165"/>
      <c r="X1098" s="165"/>
      <c r="Y1098" s="165"/>
      <c r="Z1098" s="166"/>
      <c r="AA1098" s="166"/>
      <c r="AB1098" s="166"/>
      <c r="AC1098" s="166"/>
      <c r="AD1098" s="166"/>
      <c r="AE1098" s="166"/>
      <c r="AF1098" s="166"/>
      <c r="AG1098" s="166"/>
      <c r="AH1098" s="166"/>
    </row>
    <row r="1099" spans="1:34" ht="15.750000" customHeight="1">
      <c r="B1099" s="88"/>
      <c r="H1099" s="162"/>
      <c r="I1099" s="65"/>
      <c r="J1099" s="162"/>
      <c r="K1099" s="65"/>
      <c r="L1099" s="162"/>
      <c r="O1099" s="164"/>
      <c r="P1099" s="65"/>
      <c r="Q1099" s="13"/>
      <c r="R1099" s="13"/>
      <c r="S1099" s="65"/>
      <c r="T1099" s="13"/>
      <c r="U1099" s="13"/>
      <c r="V1099" s="165"/>
      <c r="W1099" s="165"/>
      <c r="X1099" s="165"/>
      <c r="Y1099" s="165"/>
      <c r="Z1099" s="166"/>
      <c r="AA1099" s="166"/>
      <c r="AB1099" s="166"/>
      <c r="AC1099" s="166"/>
      <c r="AD1099" s="166"/>
      <c r="AE1099" s="166"/>
      <c r="AF1099" s="166"/>
      <c r="AG1099" s="166"/>
      <c r="AH1099" s="166"/>
    </row>
    <row r="1100" spans="1:34" ht="15.750000" customHeight="1">
      <c r="B1100" s="1"/>
      <c r="H1100" s="65"/>
      <c r="I1100" s="65"/>
      <c r="J1100" s="65"/>
      <c r="K1100" s="65"/>
      <c r="L1100" s="65"/>
      <c r="O1100" s="164"/>
      <c r="P1100" s="65"/>
      <c r="Q1100" s="13"/>
      <c r="R1100" s="13"/>
      <c r="S1100" s="65"/>
      <c r="T1100" s="13"/>
      <c r="U1100" s="13"/>
      <c r="V1100" s="165"/>
      <c r="W1100" s="165"/>
      <c r="X1100" s="165"/>
      <c r="Y1100" s="165"/>
      <c r="Z1100" s="166"/>
      <c r="AA1100" s="166"/>
      <c r="AB1100" s="166"/>
      <c r="AC1100" s="166"/>
      <c r="AD1100" s="166"/>
      <c r="AE1100" s="166"/>
      <c r="AF1100" s="166"/>
      <c r="AG1100" s="166"/>
      <c r="AH1100" s="166"/>
    </row>
    <row r="1101" spans="1:34" ht="15.750000" customHeight="1">
      <c r="B1101" s="1"/>
      <c r="H1101" s="169"/>
      <c r="I1101" s="65"/>
      <c r="J1101" s="65"/>
      <c r="K1101" s="65"/>
      <c r="L1101" s="65"/>
      <c r="O1101" s="164"/>
      <c r="P1101" s="65"/>
      <c r="Q1101" s="13"/>
      <c r="R1101" s="13"/>
      <c r="S1101" s="65"/>
      <c r="T1101" s="13"/>
      <c r="U1101" s="13"/>
      <c r="V1101" s="165"/>
      <c r="W1101" s="165"/>
      <c r="X1101" s="165"/>
      <c r="Y1101" s="165"/>
      <c r="Z1101" s="166"/>
      <c r="AA1101" s="166"/>
      <c r="AB1101" s="166"/>
      <c r="AC1101" s="166"/>
      <c r="AD1101" s="166"/>
      <c r="AE1101" s="166"/>
      <c r="AF1101" s="166"/>
      <c r="AG1101" s="166"/>
      <c r="AH1101" s="166"/>
    </row>
    <row r="1102" spans="1:34" ht="15.750000" customHeight="1">
      <c r="A1102" s="156" t="s">
        <v>116</v>
      </c>
      <c r="B1102" s="88"/>
      <c r="C1102" s="472"/>
      <c r="D1102" s="472"/>
      <c r="E1102" s="158">
        <f>F1102*120%</f>
        <v>0</v>
      </c>
      <c r="F1102" s="158">
        <f>(D1102-C1102+1)*G1102</f>
        <v>0</v>
      </c>
      <c r="G1102" s="159">
        <f>M1102*40</f>
        <v>0</v>
      </c>
      <c r="H1102" s="162"/>
      <c r="I1102" s="65"/>
      <c r="J1102" s="162"/>
      <c r="K1102" s="65"/>
      <c r="L1102" s="162"/>
      <c r="M1102" s="162"/>
      <c r="N1102" s="163"/>
      <c r="O1102" s="164"/>
      <c r="P1102" s="65"/>
      <c r="Q1102" s="13"/>
      <c r="R1102" s="13"/>
      <c r="S1102" s="188"/>
      <c r="T1102" s="13"/>
      <c r="U1102" s="13"/>
      <c r="V1102" s="165"/>
      <c r="W1102" s="165"/>
      <c r="X1102" s="165"/>
      <c r="Y1102" s="165"/>
      <c r="Z1102" s="166"/>
      <c r="AA1102" s="166"/>
      <c r="AB1102" s="166"/>
      <c r="AC1102" s="166"/>
      <c r="AD1102" s="166"/>
      <c r="AE1102" s="166"/>
      <c r="AF1102" s="166"/>
      <c r="AG1102" s="166"/>
      <c r="AH1102" s="166"/>
    </row>
    <row r="1103" spans="1:34" ht="15.750000" customHeight="1">
      <c r="B1103" s="88"/>
      <c r="H1103" s="162"/>
      <c r="I1103" s="65"/>
      <c r="J1103" s="162"/>
      <c r="K1103" s="188"/>
      <c r="L1103" s="162"/>
      <c r="O1103" s="164"/>
      <c r="P1103" s="65"/>
      <c r="Q1103" s="13"/>
      <c r="R1103" s="13"/>
      <c r="S1103" s="65"/>
      <c r="T1103" s="13"/>
      <c r="U1103" s="13"/>
      <c r="V1103" s="165"/>
      <c r="W1103" s="165"/>
      <c r="X1103" s="165"/>
      <c r="Y1103" s="165"/>
      <c r="Z1103" s="166"/>
      <c r="AA1103" s="166"/>
      <c r="AB1103" s="166"/>
      <c r="AC1103" s="166"/>
      <c r="AD1103" s="166"/>
      <c r="AE1103" s="166"/>
      <c r="AF1103" s="166"/>
      <c r="AG1103" s="166"/>
      <c r="AH1103" s="166"/>
    </row>
    <row r="1104" spans="1:34" ht="15.750000" customHeight="1">
      <c r="B1104" s="1"/>
      <c r="H1104" s="65"/>
      <c r="I1104" s="65"/>
      <c r="J1104" s="65"/>
      <c r="K1104" s="65"/>
      <c r="L1104" s="65"/>
      <c r="O1104" s="164"/>
      <c r="P1104" s="65"/>
      <c r="Q1104" s="13"/>
      <c r="R1104" s="13"/>
      <c r="S1104" s="65"/>
      <c r="T1104" s="13"/>
      <c r="U1104" s="13"/>
      <c r="V1104" s="165"/>
      <c r="W1104" s="165"/>
      <c r="X1104" s="165"/>
      <c r="Y1104" s="165"/>
      <c r="Z1104" s="166"/>
      <c r="AA1104" s="166"/>
      <c r="AB1104" s="166"/>
      <c r="AC1104" s="166"/>
      <c r="AD1104" s="166"/>
      <c r="AE1104" s="166"/>
      <c r="AF1104" s="166"/>
      <c r="AG1104" s="166"/>
      <c r="AH1104" s="166"/>
    </row>
    <row r="1105" spans="1:34" ht="15.750000" customHeight="1">
      <c r="B1105" s="1"/>
      <c r="H1105" s="65"/>
      <c r="I1105" s="65"/>
      <c r="J1105" s="65"/>
      <c r="K1105" s="65"/>
      <c r="L1105" s="65"/>
      <c r="O1105" s="164"/>
      <c r="P1105" s="65"/>
      <c r="Q1105" s="13"/>
      <c r="R1105" s="13"/>
      <c r="S1105" s="65"/>
      <c r="T1105" s="13"/>
      <c r="U1105" s="13"/>
      <c r="V1105" s="165"/>
      <c r="W1105" s="165"/>
      <c r="X1105" s="165"/>
      <c r="Y1105" s="165"/>
      <c r="Z1105" s="166"/>
      <c r="AA1105" s="166"/>
      <c r="AB1105" s="166"/>
      <c r="AC1105" s="166"/>
      <c r="AD1105" s="166"/>
      <c r="AE1105" s="166"/>
      <c r="AF1105" s="166"/>
      <c r="AG1105" s="166"/>
      <c r="AH1105" s="166"/>
    </row>
    <row r="1106" spans="1:34" ht="15.750000" customHeight="1">
      <c r="B1106" s="1"/>
      <c r="H1106" s="169"/>
      <c r="I1106" s="65"/>
      <c r="J1106" s="65"/>
      <c r="K1106" s="65"/>
      <c r="L1106" s="65"/>
      <c r="O1106" s="164"/>
      <c r="P1106" s="65"/>
      <c r="Q1106" s="13"/>
      <c r="R1106" s="13"/>
      <c r="S1106" s="65"/>
      <c r="T1106" s="13"/>
      <c r="U1106" s="13"/>
      <c r="V1106" s="165"/>
      <c r="W1106" s="165"/>
      <c r="X1106" s="165"/>
      <c r="Y1106" s="165"/>
      <c r="Z1106" s="166"/>
      <c r="AA1106" s="166"/>
      <c r="AB1106" s="166"/>
      <c r="AC1106" s="166"/>
      <c r="AD1106" s="166"/>
      <c r="AE1106" s="166"/>
      <c r="AF1106" s="166"/>
      <c r="AG1106" s="166"/>
      <c r="AH1106" s="166"/>
    </row>
    <row r="1107" spans="1:34" ht="15.750000" customHeight="1">
      <c r="A1107" s="156" t="s">
        <v>116</v>
      </c>
      <c r="B1107" s="88"/>
      <c r="C1107" s="472"/>
      <c r="D1107" s="177"/>
      <c r="E1107" s="158">
        <f>F1107*120%</f>
        <v>0</v>
      </c>
      <c r="F1107" s="158">
        <f>(D1107-C1107+1)*G1107</f>
        <v>0</v>
      </c>
      <c r="G1107" s="159">
        <f>M1107*40</f>
        <v>0</v>
      </c>
      <c r="H1107" s="162"/>
      <c r="I1107" s="65"/>
      <c r="J1107" s="162"/>
      <c r="K1107" s="65"/>
      <c r="L1107" s="162"/>
      <c r="M1107" s="162"/>
      <c r="N1107" s="163"/>
      <c r="O1107" s="164"/>
      <c r="P1107" s="65"/>
      <c r="Q1107" s="13"/>
      <c r="R1107" s="13"/>
      <c r="S1107" s="65"/>
      <c r="T1107" s="13"/>
      <c r="U1107" s="13"/>
      <c r="V1107" s="165"/>
      <c r="W1107" s="165"/>
      <c r="X1107" s="165"/>
      <c r="Y1107" s="165"/>
      <c r="Z1107" s="166"/>
      <c r="AA1107" s="166"/>
      <c r="AB1107" s="166"/>
      <c r="AC1107" s="166"/>
      <c r="AD1107" s="166"/>
      <c r="AE1107" s="166"/>
      <c r="AF1107" s="166"/>
      <c r="AG1107" s="166"/>
      <c r="AH1107" s="166"/>
    </row>
    <row r="1108" spans="1:34" ht="15.750000" customHeight="1">
      <c r="B1108" s="1"/>
      <c r="H1108" s="65"/>
      <c r="I1108" s="65"/>
      <c r="J1108" s="65"/>
      <c r="K1108" s="65"/>
      <c r="L1108" s="65"/>
      <c r="O1108" s="164"/>
      <c r="P1108" s="65"/>
      <c r="Q1108" s="13"/>
      <c r="R1108" s="13"/>
      <c r="S1108" s="65"/>
      <c r="T1108" s="13"/>
      <c r="U1108" s="13"/>
      <c r="V1108" s="165"/>
      <c r="W1108" s="165"/>
      <c r="X1108" s="165"/>
      <c r="Y1108" s="165"/>
      <c r="Z1108" s="166"/>
      <c r="AA1108" s="166"/>
      <c r="AB1108" s="166"/>
      <c r="AC1108" s="166"/>
      <c r="AD1108" s="166"/>
      <c r="AE1108" s="166"/>
      <c r="AF1108" s="166"/>
      <c r="AG1108" s="166"/>
      <c r="AH1108" s="166"/>
    </row>
    <row r="1109" spans="1:34" ht="15.750000" customHeight="1">
      <c r="B1109" s="1"/>
      <c r="H1109" s="65"/>
      <c r="I1109" s="65"/>
      <c r="J1109" s="65"/>
      <c r="K1109" s="65"/>
      <c r="L1109" s="65"/>
      <c r="O1109" s="164"/>
      <c r="P1109" s="65"/>
      <c r="Q1109" s="13"/>
      <c r="R1109" s="13"/>
      <c r="S1109" s="65"/>
      <c r="T1109" s="13"/>
      <c r="U1109" s="13"/>
      <c r="V1109" s="165"/>
      <c r="W1109" s="165"/>
      <c r="X1109" s="165"/>
      <c r="Y1109" s="165"/>
      <c r="Z1109" s="166"/>
      <c r="AA1109" s="166"/>
      <c r="AB1109" s="166"/>
      <c r="AC1109" s="166"/>
      <c r="AD1109" s="166"/>
      <c r="AE1109" s="166"/>
      <c r="AF1109" s="166"/>
      <c r="AG1109" s="166"/>
      <c r="AH1109" s="166"/>
    </row>
    <row r="1110" spans="1:34" ht="15.750000" customHeight="1">
      <c r="B1110" s="1"/>
      <c r="H1110" s="65"/>
      <c r="I1110" s="65"/>
      <c r="J1110" s="65"/>
      <c r="K1110" s="65"/>
      <c r="L1110" s="65"/>
      <c r="O1110" s="164"/>
      <c r="P1110" s="65"/>
      <c r="Q1110" s="13"/>
      <c r="R1110" s="13"/>
      <c r="S1110" s="65"/>
      <c r="T1110" s="13"/>
      <c r="U1110" s="13"/>
      <c r="V1110" s="165"/>
      <c r="W1110" s="165"/>
      <c r="X1110" s="165"/>
      <c r="Y1110" s="165"/>
      <c r="Z1110" s="166"/>
      <c r="AA1110" s="166"/>
      <c r="AB1110" s="166"/>
      <c r="AC1110" s="166"/>
      <c r="AD1110" s="166"/>
      <c r="AE1110" s="166"/>
      <c r="AF1110" s="166"/>
      <c r="AG1110" s="166"/>
      <c r="AH1110" s="166"/>
    </row>
    <row r="1111" spans="1:34" ht="15.750000" customHeight="1">
      <c r="B1111" s="1"/>
      <c r="H1111" s="169"/>
      <c r="I1111" s="65"/>
      <c r="J1111" s="65"/>
      <c r="K1111" s="65"/>
      <c r="L1111" s="65"/>
      <c r="O1111" s="164"/>
      <c r="P1111" s="65"/>
      <c r="Q1111" s="13"/>
      <c r="R1111" s="13"/>
      <c r="S1111" s="65"/>
      <c r="T1111" s="13"/>
      <c r="U1111" s="13"/>
      <c r="V1111" s="165"/>
      <c r="W1111" s="165"/>
      <c r="X1111" s="165"/>
      <c r="Y1111" s="165"/>
      <c r="Z1111" s="166"/>
      <c r="AA1111" s="166"/>
      <c r="AB1111" s="166"/>
      <c r="AC1111" s="166"/>
      <c r="AD1111" s="166"/>
      <c r="AE1111" s="166"/>
      <c r="AF1111" s="166"/>
      <c r="AG1111" s="166"/>
      <c r="AH1111" s="166"/>
    </row>
    <row r="1112" spans="1:34" ht="15.750000" customHeight="1">
      <c r="A1112" s="156" t="s">
        <v>116</v>
      </c>
      <c r="B1112" s="88"/>
      <c r="C1112" s="279"/>
      <c r="D1112" s="177"/>
      <c r="E1112" s="158">
        <f>F1112*120%</f>
        <v>0</v>
      </c>
      <c r="F1112" s="158">
        <f>(D1112-C1112+1)*G1112</f>
        <v>0</v>
      </c>
      <c r="G1112" s="159">
        <f>M1112*40</f>
        <v>0</v>
      </c>
      <c r="H1112" s="162"/>
      <c r="I1112" s="65"/>
      <c r="J1112" s="465"/>
      <c r="K1112" s="65"/>
      <c r="L1112" s="162"/>
      <c r="M1112" s="162"/>
      <c r="N1112" s="163"/>
      <c r="O1112" s="164"/>
      <c r="P1112" s="65"/>
      <c r="Q1112" s="13"/>
      <c r="R1112" s="13"/>
      <c r="S1112" s="188"/>
      <c r="T1112" s="13"/>
      <c r="U1112" s="13"/>
      <c r="V1112" s="165"/>
      <c r="W1112" s="165"/>
      <c r="X1112" s="165"/>
      <c r="Y1112" s="165"/>
      <c r="Z1112" s="166"/>
      <c r="AA1112" s="166"/>
      <c r="AB1112" s="166"/>
      <c r="AC1112" s="166"/>
      <c r="AD1112" s="166"/>
      <c r="AE1112" s="166"/>
      <c r="AF1112" s="166"/>
      <c r="AG1112" s="166"/>
      <c r="AH1112" s="166"/>
    </row>
    <row r="1113" spans="1:34" ht="15.750000" customHeight="1">
      <c r="B1113" s="88"/>
      <c r="H1113" s="162"/>
      <c r="I1113" s="65"/>
      <c r="J1113" s="465"/>
      <c r="K1113" s="65"/>
      <c r="L1113" s="162"/>
      <c r="O1113" s="164"/>
      <c r="P1113" s="65"/>
      <c r="Q1113" s="13"/>
      <c r="R1113" s="13"/>
      <c r="S1113" s="65"/>
      <c r="T1113" s="13"/>
      <c r="U1113" s="13"/>
      <c r="V1113" s="165"/>
      <c r="W1113" s="165"/>
      <c r="X1113" s="165"/>
      <c r="Y1113" s="165"/>
      <c r="Z1113" s="166"/>
      <c r="AA1113" s="166"/>
      <c r="AB1113" s="166"/>
      <c r="AC1113" s="166"/>
      <c r="AD1113" s="166"/>
      <c r="AE1113" s="166"/>
      <c r="AF1113" s="166"/>
      <c r="AG1113" s="166"/>
      <c r="AH1113" s="166"/>
    </row>
    <row r="1114" spans="1:34" ht="15.750000" customHeight="1">
      <c r="B1114" s="1"/>
      <c r="H1114" s="65"/>
      <c r="I1114" s="65"/>
      <c r="J1114" s="65"/>
      <c r="K1114" s="65"/>
      <c r="L1114" s="65"/>
      <c r="O1114" s="164"/>
      <c r="P1114" s="65"/>
      <c r="Q1114" s="13"/>
      <c r="R1114" s="13"/>
      <c r="S1114" s="65"/>
      <c r="T1114" s="13"/>
      <c r="U1114" s="13"/>
      <c r="V1114" s="165"/>
      <c r="W1114" s="165"/>
      <c r="X1114" s="165"/>
      <c r="Y1114" s="165"/>
      <c r="Z1114" s="166"/>
      <c r="AA1114" s="166"/>
      <c r="AB1114" s="166"/>
      <c r="AC1114" s="166"/>
      <c r="AD1114" s="166"/>
      <c r="AE1114" s="166"/>
      <c r="AF1114" s="166"/>
      <c r="AG1114" s="166"/>
      <c r="AH1114" s="166"/>
    </row>
    <row r="1115" spans="1:34" ht="15.750000" customHeight="1">
      <c r="B1115" s="1"/>
      <c r="H1115" s="65"/>
      <c r="I1115" s="65"/>
      <c r="J1115" s="65"/>
      <c r="K1115" s="65"/>
      <c r="L1115" s="65"/>
      <c r="O1115" s="164"/>
      <c r="P1115" s="65"/>
      <c r="Q1115" s="13"/>
      <c r="R1115" s="13"/>
      <c r="S1115" s="65"/>
      <c r="T1115" s="13"/>
      <c r="U1115" s="13"/>
      <c r="V1115" s="165"/>
      <c r="W1115" s="165"/>
      <c r="X1115" s="165"/>
      <c r="Y1115" s="165"/>
      <c r="Z1115" s="166"/>
      <c r="AA1115" s="166"/>
      <c r="AB1115" s="166"/>
      <c r="AC1115" s="166"/>
      <c r="AD1115" s="166"/>
      <c r="AE1115" s="166"/>
      <c r="AF1115" s="166"/>
      <c r="AG1115" s="166"/>
      <c r="AH1115" s="166"/>
    </row>
    <row r="1116" spans="1:34" ht="15.750000" customHeight="1">
      <c r="B1116" s="1"/>
      <c r="H1116" s="169"/>
      <c r="I1116" s="65"/>
      <c r="J1116" s="65"/>
      <c r="K1116" s="65"/>
      <c r="L1116" s="65"/>
      <c r="O1116" s="164"/>
      <c r="P1116" s="65"/>
      <c r="Q1116" s="13"/>
      <c r="R1116" s="13"/>
      <c r="S1116" s="65"/>
      <c r="T1116" s="13"/>
      <c r="U1116" s="13"/>
      <c r="V1116" s="165"/>
      <c r="W1116" s="165"/>
      <c r="X1116" s="165"/>
      <c r="Y1116" s="165"/>
      <c r="Z1116" s="166"/>
      <c r="AA1116" s="166"/>
      <c r="AB1116" s="166"/>
      <c r="AC1116" s="166"/>
      <c r="AD1116" s="166"/>
      <c r="AE1116" s="166"/>
      <c r="AF1116" s="166"/>
      <c r="AG1116" s="166"/>
      <c r="AH1116" s="166"/>
    </row>
    <row r="1117" spans="1:34" ht="15.750000" customHeight="1">
      <c r="A1117" s="156" t="s">
        <v>116</v>
      </c>
      <c r="B1117" s="88"/>
      <c r="C1117" s="472"/>
      <c r="D1117" s="472"/>
      <c r="E1117" s="158">
        <f>F1117*120%</f>
        <v>0</v>
      </c>
      <c r="F1117" s="158">
        <f>(D1117-C1117+1)*G1117</f>
        <v>0</v>
      </c>
      <c r="G1117" s="159">
        <f>M1117*40</f>
        <v>0</v>
      </c>
      <c r="H1117" s="162"/>
      <c r="I1117" s="65"/>
      <c r="J1117" s="162"/>
      <c r="K1117" s="65"/>
      <c r="L1117" s="162"/>
      <c r="M1117" s="162"/>
      <c r="N1117" s="163"/>
      <c r="O1117" s="164"/>
      <c r="P1117" s="65"/>
      <c r="Q1117" s="13"/>
      <c r="R1117" s="13"/>
      <c r="S1117" s="188"/>
      <c r="T1117" s="13"/>
      <c r="U1117" s="13"/>
      <c r="V1117" s="165"/>
      <c r="W1117" s="165"/>
      <c r="X1117" s="165"/>
      <c r="Y1117" s="165"/>
      <c r="Z1117" s="166"/>
      <c r="AA1117" s="166"/>
      <c r="AB1117" s="166"/>
      <c r="AC1117" s="166"/>
      <c r="AD1117" s="166"/>
      <c r="AE1117" s="166"/>
      <c r="AF1117" s="166"/>
      <c r="AG1117" s="166"/>
      <c r="AH1117" s="166"/>
    </row>
    <row r="1118" spans="1:34" ht="15.750000" customHeight="1">
      <c r="B1118" s="88"/>
      <c r="H1118" s="162"/>
      <c r="I1118" s="65"/>
      <c r="J1118" s="162"/>
      <c r="K1118" s="188"/>
      <c r="L1118" s="162"/>
      <c r="O1118" s="164"/>
      <c r="P1118" s="65"/>
      <c r="Q1118" s="13"/>
      <c r="R1118" s="13"/>
      <c r="S1118" s="65"/>
      <c r="T1118" s="13"/>
      <c r="U1118" s="13"/>
      <c r="V1118" s="165"/>
      <c r="W1118" s="165"/>
      <c r="X1118" s="165"/>
      <c r="Y1118" s="165"/>
      <c r="Z1118" s="166"/>
      <c r="AA1118" s="166"/>
      <c r="AB1118" s="166"/>
      <c r="AC1118" s="166"/>
      <c r="AD1118" s="166"/>
      <c r="AE1118" s="166"/>
      <c r="AF1118" s="166"/>
      <c r="AG1118" s="166"/>
      <c r="AH1118" s="166"/>
    </row>
    <row r="1119" spans="1:34" ht="15.750000" customHeight="1">
      <c r="B1119" s="1"/>
      <c r="H1119" s="65"/>
      <c r="I1119" s="65"/>
      <c r="J1119" s="65"/>
      <c r="K1119" s="65"/>
      <c r="L1119" s="65"/>
      <c r="O1119" s="164"/>
      <c r="P1119" s="65"/>
      <c r="Q1119" s="13"/>
      <c r="R1119" s="13"/>
      <c r="S1119" s="65"/>
      <c r="T1119" s="13"/>
      <c r="U1119" s="13"/>
      <c r="V1119" s="165"/>
      <c r="W1119" s="165"/>
      <c r="X1119" s="165"/>
      <c r="Y1119" s="165"/>
      <c r="Z1119" s="166"/>
      <c r="AA1119" s="166"/>
      <c r="AB1119" s="166"/>
      <c r="AC1119" s="166"/>
      <c r="AD1119" s="166"/>
      <c r="AE1119" s="166"/>
      <c r="AF1119" s="166"/>
      <c r="AG1119" s="166"/>
      <c r="AH1119" s="166"/>
    </row>
    <row r="1120" spans="1:34" ht="15.750000" customHeight="1">
      <c r="B1120" s="1"/>
      <c r="H1120" s="65"/>
      <c r="I1120" s="65"/>
      <c r="J1120" s="65"/>
      <c r="K1120" s="65"/>
      <c r="L1120" s="65"/>
      <c r="O1120" s="164"/>
      <c r="P1120" s="65"/>
      <c r="Q1120" s="13"/>
      <c r="R1120" s="13"/>
      <c r="S1120" s="65"/>
      <c r="T1120" s="13"/>
      <c r="U1120" s="13"/>
      <c r="V1120" s="165"/>
      <c r="W1120" s="165"/>
      <c r="X1120" s="165"/>
      <c r="Y1120" s="165"/>
      <c r="Z1120" s="166"/>
      <c r="AA1120" s="166"/>
      <c r="AB1120" s="166"/>
      <c r="AC1120" s="166"/>
      <c r="AD1120" s="166"/>
      <c r="AE1120" s="166"/>
      <c r="AF1120" s="166"/>
      <c r="AG1120" s="166"/>
      <c r="AH1120" s="166"/>
    </row>
    <row r="1121" spans="1:34" ht="15.750000" customHeight="1">
      <c r="B1121" s="1"/>
      <c r="H1121" s="169"/>
      <c r="I1121" s="65"/>
      <c r="J1121" s="65"/>
      <c r="K1121" s="65"/>
      <c r="L1121" s="65"/>
      <c r="O1121" s="164"/>
      <c r="P1121" s="65"/>
      <c r="Q1121" s="13"/>
      <c r="R1121" s="13"/>
      <c r="S1121" s="65"/>
      <c r="T1121" s="13"/>
      <c r="U1121" s="13"/>
      <c r="V1121" s="165"/>
      <c r="W1121" s="165"/>
      <c r="X1121" s="165"/>
      <c r="Y1121" s="165"/>
      <c r="Z1121" s="166"/>
      <c r="AA1121" s="166"/>
      <c r="AB1121" s="166"/>
      <c r="AC1121" s="166"/>
      <c r="AD1121" s="166"/>
      <c r="AE1121" s="166"/>
      <c r="AF1121" s="166"/>
      <c r="AG1121" s="166"/>
      <c r="AH1121" s="166"/>
    </row>
    <row r="1122" spans="1:34" ht="15.750000" customHeight="1">
      <c r="A1122" s="156" t="s">
        <v>116</v>
      </c>
      <c r="B1122" s="88"/>
      <c r="C1122" s="472"/>
      <c r="D1122" s="279"/>
      <c r="E1122" s="158">
        <f>F1122*120%</f>
        <v>0</v>
      </c>
      <c r="F1122" s="158">
        <f>(D1122-C1122+1)*G1122</f>
        <v>0</v>
      </c>
      <c r="G1122" s="159">
        <f>M1122*40</f>
        <v>0</v>
      </c>
      <c r="H1122" s="162"/>
      <c r="I1122" s="65"/>
      <c r="J1122" s="162"/>
      <c r="K1122" s="65"/>
      <c r="L1122" s="162"/>
      <c r="M1122" s="162"/>
      <c r="N1122" s="163"/>
      <c r="O1122" s="164"/>
      <c r="P1122" s="65"/>
      <c r="Q1122" s="13"/>
      <c r="R1122" s="13"/>
      <c r="S1122" s="188"/>
      <c r="T1122" s="13"/>
      <c r="U1122" s="13"/>
      <c r="V1122" s="165"/>
      <c r="W1122" s="165"/>
      <c r="X1122" s="165"/>
      <c r="Y1122" s="165"/>
      <c r="Z1122" s="166"/>
      <c r="AA1122" s="166"/>
      <c r="AB1122" s="166"/>
      <c r="AC1122" s="166"/>
      <c r="AD1122" s="166"/>
      <c r="AE1122" s="166"/>
      <c r="AF1122" s="166"/>
      <c r="AG1122" s="166"/>
      <c r="AH1122" s="166"/>
    </row>
    <row r="1123" spans="1:34" ht="15.750000" customHeight="1">
      <c r="B1123" s="1"/>
      <c r="H1123" s="65"/>
      <c r="I1123" s="65"/>
      <c r="J1123" s="65"/>
      <c r="K1123" s="65"/>
      <c r="L1123" s="65"/>
      <c r="O1123" s="164"/>
      <c r="P1123" s="65"/>
      <c r="Q1123" s="13"/>
      <c r="R1123" s="13"/>
      <c r="S1123" s="65"/>
      <c r="T1123" s="13"/>
      <c r="U1123" s="13"/>
      <c r="V1123" s="165"/>
      <c r="W1123" s="165"/>
      <c r="X1123" s="165"/>
      <c r="Y1123" s="165"/>
      <c r="Z1123" s="166"/>
      <c r="AA1123" s="166"/>
      <c r="AB1123" s="166"/>
      <c r="AC1123" s="166"/>
      <c r="AD1123" s="166"/>
      <c r="AE1123" s="166"/>
      <c r="AF1123" s="166"/>
      <c r="AG1123" s="166"/>
      <c r="AH1123" s="166"/>
    </row>
    <row r="1124" spans="1:34" ht="15.750000" customHeight="1">
      <c r="B1124" s="1"/>
      <c r="H1124" s="65"/>
      <c r="I1124" s="65"/>
      <c r="J1124" s="65"/>
      <c r="K1124" s="65"/>
      <c r="L1124" s="65"/>
      <c r="O1124" s="164"/>
      <c r="P1124" s="65"/>
      <c r="Q1124" s="13"/>
      <c r="R1124" s="13"/>
      <c r="S1124" s="65"/>
      <c r="T1124" s="13"/>
      <c r="U1124" s="13"/>
      <c r="V1124" s="165"/>
      <c r="W1124" s="165"/>
      <c r="X1124" s="165"/>
      <c r="Y1124" s="165"/>
      <c r="Z1124" s="166"/>
      <c r="AA1124" s="166"/>
      <c r="AB1124" s="166"/>
      <c r="AC1124" s="166"/>
      <c r="AD1124" s="166"/>
      <c r="AE1124" s="166"/>
      <c r="AF1124" s="166"/>
      <c r="AG1124" s="166"/>
      <c r="AH1124" s="166"/>
    </row>
    <row r="1125" spans="1:34" ht="15.750000" customHeight="1">
      <c r="B1125" s="1"/>
      <c r="H1125" s="65"/>
      <c r="I1125" s="65"/>
      <c r="J1125" s="65"/>
      <c r="K1125" s="65"/>
      <c r="L1125" s="65"/>
      <c r="O1125" s="164"/>
      <c r="P1125" s="65"/>
      <c r="Q1125" s="13"/>
      <c r="R1125" s="13"/>
      <c r="S1125" s="65"/>
      <c r="T1125" s="13"/>
      <c r="U1125" s="13"/>
      <c r="V1125" s="165"/>
      <c r="W1125" s="165"/>
      <c r="X1125" s="165"/>
      <c r="Y1125" s="165"/>
      <c r="Z1125" s="166"/>
      <c r="AA1125" s="166"/>
      <c r="AB1125" s="166"/>
      <c r="AC1125" s="166"/>
      <c r="AD1125" s="166"/>
      <c r="AE1125" s="166"/>
      <c r="AF1125" s="166"/>
      <c r="AG1125" s="166"/>
      <c r="AH1125" s="166"/>
    </row>
    <row r="1126" spans="1:34" ht="15.750000" customHeight="1">
      <c r="B1126" s="1"/>
      <c r="H1126" s="169"/>
      <c r="I1126" s="65"/>
      <c r="J1126" s="65"/>
      <c r="K1126" s="65"/>
      <c r="L1126" s="65"/>
      <c r="O1126" s="164"/>
      <c r="P1126" s="65"/>
      <c r="Q1126" s="13"/>
      <c r="R1126" s="13"/>
      <c r="S1126" s="65"/>
      <c r="T1126" s="13"/>
      <c r="U1126" s="13"/>
      <c r="V1126" s="165"/>
      <c r="W1126" s="165"/>
      <c r="X1126" s="165"/>
      <c r="Y1126" s="165"/>
      <c r="Z1126" s="166"/>
      <c r="AA1126" s="166"/>
      <c r="AB1126" s="166"/>
      <c r="AC1126" s="166"/>
      <c r="AD1126" s="166"/>
      <c r="AE1126" s="166"/>
      <c r="AF1126" s="166"/>
      <c r="AG1126" s="166"/>
      <c r="AH1126" s="166"/>
    </row>
    <row r="1127" spans="1:34" ht="15.750000" customHeight="1">
      <c r="A1127" s="156" t="s">
        <v>116</v>
      </c>
      <c r="B1127" s="88"/>
      <c r="C1127" s="472"/>
      <c r="D1127" s="279"/>
      <c r="E1127" s="158">
        <f>F1127*120%</f>
        <v>0</v>
      </c>
      <c r="F1127" s="158">
        <f>(D1127-C1127+1)*G1127</f>
        <v>0</v>
      </c>
      <c r="G1127" s="159">
        <f>M1127*40</f>
        <v>0</v>
      </c>
      <c r="H1127" s="162"/>
      <c r="I1127" s="65"/>
      <c r="J1127" s="162"/>
      <c r="K1127" s="65"/>
      <c r="L1127" s="162"/>
      <c r="M1127" s="162"/>
      <c r="N1127" s="163"/>
      <c r="O1127" s="164"/>
      <c r="P1127" s="65"/>
      <c r="Q1127" s="13"/>
      <c r="R1127" s="13"/>
      <c r="S1127" s="188"/>
      <c r="T1127" s="13"/>
      <c r="U1127" s="13"/>
      <c r="V1127" s="165"/>
      <c r="W1127" s="165"/>
      <c r="X1127" s="165"/>
      <c r="Y1127" s="165"/>
      <c r="Z1127" s="166"/>
      <c r="AA1127" s="166"/>
      <c r="AB1127" s="166"/>
      <c r="AC1127" s="166"/>
      <c r="AD1127" s="166"/>
      <c r="AE1127" s="166"/>
      <c r="AF1127" s="166"/>
      <c r="AG1127" s="166"/>
      <c r="AH1127" s="166"/>
    </row>
    <row r="1128" spans="1:34" ht="15.750000" customHeight="1">
      <c r="B1128" s="1"/>
      <c r="H1128" s="65"/>
      <c r="I1128" s="65"/>
      <c r="J1128" s="65"/>
      <c r="K1128" s="65"/>
      <c r="L1128" s="65"/>
      <c r="O1128" s="164"/>
      <c r="P1128" s="65"/>
      <c r="Q1128" s="13"/>
      <c r="R1128" s="13"/>
      <c r="S1128" s="65"/>
      <c r="T1128" s="13"/>
      <c r="U1128" s="13"/>
      <c r="V1128" s="165"/>
      <c r="W1128" s="165"/>
      <c r="X1128" s="165"/>
      <c r="Y1128" s="165"/>
      <c r="Z1128" s="166"/>
      <c r="AA1128" s="166"/>
      <c r="AB1128" s="166"/>
      <c r="AC1128" s="166"/>
      <c r="AD1128" s="166"/>
      <c r="AE1128" s="166"/>
      <c r="AF1128" s="166"/>
      <c r="AG1128" s="166"/>
      <c r="AH1128" s="166"/>
    </row>
    <row r="1129" spans="1:34" ht="15.750000" customHeight="1">
      <c r="B1129" s="1"/>
      <c r="H1129" s="65"/>
      <c r="I1129" s="65"/>
      <c r="J1129" s="65"/>
      <c r="K1129" s="65"/>
      <c r="L1129" s="65"/>
      <c r="O1129" s="164"/>
      <c r="P1129" s="65"/>
      <c r="Q1129" s="13"/>
      <c r="R1129" s="13"/>
      <c r="S1129" s="65"/>
      <c r="T1129" s="13"/>
      <c r="U1129" s="13"/>
      <c r="V1129" s="165"/>
      <c r="W1129" s="165"/>
      <c r="X1129" s="165"/>
      <c r="Y1129" s="165"/>
      <c r="Z1129" s="166"/>
      <c r="AA1129" s="166"/>
      <c r="AB1129" s="166"/>
      <c r="AC1129" s="166"/>
      <c r="AD1129" s="166"/>
      <c r="AE1129" s="166"/>
      <c r="AF1129" s="166"/>
      <c r="AG1129" s="166"/>
      <c r="AH1129" s="166"/>
    </row>
    <row r="1130" spans="1:34" ht="15.750000" customHeight="1">
      <c r="B1130" s="1"/>
      <c r="H1130" s="65"/>
      <c r="I1130" s="65"/>
      <c r="J1130" s="65"/>
      <c r="K1130" s="65"/>
      <c r="L1130" s="65"/>
      <c r="O1130" s="164"/>
      <c r="P1130" s="65"/>
      <c r="Q1130" s="13"/>
      <c r="R1130" s="13"/>
      <c r="S1130" s="65"/>
      <c r="T1130" s="13"/>
      <c r="U1130" s="13"/>
      <c r="V1130" s="165"/>
      <c r="W1130" s="165"/>
      <c r="X1130" s="165"/>
      <c r="Y1130" s="165"/>
      <c r="Z1130" s="166"/>
      <c r="AA1130" s="166"/>
      <c r="AB1130" s="166"/>
      <c r="AC1130" s="166"/>
      <c r="AD1130" s="166"/>
      <c r="AE1130" s="166"/>
      <c r="AF1130" s="166"/>
      <c r="AG1130" s="166"/>
      <c r="AH1130" s="166"/>
    </row>
    <row r="1131" spans="1:34" ht="15.750000" customHeight="1">
      <c r="B1131" s="1"/>
      <c r="H1131" s="169"/>
      <c r="I1131" s="65"/>
      <c r="J1131" s="65"/>
      <c r="K1131" s="65"/>
      <c r="L1131" s="65"/>
      <c r="O1131" s="164"/>
      <c r="P1131" s="65"/>
      <c r="Q1131" s="13"/>
      <c r="R1131" s="13"/>
      <c r="S1131" s="65"/>
      <c r="T1131" s="13"/>
      <c r="U1131" s="13"/>
      <c r="V1131" s="165"/>
      <c r="W1131" s="165"/>
      <c r="X1131" s="165"/>
      <c r="Y1131" s="165"/>
      <c r="Z1131" s="166"/>
      <c r="AA1131" s="166"/>
      <c r="AB1131" s="166"/>
      <c r="AC1131" s="166"/>
      <c r="AD1131" s="166"/>
      <c r="AE1131" s="166"/>
      <c r="AF1131" s="166"/>
      <c r="AG1131" s="166"/>
      <c r="AH1131" s="166"/>
    </row>
    <row r="1132" spans="1:34" ht="15.750000" customHeight="1">
      <c r="A1132" s="156" t="s">
        <v>116</v>
      </c>
      <c r="B1132" s="88"/>
      <c r="C1132" s="472"/>
      <c r="D1132" s="279"/>
      <c r="E1132" s="158">
        <f>F1132*120%</f>
        <v>0</v>
      </c>
      <c r="F1132" s="158">
        <f>(D1132-C1132+1)*G1132</f>
        <v>0</v>
      </c>
      <c r="G1132" s="159">
        <f>M1132*40</f>
        <v>0</v>
      </c>
      <c r="H1132" s="162"/>
      <c r="I1132" s="65"/>
      <c r="J1132" s="162"/>
      <c r="K1132" s="65"/>
      <c r="L1132" s="162"/>
      <c r="M1132" s="162"/>
      <c r="N1132" s="163"/>
      <c r="O1132" s="164"/>
      <c r="P1132" s="65"/>
      <c r="Q1132" s="13"/>
      <c r="R1132" s="13"/>
      <c r="S1132" s="188"/>
      <c r="T1132" s="13"/>
      <c r="U1132" s="13"/>
      <c r="V1132" s="165"/>
      <c r="W1132" s="165"/>
      <c r="X1132" s="165"/>
      <c r="Y1132" s="165"/>
      <c r="Z1132" s="166"/>
      <c r="AA1132" s="166"/>
      <c r="AB1132" s="166"/>
      <c r="AC1132" s="166"/>
      <c r="AD1132" s="166"/>
      <c r="AE1132" s="166"/>
      <c r="AF1132" s="166"/>
      <c r="AG1132" s="166"/>
      <c r="AH1132" s="166"/>
    </row>
    <row r="1133" spans="1:34" ht="15.750000" customHeight="1">
      <c r="B1133" s="1"/>
      <c r="H1133" s="65"/>
      <c r="I1133" s="65"/>
      <c r="J1133" s="65"/>
      <c r="K1133" s="65"/>
      <c r="L1133" s="65"/>
      <c r="O1133" s="164"/>
      <c r="P1133" s="65"/>
      <c r="Q1133" s="13"/>
      <c r="R1133" s="13"/>
      <c r="S1133" s="65"/>
      <c r="T1133" s="13"/>
      <c r="U1133" s="13"/>
      <c r="V1133" s="165"/>
      <c r="W1133" s="165"/>
      <c r="X1133" s="165"/>
      <c r="Y1133" s="165"/>
      <c r="Z1133" s="166"/>
      <c r="AA1133" s="166"/>
      <c r="AB1133" s="166"/>
      <c r="AC1133" s="166"/>
      <c r="AD1133" s="166"/>
      <c r="AE1133" s="166"/>
      <c r="AF1133" s="166"/>
      <c r="AG1133" s="166"/>
      <c r="AH1133" s="166"/>
    </row>
    <row r="1134" spans="1:34" ht="15.750000" customHeight="1">
      <c r="B1134" s="1"/>
      <c r="H1134" s="65"/>
      <c r="I1134" s="65"/>
      <c r="J1134" s="65"/>
      <c r="K1134" s="65"/>
      <c r="L1134" s="65"/>
      <c r="O1134" s="164"/>
      <c r="P1134" s="65"/>
      <c r="Q1134" s="13"/>
      <c r="R1134" s="13"/>
      <c r="S1134" s="65"/>
      <c r="T1134" s="13"/>
      <c r="U1134" s="13"/>
      <c r="V1134" s="165"/>
      <c r="W1134" s="165"/>
      <c r="X1134" s="165"/>
      <c r="Y1134" s="165"/>
      <c r="Z1134" s="166"/>
      <c r="AA1134" s="166"/>
      <c r="AB1134" s="166"/>
      <c r="AC1134" s="166"/>
      <c r="AD1134" s="166"/>
      <c r="AE1134" s="166"/>
      <c r="AF1134" s="166"/>
      <c r="AG1134" s="166"/>
      <c r="AH1134" s="166"/>
    </row>
    <row r="1135" spans="1:34" ht="15.750000" customHeight="1">
      <c r="B1135" s="1"/>
      <c r="H1135" s="65"/>
      <c r="I1135" s="65"/>
      <c r="J1135" s="65"/>
      <c r="K1135" s="65"/>
      <c r="L1135" s="65"/>
      <c r="O1135" s="164"/>
      <c r="P1135" s="65"/>
      <c r="Q1135" s="13"/>
      <c r="R1135" s="13"/>
      <c r="S1135" s="65"/>
      <c r="T1135" s="13"/>
      <c r="U1135" s="13"/>
      <c r="V1135" s="165"/>
      <c r="W1135" s="165"/>
      <c r="X1135" s="165"/>
      <c r="Y1135" s="165"/>
      <c r="Z1135" s="166"/>
      <c r="AA1135" s="166"/>
      <c r="AB1135" s="166"/>
      <c r="AC1135" s="166"/>
      <c r="AD1135" s="166"/>
      <c r="AE1135" s="166"/>
      <c r="AF1135" s="166"/>
      <c r="AG1135" s="166"/>
      <c r="AH1135" s="166"/>
    </row>
    <row r="1136" spans="1:34" ht="15.750000" customHeight="1">
      <c r="B1136" s="1"/>
      <c r="H1136" s="169"/>
      <c r="I1136" s="65"/>
      <c r="J1136" s="65"/>
      <c r="K1136" s="65"/>
      <c r="L1136" s="65"/>
      <c r="O1136" s="164"/>
      <c r="P1136" s="65"/>
      <c r="Q1136" s="13"/>
      <c r="R1136" s="13"/>
      <c r="S1136" s="65"/>
      <c r="T1136" s="13"/>
      <c r="U1136" s="13"/>
      <c r="V1136" s="165"/>
      <c r="W1136" s="165"/>
      <c r="X1136" s="165"/>
      <c r="Y1136" s="165"/>
      <c r="Z1136" s="166"/>
      <c r="AA1136" s="166"/>
      <c r="AB1136" s="166"/>
      <c r="AC1136" s="166"/>
      <c r="AD1136" s="166"/>
      <c r="AE1136" s="166"/>
      <c r="AF1136" s="166"/>
      <c r="AG1136" s="166"/>
      <c r="AH1136" s="166"/>
    </row>
    <row r="1137" spans="1:34" ht="15.750000" customHeight="1">
      <c r="A1137" s="156" t="s">
        <v>116</v>
      </c>
      <c r="B1137" s="88"/>
      <c r="C1137" s="472"/>
      <c r="D1137" s="279"/>
      <c r="E1137" s="158">
        <f>F1137*120%</f>
        <v>0</v>
      </c>
      <c r="F1137" s="158">
        <f>(D1137-C1137+1)*G1137</f>
        <v>0</v>
      </c>
      <c r="G1137" s="159">
        <f>M1137*40</f>
        <v>0</v>
      </c>
      <c r="H1137" s="162"/>
      <c r="I1137" s="65"/>
      <c r="J1137" s="162"/>
      <c r="K1137" s="65"/>
      <c r="L1137" s="162"/>
      <c r="M1137" s="162"/>
      <c r="N1137" s="163"/>
      <c r="O1137" s="164"/>
      <c r="P1137" s="65"/>
      <c r="Q1137" s="13"/>
      <c r="R1137" s="13"/>
      <c r="S1137" s="188"/>
      <c r="T1137" s="13"/>
      <c r="U1137" s="13"/>
      <c r="V1137" s="165"/>
      <c r="W1137" s="165"/>
      <c r="X1137" s="165"/>
      <c r="Y1137" s="165"/>
      <c r="Z1137" s="166"/>
      <c r="AA1137" s="166"/>
      <c r="AB1137" s="166"/>
      <c r="AC1137" s="166"/>
      <c r="AD1137" s="166"/>
      <c r="AE1137" s="166"/>
      <c r="AF1137" s="166"/>
      <c r="AG1137" s="166"/>
      <c r="AH1137" s="166"/>
    </row>
    <row r="1138" spans="1:34" ht="15.750000" customHeight="1">
      <c r="B1138" s="1"/>
      <c r="H1138" s="65"/>
      <c r="I1138" s="65"/>
      <c r="J1138" s="65"/>
      <c r="K1138" s="65"/>
      <c r="L1138" s="65"/>
      <c r="O1138" s="164"/>
      <c r="P1138" s="65"/>
      <c r="Q1138" s="13"/>
      <c r="R1138" s="13"/>
      <c r="S1138" s="65"/>
      <c r="T1138" s="13"/>
      <c r="U1138" s="13"/>
      <c r="V1138" s="165"/>
      <c r="W1138" s="165"/>
      <c r="X1138" s="165"/>
      <c r="Y1138" s="165"/>
      <c r="Z1138" s="166"/>
      <c r="AA1138" s="166"/>
      <c r="AB1138" s="166"/>
      <c r="AC1138" s="166"/>
      <c r="AD1138" s="166"/>
      <c r="AE1138" s="166"/>
      <c r="AF1138" s="166"/>
      <c r="AG1138" s="166"/>
      <c r="AH1138" s="166"/>
    </row>
    <row r="1139" spans="1:34" ht="15.750000" customHeight="1">
      <c r="B1139" s="1"/>
      <c r="H1139" s="65"/>
      <c r="I1139" s="65"/>
      <c r="J1139" s="65"/>
      <c r="K1139" s="65"/>
      <c r="L1139" s="65"/>
      <c r="O1139" s="164"/>
      <c r="P1139" s="65"/>
      <c r="Q1139" s="13"/>
      <c r="R1139" s="13"/>
      <c r="S1139" s="65"/>
      <c r="T1139" s="13"/>
      <c r="U1139" s="13"/>
      <c r="V1139" s="165"/>
      <c r="W1139" s="165"/>
      <c r="X1139" s="165"/>
      <c r="Y1139" s="165"/>
      <c r="Z1139" s="166"/>
      <c r="AA1139" s="166"/>
      <c r="AB1139" s="166"/>
      <c r="AC1139" s="166"/>
      <c r="AD1139" s="166"/>
      <c r="AE1139" s="166"/>
      <c r="AF1139" s="166"/>
      <c r="AG1139" s="166"/>
      <c r="AH1139" s="166"/>
    </row>
    <row r="1140" spans="1:34" ht="15.750000" customHeight="1">
      <c r="B1140" s="1"/>
      <c r="H1140" s="65"/>
      <c r="I1140" s="65"/>
      <c r="J1140" s="65"/>
      <c r="K1140" s="65"/>
      <c r="L1140" s="65"/>
      <c r="O1140" s="164"/>
      <c r="P1140" s="65"/>
      <c r="Q1140" s="13"/>
      <c r="R1140" s="13"/>
      <c r="S1140" s="65"/>
      <c r="T1140" s="13"/>
      <c r="U1140" s="13"/>
      <c r="V1140" s="165"/>
      <c r="W1140" s="165"/>
      <c r="X1140" s="165"/>
      <c r="Y1140" s="165"/>
      <c r="Z1140" s="166"/>
      <c r="AA1140" s="166"/>
      <c r="AB1140" s="166"/>
      <c r="AC1140" s="166"/>
      <c r="AD1140" s="166"/>
      <c r="AE1140" s="166"/>
      <c r="AF1140" s="166"/>
      <c r="AG1140" s="166"/>
      <c r="AH1140" s="166"/>
    </row>
    <row r="1141" spans="1:34" ht="15.750000" customHeight="1">
      <c r="B1141" s="1"/>
      <c r="H1141" s="169"/>
      <c r="I1141" s="65"/>
      <c r="J1141" s="65"/>
      <c r="K1141" s="65"/>
      <c r="L1141" s="65"/>
      <c r="O1141" s="164"/>
      <c r="P1141" s="65"/>
      <c r="Q1141" s="13"/>
      <c r="R1141" s="13"/>
      <c r="S1141" s="65"/>
      <c r="T1141" s="13"/>
      <c r="U1141" s="13"/>
      <c r="V1141" s="165"/>
      <c r="W1141" s="165"/>
      <c r="X1141" s="165"/>
      <c r="Y1141" s="165"/>
      <c r="Z1141" s="166"/>
      <c r="AA1141" s="166"/>
      <c r="AB1141" s="166"/>
      <c r="AC1141" s="166"/>
      <c r="AD1141" s="166"/>
      <c r="AE1141" s="166"/>
      <c r="AF1141" s="166"/>
      <c r="AG1141" s="166"/>
      <c r="AH1141" s="166"/>
    </row>
    <row r="1142" spans="1:34" ht="15.750000" customHeight="1">
      <c r="A1142" s="156" t="s">
        <v>116</v>
      </c>
      <c r="B1142" s="88"/>
      <c r="C1142" s="472"/>
      <c r="D1142" s="279"/>
      <c r="E1142" s="158">
        <f>F1142*120%</f>
        <v>0</v>
      </c>
      <c r="F1142" s="158">
        <f>(D1142-C1142+1)*G1142</f>
        <v>0</v>
      </c>
      <c r="G1142" s="159">
        <f>M1142*40</f>
        <v>0</v>
      </c>
      <c r="H1142" s="162"/>
      <c r="I1142" s="65"/>
      <c r="J1142" s="162"/>
      <c r="K1142" s="65"/>
      <c r="L1142" s="162"/>
      <c r="M1142" s="162"/>
      <c r="N1142" s="163"/>
      <c r="O1142" s="164"/>
      <c r="P1142" s="65"/>
      <c r="Q1142" s="13"/>
      <c r="R1142" s="13"/>
      <c r="S1142" s="188"/>
      <c r="T1142" s="13"/>
      <c r="U1142" s="13"/>
      <c r="V1142" s="165"/>
      <c r="W1142" s="165"/>
      <c r="X1142" s="165"/>
      <c r="Y1142" s="165"/>
      <c r="Z1142" s="166"/>
      <c r="AA1142" s="166"/>
      <c r="AB1142" s="166"/>
      <c r="AC1142" s="166"/>
      <c r="AD1142" s="166"/>
      <c r="AE1142" s="166"/>
      <c r="AF1142" s="166"/>
      <c r="AG1142" s="166"/>
      <c r="AH1142" s="166"/>
    </row>
    <row r="1143" spans="1:34" ht="15.750000" customHeight="1">
      <c r="B1143" s="1"/>
      <c r="H1143" s="65"/>
      <c r="I1143" s="65"/>
      <c r="J1143" s="65"/>
      <c r="K1143" s="65"/>
      <c r="L1143" s="65"/>
      <c r="O1143" s="164"/>
      <c r="P1143" s="65"/>
      <c r="Q1143" s="13"/>
      <c r="R1143" s="13"/>
      <c r="S1143" s="65"/>
      <c r="T1143" s="13"/>
      <c r="U1143" s="13"/>
      <c r="V1143" s="165"/>
      <c r="W1143" s="165"/>
      <c r="X1143" s="165"/>
      <c r="Y1143" s="165"/>
      <c r="Z1143" s="166"/>
      <c r="AA1143" s="166"/>
      <c r="AB1143" s="166"/>
      <c r="AC1143" s="166"/>
      <c r="AD1143" s="166"/>
      <c r="AE1143" s="166"/>
      <c r="AF1143" s="166"/>
      <c r="AG1143" s="166"/>
      <c r="AH1143" s="166"/>
    </row>
    <row r="1144" spans="1:34" ht="15.750000" customHeight="1">
      <c r="B1144" s="1"/>
      <c r="H1144" s="65"/>
      <c r="I1144" s="65"/>
      <c r="J1144" s="65"/>
      <c r="K1144" s="65"/>
      <c r="L1144" s="65"/>
      <c r="O1144" s="164"/>
      <c r="P1144" s="65"/>
      <c r="Q1144" s="13"/>
      <c r="R1144" s="13"/>
      <c r="S1144" s="65"/>
      <c r="T1144" s="13"/>
      <c r="U1144" s="13"/>
      <c r="V1144" s="165"/>
      <c r="W1144" s="165"/>
      <c r="X1144" s="165"/>
      <c r="Y1144" s="165"/>
      <c r="Z1144" s="166"/>
      <c r="AA1144" s="166"/>
      <c r="AB1144" s="166"/>
      <c r="AC1144" s="166"/>
      <c r="AD1144" s="166"/>
      <c r="AE1144" s="166"/>
      <c r="AF1144" s="166"/>
      <c r="AG1144" s="166"/>
      <c r="AH1144" s="166"/>
    </row>
    <row r="1145" spans="1:34" ht="15.750000" customHeight="1">
      <c r="B1145" s="1"/>
      <c r="H1145" s="65"/>
      <c r="I1145" s="65"/>
      <c r="J1145" s="65"/>
      <c r="K1145" s="65"/>
      <c r="L1145" s="65"/>
      <c r="O1145" s="164"/>
      <c r="P1145" s="65"/>
      <c r="Q1145" s="13"/>
      <c r="R1145" s="13"/>
      <c r="S1145" s="65"/>
      <c r="T1145" s="13"/>
      <c r="U1145" s="13"/>
      <c r="V1145" s="165"/>
      <c r="W1145" s="165"/>
      <c r="X1145" s="165"/>
      <c r="Y1145" s="165"/>
      <c r="Z1145" s="166"/>
      <c r="AA1145" s="166"/>
      <c r="AB1145" s="166"/>
      <c r="AC1145" s="166"/>
      <c r="AD1145" s="166"/>
      <c r="AE1145" s="166"/>
      <c r="AF1145" s="166"/>
      <c r="AG1145" s="166"/>
      <c r="AH1145" s="166"/>
    </row>
    <row r="1146" spans="1:34" ht="15.750000" customHeight="1">
      <c r="B1146" s="1"/>
      <c r="H1146" s="169"/>
      <c r="I1146" s="65"/>
      <c r="J1146" s="65"/>
      <c r="K1146" s="65"/>
      <c r="L1146" s="65"/>
      <c r="O1146" s="164"/>
      <c r="P1146" s="65"/>
      <c r="Q1146" s="13"/>
      <c r="R1146" s="13"/>
      <c r="S1146" s="65"/>
      <c r="T1146" s="13"/>
      <c r="U1146" s="13"/>
      <c r="V1146" s="165"/>
      <c r="W1146" s="165"/>
      <c r="X1146" s="165"/>
      <c r="Y1146" s="165"/>
      <c r="Z1146" s="166"/>
      <c r="AA1146" s="166"/>
      <c r="AB1146" s="166"/>
      <c r="AC1146" s="166"/>
      <c r="AD1146" s="166"/>
      <c r="AE1146" s="166"/>
      <c r="AF1146" s="166"/>
      <c r="AG1146" s="166"/>
      <c r="AH1146" s="166"/>
    </row>
    <row r="1147" spans="1:34" ht="15.750000" customHeight="1">
      <c r="A1147" s="156" t="s">
        <v>116</v>
      </c>
      <c r="B1147" s="88"/>
      <c r="C1147" s="472"/>
      <c r="D1147" s="472"/>
      <c r="E1147" s="158">
        <f>F1147*120%</f>
        <v>0</v>
      </c>
      <c r="F1147" s="158">
        <f>(D1147-C1147+1)*G1147</f>
        <v>0</v>
      </c>
      <c r="G1147" s="159">
        <f>M1147*40</f>
        <v>0</v>
      </c>
      <c r="H1147" s="162"/>
      <c r="I1147" s="65"/>
      <c r="J1147" s="465"/>
      <c r="K1147" s="65"/>
      <c r="L1147" s="162"/>
      <c r="M1147" s="162"/>
      <c r="N1147" s="163"/>
      <c r="O1147" s="164"/>
      <c r="P1147" s="65"/>
      <c r="Q1147" s="13"/>
      <c r="R1147" s="13"/>
      <c r="S1147" s="188"/>
      <c r="T1147" s="13"/>
      <c r="U1147" s="13"/>
      <c r="V1147" s="165"/>
      <c r="W1147" s="165"/>
      <c r="X1147" s="165"/>
      <c r="Y1147" s="165"/>
      <c r="Z1147" s="166"/>
      <c r="AA1147" s="166"/>
      <c r="AB1147" s="166"/>
      <c r="AC1147" s="166"/>
      <c r="AD1147" s="166"/>
      <c r="AE1147" s="166"/>
      <c r="AF1147" s="166"/>
      <c r="AG1147" s="166"/>
      <c r="AH1147" s="166"/>
    </row>
    <row r="1148" spans="1:34" ht="15.750000" customHeight="1">
      <c r="B1148" s="88"/>
      <c r="H1148" s="162"/>
      <c r="I1148" s="65"/>
      <c r="J1148" s="465"/>
      <c r="K1148" s="65"/>
      <c r="L1148" s="162"/>
      <c r="O1148" s="164"/>
      <c r="P1148" s="65"/>
      <c r="Q1148" s="13"/>
      <c r="R1148" s="13"/>
      <c r="S1148" s="65"/>
      <c r="T1148" s="13"/>
      <c r="U1148" s="13"/>
      <c r="V1148" s="165"/>
      <c r="W1148" s="165"/>
      <c r="X1148" s="165"/>
      <c r="Y1148" s="165"/>
      <c r="Z1148" s="166"/>
      <c r="AA1148" s="166"/>
      <c r="AB1148" s="166"/>
      <c r="AC1148" s="166"/>
      <c r="AD1148" s="166"/>
      <c r="AE1148" s="166"/>
      <c r="AF1148" s="166"/>
      <c r="AG1148" s="166"/>
      <c r="AH1148" s="166"/>
    </row>
    <row r="1149" spans="1:34" ht="15.750000" customHeight="1">
      <c r="B1149" s="88"/>
      <c r="H1149" s="162"/>
      <c r="I1149" s="65"/>
      <c r="J1149" s="465"/>
      <c r="K1149" s="65"/>
      <c r="L1149" s="162"/>
      <c r="O1149" s="164"/>
      <c r="P1149" s="65"/>
      <c r="Q1149" s="13"/>
      <c r="R1149" s="13"/>
      <c r="S1149" s="65"/>
      <c r="T1149" s="13"/>
      <c r="U1149" s="13"/>
      <c r="V1149" s="165"/>
      <c r="W1149" s="165"/>
      <c r="X1149" s="165"/>
      <c r="Y1149" s="165"/>
      <c r="Z1149" s="166"/>
      <c r="AA1149" s="166"/>
      <c r="AB1149" s="166"/>
      <c r="AC1149" s="166"/>
      <c r="AD1149" s="166"/>
      <c r="AE1149" s="166"/>
      <c r="AF1149" s="166"/>
      <c r="AG1149" s="166"/>
      <c r="AH1149" s="166"/>
    </row>
    <row r="1150" spans="1:34" ht="15.750000" customHeight="1">
      <c r="B1150" s="1"/>
      <c r="H1150" s="65"/>
      <c r="I1150" s="65"/>
      <c r="J1150" s="65"/>
      <c r="K1150" s="65"/>
      <c r="L1150" s="65"/>
      <c r="O1150" s="164"/>
      <c r="P1150" s="65"/>
      <c r="Q1150" s="13"/>
      <c r="R1150" s="13"/>
      <c r="S1150" s="65"/>
      <c r="T1150" s="13"/>
      <c r="U1150" s="13"/>
      <c r="V1150" s="165"/>
      <c r="W1150" s="165"/>
      <c r="X1150" s="165"/>
      <c r="Y1150" s="165"/>
      <c r="Z1150" s="166"/>
      <c r="AA1150" s="166"/>
      <c r="AB1150" s="166"/>
      <c r="AC1150" s="166"/>
      <c r="AD1150" s="166"/>
      <c r="AE1150" s="166"/>
      <c r="AF1150" s="166"/>
      <c r="AG1150" s="166"/>
      <c r="AH1150" s="166"/>
    </row>
    <row r="1151" spans="1:34" ht="15.750000" customHeight="1">
      <c r="B1151" s="1"/>
      <c r="H1151" s="169"/>
      <c r="I1151" s="65"/>
      <c r="J1151" s="65"/>
      <c r="K1151" s="65"/>
      <c r="L1151" s="65"/>
      <c r="O1151" s="164"/>
      <c r="P1151" s="65"/>
      <c r="Q1151" s="13"/>
      <c r="R1151" s="13"/>
      <c r="S1151" s="65"/>
      <c r="T1151" s="13"/>
      <c r="U1151" s="13"/>
      <c r="V1151" s="165"/>
      <c r="W1151" s="165"/>
      <c r="X1151" s="165"/>
      <c r="Y1151" s="165"/>
      <c r="Z1151" s="166"/>
      <c r="AA1151" s="166"/>
      <c r="AB1151" s="166"/>
      <c r="AC1151" s="166"/>
      <c r="AD1151" s="166"/>
      <c r="AE1151" s="166"/>
      <c r="AF1151" s="166"/>
      <c r="AG1151" s="166"/>
      <c r="AH1151" s="166"/>
    </row>
    <row r="1152" spans="1:34" ht="15.750000" customHeight="1">
      <c r="A1152" s="156" t="s">
        <v>116</v>
      </c>
      <c r="B1152" s="88"/>
      <c r="C1152" s="472"/>
      <c r="D1152" s="279"/>
      <c r="E1152" s="158">
        <f>F1152*120%</f>
        <v>0</v>
      </c>
      <c r="F1152" s="158">
        <f>(D1152-C1152+1)*G1152</f>
        <v>0</v>
      </c>
      <c r="G1152" s="159">
        <f>M1152*40</f>
        <v>0</v>
      </c>
      <c r="H1152" s="162"/>
      <c r="I1152" s="65"/>
      <c r="J1152" s="162"/>
      <c r="K1152" s="65"/>
      <c r="L1152" s="162"/>
      <c r="M1152" s="162"/>
      <c r="N1152" s="163"/>
      <c r="O1152" s="164"/>
      <c r="P1152" s="65"/>
      <c r="Q1152" s="13"/>
      <c r="R1152" s="13"/>
      <c r="S1152" s="65"/>
      <c r="T1152" s="13"/>
      <c r="U1152" s="13"/>
      <c r="V1152" s="165"/>
      <c r="W1152" s="165"/>
      <c r="X1152" s="165"/>
      <c r="Y1152" s="165"/>
      <c r="Z1152" s="166"/>
      <c r="AA1152" s="166"/>
      <c r="AB1152" s="166"/>
      <c r="AC1152" s="166"/>
      <c r="AD1152" s="166"/>
      <c r="AE1152" s="166"/>
      <c r="AF1152" s="166"/>
      <c r="AG1152" s="166"/>
      <c r="AH1152" s="166"/>
    </row>
    <row r="1153" spans="1:34" ht="15.750000" customHeight="1">
      <c r="B1153" s="1"/>
      <c r="H1153" s="65"/>
      <c r="I1153" s="65"/>
      <c r="J1153" s="65"/>
      <c r="K1153" s="65"/>
      <c r="L1153" s="65"/>
      <c r="O1153" s="164"/>
      <c r="P1153" s="65"/>
      <c r="Q1153" s="13"/>
      <c r="R1153" s="13"/>
      <c r="S1153" s="65"/>
      <c r="T1153" s="13"/>
      <c r="U1153" s="13"/>
      <c r="V1153" s="165"/>
      <c r="W1153" s="165"/>
      <c r="X1153" s="165"/>
      <c r="Y1153" s="165"/>
      <c r="Z1153" s="166"/>
      <c r="AA1153" s="166"/>
      <c r="AB1153" s="166"/>
      <c r="AC1153" s="166"/>
      <c r="AD1153" s="166"/>
      <c r="AE1153" s="166"/>
      <c r="AF1153" s="166"/>
      <c r="AG1153" s="166"/>
      <c r="AH1153" s="166"/>
    </row>
    <row r="1154" spans="1:34" ht="15.750000" customHeight="1">
      <c r="B1154" s="1"/>
      <c r="H1154" s="65"/>
      <c r="I1154" s="65"/>
      <c r="J1154" s="65"/>
      <c r="K1154" s="65"/>
      <c r="L1154" s="65"/>
      <c r="O1154" s="164"/>
      <c r="P1154" s="65"/>
      <c r="Q1154" s="13"/>
      <c r="R1154" s="13"/>
      <c r="S1154" s="65"/>
      <c r="T1154" s="13"/>
      <c r="U1154" s="13"/>
      <c r="V1154" s="165"/>
      <c r="W1154" s="165"/>
      <c r="X1154" s="165"/>
      <c r="Y1154" s="165"/>
      <c r="Z1154" s="166"/>
      <c r="AA1154" s="166"/>
      <c r="AB1154" s="166"/>
      <c r="AC1154" s="166"/>
      <c r="AD1154" s="166"/>
      <c r="AE1154" s="166"/>
      <c r="AF1154" s="166"/>
      <c r="AG1154" s="166"/>
      <c r="AH1154" s="166"/>
    </row>
    <row r="1155" spans="1:34" ht="15.750000" customHeight="1">
      <c r="B1155" s="1"/>
      <c r="H1155" s="65"/>
      <c r="I1155" s="65"/>
      <c r="J1155" s="65"/>
      <c r="K1155" s="65"/>
      <c r="L1155" s="65"/>
      <c r="O1155" s="164"/>
      <c r="P1155" s="65"/>
      <c r="Q1155" s="13"/>
      <c r="R1155" s="13"/>
      <c r="S1155" s="65"/>
      <c r="T1155" s="13"/>
      <c r="U1155" s="13"/>
      <c r="V1155" s="165"/>
      <c r="W1155" s="165"/>
      <c r="X1155" s="165"/>
      <c r="Y1155" s="165"/>
      <c r="Z1155" s="166"/>
      <c r="AA1155" s="166"/>
      <c r="AB1155" s="166"/>
      <c r="AC1155" s="166"/>
      <c r="AD1155" s="166"/>
      <c r="AE1155" s="166"/>
      <c r="AF1155" s="166"/>
      <c r="AG1155" s="166"/>
      <c r="AH1155" s="166"/>
    </row>
    <row r="1156" spans="1:34" ht="15.750000" customHeight="1">
      <c r="B1156" s="1"/>
      <c r="H1156" s="169"/>
      <c r="I1156" s="65"/>
      <c r="J1156" s="65"/>
      <c r="K1156" s="65"/>
      <c r="L1156" s="65"/>
      <c r="O1156" s="164"/>
      <c r="P1156" s="65"/>
      <c r="Q1156" s="13"/>
      <c r="R1156" s="13"/>
      <c r="S1156" s="65"/>
      <c r="T1156" s="13"/>
      <c r="U1156" s="13"/>
      <c r="V1156" s="165"/>
      <c r="W1156" s="165"/>
      <c r="X1156" s="165"/>
      <c r="Y1156" s="165"/>
      <c r="Z1156" s="166"/>
      <c r="AA1156" s="166"/>
      <c r="AB1156" s="166"/>
      <c r="AC1156" s="166"/>
      <c r="AD1156" s="166"/>
      <c r="AE1156" s="166"/>
      <c r="AF1156" s="166"/>
      <c r="AG1156" s="166"/>
      <c r="AH1156" s="166"/>
    </row>
    <row r="1157" spans="1:34" ht="15.750000" customHeight="1">
      <c r="A1157" s="156" t="s">
        <v>116</v>
      </c>
      <c r="B1157" s="88"/>
      <c r="C1157" s="472"/>
      <c r="D1157" s="472"/>
      <c r="E1157" s="158">
        <f>F1157*120%</f>
        <v>0</v>
      </c>
      <c r="F1157" s="158">
        <f>(D1157-C1157+1)*G1157</f>
        <v>0</v>
      </c>
      <c r="G1157" s="159">
        <f>M1157*40</f>
        <v>0</v>
      </c>
      <c r="H1157" s="161"/>
      <c r="I1157" s="65"/>
      <c r="J1157" s="162"/>
      <c r="K1157" s="65"/>
      <c r="L1157" s="162"/>
      <c r="M1157" s="162"/>
      <c r="N1157" s="163"/>
      <c r="O1157" s="164"/>
      <c r="P1157" s="65"/>
      <c r="Q1157" s="13"/>
      <c r="R1157" s="13"/>
      <c r="S1157" s="188"/>
      <c r="T1157" s="13"/>
      <c r="U1157" s="13"/>
      <c r="V1157" s="165"/>
      <c r="W1157" s="165"/>
      <c r="X1157" s="165"/>
      <c r="Y1157" s="165"/>
      <c r="Z1157" s="166"/>
      <c r="AA1157" s="166"/>
      <c r="AB1157" s="166"/>
      <c r="AC1157" s="166"/>
      <c r="AD1157" s="166"/>
      <c r="AE1157" s="166"/>
      <c r="AF1157" s="166"/>
      <c r="AG1157" s="166"/>
      <c r="AH1157" s="166"/>
    </row>
    <row r="1158" spans="1:34" ht="15.750000" customHeight="1">
      <c r="B1158" s="88"/>
      <c r="H1158" s="162"/>
      <c r="I1158" s="65"/>
      <c r="J1158" s="162"/>
      <c r="K1158" s="65"/>
      <c r="L1158" s="162"/>
      <c r="O1158" s="164"/>
      <c r="P1158" s="65"/>
      <c r="Q1158" s="13"/>
      <c r="R1158" s="13"/>
      <c r="S1158" s="65"/>
      <c r="T1158" s="13"/>
      <c r="U1158" s="13"/>
      <c r="V1158" s="165"/>
      <c r="W1158" s="165"/>
      <c r="X1158" s="165"/>
      <c r="Y1158" s="165"/>
      <c r="Z1158" s="166"/>
      <c r="AA1158" s="166"/>
      <c r="AB1158" s="166"/>
      <c r="AC1158" s="166"/>
      <c r="AD1158" s="166"/>
      <c r="AE1158" s="166"/>
      <c r="AF1158" s="166"/>
      <c r="AG1158" s="166"/>
      <c r="AH1158" s="166"/>
    </row>
    <row r="1159" spans="1:34" ht="15.750000" customHeight="1">
      <c r="B1159" s="88"/>
      <c r="H1159" s="162"/>
      <c r="I1159" s="65"/>
      <c r="J1159" s="162"/>
      <c r="K1159" s="188"/>
      <c r="L1159" s="162"/>
      <c r="O1159" s="164"/>
      <c r="P1159" s="65"/>
      <c r="Q1159" s="13"/>
      <c r="R1159" s="13"/>
      <c r="S1159" s="65"/>
      <c r="T1159" s="13"/>
      <c r="U1159" s="13"/>
      <c r="V1159" s="165"/>
      <c r="W1159" s="165"/>
      <c r="X1159" s="165"/>
      <c r="Y1159" s="165"/>
      <c r="Z1159" s="166"/>
      <c r="AA1159" s="166"/>
      <c r="AB1159" s="166"/>
      <c r="AC1159" s="166"/>
      <c r="AD1159" s="166"/>
      <c r="AE1159" s="166"/>
      <c r="AF1159" s="166"/>
      <c r="AG1159" s="166"/>
      <c r="AH1159" s="166"/>
    </row>
    <row r="1160" spans="1:34" ht="15.750000" customHeight="1">
      <c r="B1160" s="88"/>
      <c r="H1160" s="162"/>
      <c r="I1160" s="65"/>
      <c r="J1160" s="162"/>
      <c r="K1160" s="188"/>
      <c r="L1160" s="162"/>
      <c r="O1160" s="164"/>
      <c r="P1160" s="65"/>
      <c r="Q1160" s="13"/>
      <c r="R1160" s="13"/>
      <c r="S1160" s="65"/>
      <c r="T1160" s="13"/>
      <c r="U1160" s="13"/>
      <c r="V1160" s="165"/>
      <c r="W1160" s="165"/>
      <c r="X1160" s="165"/>
      <c r="Y1160" s="165"/>
      <c r="Z1160" s="166"/>
      <c r="AA1160" s="166"/>
      <c r="AB1160" s="166"/>
      <c r="AC1160" s="166"/>
      <c r="AD1160" s="166"/>
      <c r="AE1160" s="166"/>
      <c r="AF1160" s="166"/>
      <c r="AG1160" s="166"/>
      <c r="AH1160" s="166"/>
    </row>
    <row r="1161" spans="1:34" ht="15.750000" customHeight="1">
      <c r="B1161" s="88"/>
      <c r="H1161" s="220"/>
      <c r="I1161" s="65"/>
      <c r="J1161" s="162"/>
      <c r="K1161" s="65"/>
      <c r="L1161" s="162"/>
      <c r="O1161" s="164"/>
      <c r="P1161" s="65"/>
      <c r="Q1161" s="13"/>
      <c r="R1161" s="13"/>
      <c r="S1161" s="65"/>
      <c r="T1161" s="13"/>
      <c r="U1161" s="13"/>
      <c r="V1161" s="165"/>
      <c r="W1161" s="165"/>
      <c r="X1161" s="165"/>
      <c r="Y1161" s="165"/>
      <c r="Z1161" s="166"/>
      <c r="AA1161" s="166"/>
      <c r="AB1161" s="166"/>
      <c r="AC1161" s="166"/>
      <c r="AD1161" s="166"/>
      <c r="AE1161" s="166"/>
      <c r="AF1161" s="166"/>
      <c r="AG1161" s="166"/>
      <c r="AH1161" s="166"/>
    </row>
    <row r="1162" spans="1:34" ht="15.750000" customHeight="1">
      <c r="A1162" s="156" t="s">
        <v>116</v>
      </c>
      <c r="B1162" s="88"/>
      <c r="C1162" s="472"/>
      <c r="D1162" s="472"/>
      <c r="E1162" s="158">
        <f>F1162*120%</f>
        <v>0</v>
      </c>
      <c r="F1162" s="158">
        <f>(D1162-C1162+1)*G1162</f>
        <v>0</v>
      </c>
      <c r="G1162" s="159">
        <f>M1162*40</f>
        <v>0</v>
      </c>
      <c r="H1162" s="466"/>
      <c r="I1162" s="65"/>
      <c r="J1162" s="465"/>
      <c r="K1162" s="65"/>
      <c r="L1162" s="162"/>
      <c r="M1162" s="162"/>
      <c r="N1162" s="163"/>
      <c r="O1162" s="164"/>
      <c r="P1162" s="65"/>
      <c r="Q1162" s="13"/>
      <c r="R1162" s="13"/>
      <c r="S1162" s="188"/>
      <c r="T1162" s="13"/>
      <c r="U1162" s="13"/>
      <c r="V1162" s="165"/>
      <c r="W1162" s="165"/>
      <c r="X1162" s="165"/>
      <c r="Y1162" s="165"/>
      <c r="Z1162" s="166"/>
      <c r="AA1162" s="166"/>
      <c r="AB1162" s="166"/>
      <c r="AC1162" s="166"/>
      <c r="AD1162" s="166"/>
      <c r="AE1162" s="166"/>
      <c r="AF1162" s="166"/>
      <c r="AG1162" s="166"/>
      <c r="AH1162" s="166"/>
    </row>
    <row r="1163" spans="1:34" ht="15.750000" customHeight="1">
      <c r="B1163" s="1"/>
      <c r="H1163" s="65"/>
      <c r="I1163" s="65"/>
      <c r="J1163" s="65"/>
      <c r="K1163" s="65"/>
      <c r="L1163" s="65"/>
      <c r="O1163" s="164"/>
      <c r="P1163" s="65"/>
      <c r="Q1163" s="13"/>
      <c r="R1163" s="13"/>
      <c r="S1163" s="65"/>
      <c r="T1163" s="13"/>
      <c r="U1163" s="13"/>
      <c r="V1163" s="165"/>
      <c r="W1163" s="165"/>
      <c r="X1163" s="165"/>
      <c r="Y1163" s="165"/>
      <c r="Z1163" s="166"/>
      <c r="AA1163" s="166"/>
      <c r="AB1163" s="166"/>
      <c r="AC1163" s="166"/>
      <c r="AD1163" s="166"/>
      <c r="AE1163" s="166"/>
      <c r="AF1163" s="166"/>
      <c r="AG1163" s="166"/>
      <c r="AH1163" s="166"/>
    </row>
    <row r="1164" spans="1:34" ht="15.750000" customHeight="1">
      <c r="B1164" s="1"/>
      <c r="H1164" s="65"/>
      <c r="I1164" s="65"/>
      <c r="J1164" s="65"/>
      <c r="K1164" s="65"/>
      <c r="L1164" s="65"/>
      <c r="O1164" s="164"/>
      <c r="P1164" s="65"/>
      <c r="Q1164" s="13"/>
      <c r="R1164" s="13"/>
      <c r="S1164" s="65"/>
      <c r="T1164" s="13"/>
      <c r="U1164" s="13"/>
      <c r="V1164" s="165"/>
      <c r="W1164" s="165"/>
      <c r="X1164" s="165"/>
      <c r="Y1164" s="165"/>
      <c r="Z1164" s="166"/>
      <c r="AA1164" s="166"/>
      <c r="AB1164" s="166"/>
      <c r="AC1164" s="166"/>
      <c r="AD1164" s="166"/>
      <c r="AE1164" s="166"/>
      <c r="AF1164" s="166"/>
      <c r="AG1164" s="166"/>
      <c r="AH1164" s="166"/>
    </row>
    <row r="1165" spans="1:34" ht="15.750000" customHeight="1">
      <c r="B1165" s="1"/>
      <c r="H1165" s="65"/>
      <c r="I1165" s="65"/>
      <c r="J1165" s="65"/>
      <c r="K1165" s="65"/>
      <c r="L1165" s="65"/>
      <c r="O1165" s="164"/>
      <c r="P1165" s="65"/>
      <c r="Q1165" s="13"/>
      <c r="R1165" s="13"/>
      <c r="S1165" s="65"/>
      <c r="T1165" s="13"/>
      <c r="U1165" s="13"/>
      <c r="V1165" s="165"/>
      <c r="W1165" s="165"/>
      <c r="X1165" s="165"/>
      <c r="Y1165" s="165"/>
      <c r="Z1165" s="166"/>
      <c r="AA1165" s="166"/>
      <c r="AB1165" s="166"/>
      <c r="AC1165" s="166"/>
      <c r="AD1165" s="166"/>
      <c r="AE1165" s="166"/>
      <c r="AF1165" s="166"/>
      <c r="AG1165" s="166"/>
      <c r="AH1165" s="166"/>
    </row>
    <row r="1166" spans="1:34" ht="15.750000" customHeight="1">
      <c r="B1166" s="1"/>
      <c r="H1166" s="169"/>
      <c r="I1166" s="65"/>
      <c r="J1166" s="65"/>
      <c r="K1166" s="65"/>
      <c r="L1166" s="65"/>
      <c r="O1166" s="164"/>
      <c r="P1166" s="65"/>
      <c r="Q1166" s="13"/>
      <c r="R1166" s="13"/>
      <c r="S1166" s="65"/>
      <c r="T1166" s="13"/>
      <c r="U1166" s="13"/>
      <c r="V1166" s="165"/>
      <c r="W1166" s="165"/>
      <c r="X1166" s="165"/>
      <c r="Y1166" s="165"/>
      <c r="Z1166" s="166"/>
      <c r="AA1166" s="166"/>
      <c r="AB1166" s="166"/>
      <c r="AC1166" s="166"/>
      <c r="AD1166" s="166"/>
      <c r="AE1166" s="166"/>
      <c r="AF1166" s="166"/>
      <c r="AG1166" s="166"/>
      <c r="AH1166" s="166"/>
    </row>
    <row r="1167" spans="1:34" ht="15.750000" customHeight="1">
      <c r="A1167" s="156" t="s">
        <v>116</v>
      </c>
      <c r="B1167" s="88"/>
      <c r="C1167" s="472"/>
      <c r="D1167" s="472"/>
      <c r="E1167" s="158">
        <f>F1167*120%</f>
        <v>0</v>
      </c>
      <c r="F1167" s="158">
        <f>(D1167-C1167+1)*G1167</f>
        <v>0</v>
      </c>
      <c r="G1167" s="159">
        <f>M1167*40</f>
        <v>0</v>
      </c>
      <c r="H1167" s="162"/>
      <c r="I1167" s="162"/>
      <c r="J1167" s="162"/>
      <c r="K1167" s="162"/>
      <c r="L1167" s="162"/>
      <c r="M1167" s="162"/>
      <c r="N1167" s="163"/>
      <c r="O1167" s="164"/>
      <c r="P1167" s="13"/>
      <c r="Q1167" s="13"/>
      <c r="R1167" s="13"/>
      <c r="S1167" s="65"/>
      <c r="T1167" s="13"/>
      <c r="U1167" s="13"/>
      <c r="V1167" s="165"/>
      <c r="W1167" s="165"/>
      <c r="X1167" s="165"/>
      <c r="Y1167" s="165"/>
      <c r="Z1167" s="166"/>
      <c r="AA1167" s="166"/>
      <c r="AB1167" s="166"/>
      <c r="AC1167" s="166"/>
      <c r="AD1167" s="166"/>
      <c r="AE1167" s="166"/>
      <c r="AF1167" s="166"/>
      <c r="AG1167" s="166"/>
      <c r="AH1167" s="166"/>
    </row>
    <row r="1168" spans="1:34" ht="15.750000" customHeight="1">
      <c r="B1168" s="1"/>
      <c r="H1168" s="162"/>
      <c r="I1168" s="162"/>
      <c r="J1168" s="162"/>
      <c r="K1168" s="162"/>
      <c r="L1168" s="162"/>
      <c r="O1168" s="164"/>
      <c r="P1168" s="13"/>
      <c r="Q1168" s="13"/>
      <c r="R1168" s="13"/>
      <c r="S1168" s="13"/>
      <c r="T1168" s="13"/>
      <c r="U1168" s="13"/>
      <c r="V1168" s="165"/>
      <c r="W1168" s="165"/>
      <c r="X1168" s="165"/>
      <c r="Y1168" s="165"/>
      <c r="Z1168" s="166"/>
      <c r="AA1168" s="166"/>
      <c r="AB1168" s="166"/>
      <c r="AC1168" s="166"/>
      <c r="AD1168" s="166"/>
      <c r="AE1168" s="166"/>
      <c r="AF1168" s="166"/>
      <c r="AG1168" s="166"/>
      <c r="AH1168" s="166"/>
    </row>
    <row r="1169" spans="1:34" ht="15.750000" customHeight="1">
      <c r="B1169" s="1"/>
      <c r="H1169" s="162"/>
      <c r="I1169" s="162"/>
      <c r="J1169" s="162"/>
      <c r="K1169" s="162"/>
      <c r="L1169" s="162"/>
      <c r="O1169" s="164"/>
      <c r="P1169" s="13"/>
      <c r="Q1169" s="13"/>
      <c r="R1169" s="13"/>
      <c r="S1169" s="13"/>
      <c r="T1169" s="13"/>
      <c r="U1169" s="13"/>
      <c r="V1169" s="165"/>
      <c r="W1169" s="165"/>
      <c r="X1169" s="165"/>
      <c r="Y1169" s="165"/>
      <c r="Z1169" s="166"/>
      <c r="AA1169" s="166"/>
      <c r="AB1169" s="166"/>
      <c r="AC1169" s="166"/>
      <c r="AD1169" s="166"/>
      <c r="AE1169" s="166"/>
      <c r="AF1169" s="166"/>
      <c r="AG1169" s="166"/>
      <c r="AH1169" s="166"/>
    </row>
    <row r="1170" spans="1:34" ht="15.750000" customHeight="1">
      <c r="B1170" s="1"/>
      <c r="H1170" s="162"/>
      <c r="I1170" s="162"/>
      <c r="J1170" s="162"/>
      <c r="K1170" s="162"/>
      <c r="L1170" s="162"/>
      <c r="O1170" s="164"/>
      <c r="P1170" s="13"/>
      <c r="Q1170" s="13"/>
      <c r="R1170" s="13"/>
      <c r="S1170" s="13"/>
      <c r="T1170" s="13"/>
      <c r="U1170" s="13"/>
      <c r="V1170" s="165"/>
      <c r="W1170" s="165"/>
      <c r="X1170" s="165"/>
      <c r="Y1170" s="165"/>
      <c r="Z1170" s="166"/>
      <c r="AA1170" s="166"/>
      <c r="AB1170" s="166"/>
      <c r="AC1170" s="166"/>
      <c r="AD1170" s="166"/>
      <c r="AE1170" s="166"/>
      <c r="AF1170" s="166"/>
      <c r="AG1170" s="166"/>
      <c r="AH1170" s="166"/>
    </row>
    <row r="1171" spans="1:34" ht="15.750000" customHeight="1">
      <c r="B1171" s="1"/>
      <c r="H1171" s="220"/>
      <c r="I1171" s="162"/>
      <c r="J1171" s="162"/>
      <c r="K1171" s="162"/>
      <c r="L1171" s="162"/>
      <c r="O1171" s="164"/>
      <c r="P1171" s="13"/>
      <c r="Q1171" s="13"/>
      <c r="R1171" s="13"/>
      <c r="S1171" s="13"/>
      <c r="T1171" s="13"/>
      <c r="U1171" s="13"/>
      <c r="V1171" s="165"/>
      <c r="W1171" s="165"/>
      <c r="X1171" s="165"/>
      <c r="Y1171" s="165"/>
      <c r="Z1171" s="166"/>
      <c r="AA1171" s="166"/>
      <c r="AB1171" s="166"/>
      <c r="AC1171" s="166"/>
      <c r="AD1171" s="166"/>
      <c r="AE1171" s="166"/>
      <c r="AF1171" s="166"/>
      <c r="AG1171" s="166"/>
      <c r="AH1171" s="166"/>
    </row>
    <row r="1172" spans="1:34" ht="15.750000" customHeight="1">
      <c r="A1172" s="156" t="s">
        <v>116</v>
      </c>
      <c r="B1172" s="88"/>
      <c r="C1172" s="472"/>
      <c r="D1172" s="472"/>
      <c r="E1172" s="158">
        <f>F1172*120%</f>
        <v>0</v>
      </c>
      <c r="F1172" s="158">
        <f>(D1172-C1172+1)*G1172</f>
        <v>0</v>
      </c>
      <c r="G1172" s="159">
        <f>M1172*40</f>
        <v>0</v>
      </c>
      <c r="H1172" s="162"/>
      <c r="I1172" s="65"/>
      <c r="J1172" s="162"/>
      <c r="K1172" s="65"/>
      <c r="L1172" s="162"/>
      <c r="M1172" s="162"/>
      <c r="N1172" s="163"/>
      <c r="O1172" s="164"/>
      <c r="P1172" s="13"/>
      <c r="Q1172" s="13"/>
      <c r="R1172" s="13"/>
      <c r="S1172" s="65"/>
      <c r="T1172" s="13"/>
      <c r="U1172" s="13"/>
      <c r="V1172" s="165"/>
      <c r="W1172" s="165"/>
      <c r="X1172" s="165"/>
      <c r="Y1172" s="165"/>
      <c r="Z1172" s="166"/>
      <c r="AA1172" s="166"/>
      <c r="AB1172" s="166"/>
      <c r="AC1172" s="166"/>
      <c r="AD1172" s="166"/>
      <c r="AE1172" s="166"/>
      <c r="AF1172" s="166"/>
      <c r="AG1172" s="166"/>
      <c r="AH1172" s="166"/>
    </row>
    <row r="1173" spans="1:34" ht="15.750000" customHeight="1">
      <c r="B1173" s="1"/>
      <c r="H1173" s="65"/>
      <c r="I1173" s="65"/>
      <c r="J1173" s="65"/>
      <c r="K1173" s="65"/>
      <c r="L1173" s="65"/>
      <c r="O1173" s="164"/>
      <c r="P1173" s="13"/>
      <c r="Q1173" s="13"/>
      <c r="R1173" s="13"/>
      <c r="S1173" s="65"/>
      <c r="T1173" s="13"/>
      <c r="U1173" s="13"/>
      <c r="V1173" s="165"/>
      <c r="W1173" s="165"/>
      <c r="X1173" s="165"/>
      <c r="Y1173" s="165"/>
      <c r="Z1173" s="166"/>
      <c r="AA1173" s="166"/>
      <c r="AB1173" s="166"/>
      <c r="AC1173" s="166"/>
      <c r="AD1173" s="166"/>
      <c r="AE1173" s="166"/>
      <c r="AF1173" s="166"/>
      <c r="AG1173" s="166"/>
      <c r="AH1173" s="166"/>
    </row>
    <row r="1174" spans="1:34" ht="15.750000" customHeight="1">
      <c r="B1174" s="1"/>
      <c r="H1174" s="65"/>
      <c r="I1174" s="65"/>
      <c r="J1174" s="65"/>
      <c r="K1174" s="65"/>
      <c r="L1174" s="65"/>
      <c r="O1174" s="164"/>
      <c r="P1174" s="13"/>
      <c r="Q1174" s="13"/>
      <c r="R1174" s="13"/>
      <c r="S1174" s="65"/>
      <c r="T1174" s="13"/>
      <c r="U1174" s="13"/>
      <c r="V1174" s="165"/>
      <c r="W1174" s="165"/>
      <c r="X1174" s="165"/>
      <c r="Y1174" s="165"/>
      <c r="Z1174" s="166"/>
      <c r="AA1174" s="166"/>
      <c r="AB1174" s="166"/>
      <c r="AC1174" s="166"/>
      <c r="AD1174" s="166"/>
      <c r="AE1174" s="166"/>
      <c r="AF1174" s="166"/>
      <c r="AG1174" s="166"/>
      <c r="AH1174" s="166"/>
    </row>
    <row r="1175" spans="1:34" ht="15.750000" customHeight="1">
      <c r="B1175" s="1"/>
      <c r="H1175" s="65"/>
      <c r="I1175" s="65"/>
      <c r="J1175" s="65"/>
      <c r="K1175" s="65"/>
      <c r="L1175" s="65"/>
      <c r="O1175" s="164"/>
      <c r="P1175" s="13"/>
      <c r="Q1175" s="13"/>
      <c r="R1175" s="13"/>
      <c r="S1175" s="65"/>
      <c r="T1175" s="13"/>
      <c r="U1175" s="13"/>
      <c r="V1175" s="165"/>
      <c r="W1175" s="165"/>
      <c r="X1175" s="165"/>
      <c r="Y1175" s="165"/>
      <c r="Z1175" s="166"/>
      <c r="AA1175" s="166"/>
      <c r="AB1175" s="166"/>
      <c r="AC1175" s="166"/>
      <c r="AD1175" s="166"/>
      <c r="AE1175" s="166"/>
      <c r="AF1175" s="166"/>
      <c r="AG1175" s="166"/>
      <c r="AH1175" s="166"/>
    </row>
    <row r="1176" spans="1:34" ht="15.750000" customHeight="1">
      <c r="B1176" s="1"/>
      <c r="H1176" s="169"/>
      <c r="I1176" s="65"/>
      <c r="J1176" s="65"/>
      <c r="K1176" s="65"/>
      <c r="L1176" s="65"/>
      <c r="O1176" s="164"/>
      <c r="P1176" s="13"/>
      <c r="Q1176" s="13"/>
      <c r="R1176" s="13"/>
      <c r="S1176" s="65"/>
      <c r="T1176" s="13"/>
      <c r="U1176" s="13"/>
      <c r="V1176" s="165"/>
      <c r="W1176" s="165"/>
      <c r="X1176" s="165"/>
      <c r="Y1176" s="165"/>
      <c r="Z1176" s="166"/>
      <c r="AA1176" s="166"/>
      <c r="AB1176" s="166"/>
      <c r="AC1176" s="166"/>
      <c r="AD1176" s="166"/>
      <c r="AE1176" s="166"/>
      <c r="AF1176" s="166"/>
      <c r="AG1176" s="166"/>
      <c r="AH1176" s="166"/>
    </row>
    <row r="1177" spans="1:34" ht="15.750000" customHeight="1">
      <c r="A1177" s="156" t="s">
        <v>116</v>
      </c>
      <c r="B1177" s="88"/>
      <c r="C1177" s="472"/>
      <c r="D1177" s="472"/>
      <c r="E1177" s="158">
        <f>F1177*120%</f>
        <v>0</v>
      </c>
      <c r="F1177" s="158">
        <f>(D1177-C1177+1)*G1177</f>
        <v>0</v>
      </c>
      <c r="G1177" s="159">
        <f>M1177*40</f>
        <v>0</v>
      </c>
      <c r="H1177" s="162"/>
      <c r="I1177" s="65"/>
      <c r="J1177" s="162"/>
      <c r="K1177" s="188"/>
      <c r="L1177" s="162"/>
      <c r="M1177" s="162"/>
      <c r="N1177" s="163"/>
      <c r="O1177" s="164"/>
      <c r="P1177" s="13"/>
      <c r="Q1177" s="13"/>
      <c r="R1177" s="13"/>
      <c r="S1177" s="65"/>
      <c r="T1177" s="13"/>
      <c r="U1177" s="13"/>
      <c r="V1177" s="165"/>
      <c r="W1177" s="165"/>
      <c r="X1177" s="165"/>
      <c r="Y1177" s="165"/>
      <c r="Z1177" s="166"/>
      <c r="AA1177" s="166"/>
      <c r="AB1177" s="166"/>
      <c r="AC1177" s="166"/>
      <c r="AD1177" s="166"/>
      <c r="AE1177" s="166"/>
      <c r="AF1177" s="166"/>
      <c r="AG1177" s="166"/>
      <c r="AH1177" s="166"/>
    </row>
    <row r="1178" spans="1:34" ht="15.750000" customHeight="1">
      <c r="B1178" s="1"/>
      <c r="H1178" s="65"/>
      <c r="I1178" s="65"/>
      <c r="J1178" s="65"/>
      <c r="K1178" s="65"/>
      <c r="L1178" s="65"/>
      <c r="O1178" s="164"/>
      <c r="P1178" s="13"/>
      <c r="Q1178" s="13"/>
      <c r="R1178" s="13"/>
      <c r="S1178" s="13"/>
      <c r="T1178" s="13"/>
      <c r="U1178" s="13"/>
      <c r="V1178" s="165"/>
      <c r="W1178" s="165"/>
      <c r="X1178" s="165"/>
      <c r="Y1178" s="165"/>
      <c r="Z1178" s="166"/>
      <c r="AA1178" s="166"/>
      <c r="AB1178" s="166"/>
      <c r="AC1178" s="166"/>
      <c r="AD1178" s="166"/>
      <c r="AE1178" s="166"/>
      <c r="AF1178" s="166"/>
      <c r="AG1178" s="166"/>
      <c r="AH1178" s="166"/>
    </row>
    <row r="1179" spans="1:34" ht="15.750000" customHeight="1">
      <c r="B1179" s="1"/>
      <c r="H1179" s="65"/>
      <c r="I1179" s="65"/>
      <c r="J1179" s="65"/>
      <c r="K1179" s="65"/>
      <c r="L1179" s="65"/>
      <c r="O1179" s="164"/>
      <c r="P1179" s="13"/>
      <c r="Q1179" s="13"/>
      <c r="R1179" s="13"/>
      <c r="S1179" s="13"/>
      <c r="T1179" s="13"/>
      <c r="U1179" s="13"/>
      <c r="V1179" s="165"/>
      <c r="W1179" s="165"/>
      <c r="X1179" s="165"/>
      <c r="Y1179" s="165"/>
      <c r="Z1179" s="166"/>
      <c r="AA1179" s="166"/>
      <c r="AB1179" s="166"/>
      <c r="AC1179" s="166"/>
      <c r="AD1179" s="166"/>
      <c r="AE1179" s="166"/>
      <c r="AF1179" s="166"/>
      <c r="AG1179" s="166"/>
      <c r="AH1179" s="166"/>
    </row>
    <row r="1180" spans="1:34" ht="15.750000" customHeight="1">
      <c r="B1180" s="1"/>
      <c r="H1180" s="65"/>
      <c r="I1180" s="65"/>
      <c r="J1180" s="65"/>
      <c r="K1180" s="65"/>
      <c r="L1180" s="65"/>
      <c r="O1180" s="164"/>
      <c r="P1180" s="13"/>
      <c r="Q1180" s="13"/>
      <c r="R1180" s="13"/>
      <c r="S1180" s="13"/>
      <c r="T1180" s="13"/>
      <c r="U1180" s="13"/>
      <c r="V1180" s="165"/>
      <c r="W1180" s="165"/>
      <c r="X1180" s="165"/>
      <c r="Y1180" s="165"/>
      <c r="Z1180" s="166"/>
      <c r="AA1180" s="166"/>
      <c r="AB1180" s="166"/>
      <c r="AC1180" s="166"/>
      <c r="AD1180" s="166"/>
      <c r="AE1180" s="166"/>
      <c r="AF1180" s="166"/>
      <c r="AG1180" s="166"/>
      <c r="AH1180" s="166"/>
    </row>
    <row r="1181" spans="1:34" ht="15.750000" customHeight="1">
      <c r="B1181" s="1"/>
      <c r="H1181" s="169"/>
      <c r="I1181" s="65"/>
      <c r="J1181" s="65"/>
      <c r="K1181" s="65"/>
      <c r="L1181" s="65"/>
      <c r="O1181" s="164"/>
      <c r="P1181" s="13"/>
      <c r="Q1181" s="13"/>
      <c r="R1181" s="13"/>
      <c r="S1181" s="13"/>
      <c r="T1181" s="13"/>
      <c r="U1181" s="13"/>
      <c r="V1181" s="165"/>
      <c r="W1181" s="165"/>
      <c r="X1181" s="165"/>
      <c r="Y1181" s="165"/>
      <c r="Z1181" s="166"/>
      <c r="AA1181" s="166"/>
      <c r="AB1181" s="166"/>
      <c r="AC1181" s="166"/>
      <c r="AD1181" s="166"/>
      <c r="AE1181" s="166"/>
      <c r="AF1181" s="166"/>
      <c r="AG1181" s="166"/>
      <c r="AH1181" s="166"/>
    </row>
    <row r="1182" spans="1:34" ht="15.750000" customHeight="1">
      <c r="A1182" s="156" t="s">
        <v>116</v>
      </c>
      <c r="B1182" s="88"/>
      <c r="C1182" s="204"/>
      <c r="D1182" s="204"/>
      <c r="E1182" s="158">
        <f>F1182*120%</f>
        <v>0</v>
      </c>
      <c r="F1182" s="158">
        <f>(D1182-C1182+1)*G1182</f>
        <v>0</v>
      </c>
      <c r="G1182" s="159">
        <f>M1182*40</f>
        <v>0</v>
      </c>
      <c r="H1182" s="162"/>
      <c r="I1182" s="65"/>
      <c r="J1182" s="467"/>
      <c r="K1182" s="188"/>
      <c r="L1182" s="162"/>
      <c r="M1182" s="162"/>
      <c r="N1182" s="163"/>
      <c r="O1182" s="179"/>
      <c r="P1182" s="13"/>
      <c r="Q1182" s="13"/>
      <c r="R1182" s="13"/>
      <c r="S1182" s="13"/>
      <c r="T1182" s="13"/>
      <c r="U1182" s="13"/>
      <c r="V1182" s="165"/>
      <c r="W1182" s="165"/>
      <c r="X1182" s="165"/>
      <c r="Y1182" s="165"/>
      <c r="Z1182" s="166"/>
      <c r="AA1182" s="166"/>
      <c r="AB1182" s="166"/>
      <c r="AC1182" s="166"/>
      <c r="AD1182" s="166"/>
      <c r="AE1182" s="166"/>
      <c r="AF1182" s="166"/>
      <c r="AG1182" s="166"/>
      <c r="AH1182" s="166"/>
    </row>
    <row r="1183" spans="1:34" ht="15.750000" customHeight="1">
      <c r="B1183" s="88"/>
      <c r="H1183" s="162"/>
      <c r="I1183" s="65"/>
      <c r="J1183" s="467"/>
      <c r="K1183" s="188"/>
      <c r="L1183" s="162"/>
      <c r="O1183" s="179"/>
      <c r="P1183" s="13"/>
      <c r="Q1183" s="13"/>
      <c r="R1183" s="13"/>
      <c r="S1183" s="13"/>
      <c r="T1183" s="13"/>
      <c r="U1183" s="13"/>
      <c r="V1183" s="165"/>
      <c r="W1183" s="165"/>
      <c r="X1183" s="165"/>
      <c r="Y1183" s="165"/>
      <c r="Z1183" s="166"/>
      <c r="AA1183" s="166"/>
      <c r="AB1183" s="166"/>
      <c r="AC1183" s="166"/>
      <c r="AD1183" s="166"/>
      <c r="AE1183" s="166"/>
      <c r="AF1183" s="166"/>
      <c r="AG1183" s="166"/>
      <c r="AH1183" s="166"/>
    </row>
    <row r="1184" spans="1:34" ht="15.750000" customHeight="1">
      <c r="B1184" s="88"/>
      <c r="H1184" s="467"/>
      <c r="I1184" s="65"/>
      <c r="J1184" s="467"/>
      <c r="K1184" s="188"/>
      <c r="L1184" s="162"/>
      <c r="O1184" s="179"/>
      <c r="P1184" s="13"/>
      <c r="Q1184" s="13"/>
      <c r="R1184" s="13"/>
      <c r="S1184" s="13"/>
      <c r="T1184" s="13"/>
      <c r="U1184" s="13"/>
      <c r="V1184" s="165"/>
      <c r="W1184" s="165"/>
      <c r="X1184" s="165"/>
      <c r="Y1184" s="165"/>
      <c r="Z1184" s="166"/>
      <c r="AA1184" s="166"/>
      <c r="AB1184" s="166"/>
      <c r="AC1184" s="166"/>
      <c r="AD1184" s="166"/>
      <c r="AE1184" s="166"/>
      <c r="AF1184" s="166"/>
      <c r="AG1184" s="166"/>
      <c r="AH1184" s="166"/>
    </row>
    <row r="1185" spans="1:34" ht="15.750000" customHeight="1">
      <c r="B1185" s="88"/>
      <c r="H1185" s="162"/>
      <c r="I1185" s="65"/>
      <c r="J1185" s="467"/>
      <c r="K1185" s="65"/>
      <c r="L1185" s="162"/>
      <c r="O1185" s="179"/>
      <c r="P1185" s="13"/>
      <c r="Q1185" s="13"/>
      <c r="R1185" s="13"/>
      <c r="S1185" s="13"/>
      <c r="T1185" s="13"/>
      <c r="U1185" s="13"/>
      <c r="V1185" s="165"/>
      <c r="W1185" s="165"/>
      <c r="X1185" s="165"/>
      <c r="Y1185" s="165"/>
      <c r="Z1185" s="166"/>
      <c r="AA1185" s="166"/>
      <c r="AB1185" s="166"/>
      <c r="AC1185" s="166"/>
      <c r="AD1185" s="166"/>
      <c r="AE1185" s="166"/>
      <c r="AF1185" s="166"/>
      <c r="AG1185" s="166"/>
      <c r="AH1185" s="166"/>
    </row>
    <row r="1186" spans="1:34" ht="15.750000" customHeight="1">
      <c r="B1186" s="1"/>
      <c r="H1186" s="169"/>
      <c r="I1186" s="65"/>
      <c r="J1186" s="162"/>
      <c r="K1186" s="65"/>
      <c r="L1186" s="162"/>
      <c r="O1186" s="179"/>
      <c r="P1186" s="13"/>
      <c r="Q1186" s="13"/>
      <c r="R1186" s="13"/>
      <c r="S1186" s="13"/>
      <c r="T1186" s="13"/>
      <c r="U1186" s="13"/>
      <c r="V1186" s="165"/>
      <c r="W1186" s="165"/>
      <c r="X1186" s="165"/>
      <c r="Y1186" s="165"/>
      <c r="Z1186" s="166"/>
      <c r="AA1186" s="166"/>
      <c r="AB1186" s="166"/>
      <c r="AC1186" s="166"/>
      <c r="AD1186" s="166"/>
      <c r="AE1186" s="166"/>
      <c r="AF1186" s="166"/>
      <c r="AG1186" s="166"/>
      <c r="AH1186" s="166"/>
    </row>
    <row r="1187" spans="1:34" ht="15.750000" customHeight="1">
      <c r="A1187" s="156" t="s">
        <v>116</v>
      </c>
      <c r="B1187" s="88"/>
      <c r="C1187" s="177"/>
      <c r="D1187" s="177"/>
      <c r="E1187" s="158">
        <f>F1187*120%</f>
        <v>0</v>
      </c>
      <c r="F1187" s="158">
        <f>(D1187-C1187+1)*G1187</f>
        <v>0</v>
      </c>
      <c r="G1187" s="159">
        <f>M1187*40</f>
        <v>0</v>
      </c>
      <c r="H1187" s="162"/>
      <c r="I1187" s="65"/>
      <c r="J1187" s="162"/>
      <c r="K1187" s="188"/>
      <c r="L1187" s="162"/>
      <c r="M1187" s="162"/>
      <c r="N1187" s="163"/>
      <c r="O1187" s="179"/>
      <c r="P1187" s="13"/>
      <c r="Q1187" s="13"/>
      <c r="R1187" s="13"/>
      <c r="S1187" s="13"/>
      <c r="T1187" s="13"/>
      <c r="U1187" s="13"/>
      <c r="V1187" s="165"/>
      <c r="W1187" s="165"/>
      <c r="X1187" s="165"/>
      <c r="Y1187" s="165"/>
      <c r="Z1187" s="166"/>
      <c r="AA1187" s="166"/>
      <c r="AB1187" s="166"/>
      <c r="AC1187" s="166"/>
      <c r="AD1187" s="166"/>
      <c r="AE1187" s="166"/>
      <c r="AF1187" s="166"/>
      <c r="AG1187" s="166"/>
      <c r="AH1187" s="166"/>
    </row>
    <row r="1188" spans="1:34" ht="15.750000" customHeight="1">
      <c r="B1188" s="88"/>
      <c r="H1188" s="162"/>
      <c r="I1188" s="65"/>
      <c r="J1188" s="162"/>
      <c r="K1188" s="188"/>
      <c r="L1188" s="162"/>
      <c r="O1188" s="179"/>
      <c r="P1188" s="13"/>
      <c r="Q1188" s="13"/>
      <c r="R1188" s="13"/>
      <c r="S1188" s="13"/>
      <c r="T1188" s="13"/>
      <c r="U1188" s="13"/>
      <c r="V1188" s="165"/>
      <c r="W1188" s="165"/>
      <c r="X1188" s="165"/>
      <c r="Y1188" s="165"/>
      <c r="Z1188" s="166"/>
      <c r="AA1188" s="166"/>
      <c r="AB1188" s="166"/>
      <c r="AC1188" s="166"/>
      <c r="AD1188" s="166"/>
      <c r="AE1188" s="166"/>
      <c r="AF1188" s="166"/>
      <c r="AG1188" s="166"/>
      <c r="AH1188" s="166"/>
    </row>
    <row r="1189" spans="1:34" ht="15.750000" customHeight="1">
      <c r="B1189" s="88"/>
      <c r="H1189" s="162"/>
      <c r="I1189" s="65"/>
      <c r="J1189" s="162"/>
      <c r="K1189" s="188"/>
      <c r="L1189" s="162"/>
      <c r="O1189" s="179"/>
      <c r="P1189" s="13"/>
      <c r="Q1189" s="13"/>
      <c r="R1189" s="13"/>
      <c r="S1189" s="13"/>
      <c r="T1189" s="13"/>
      <c r="U1189" s="13"/>
      <c r="V1189" s="165"/>
      <c r="W1189" s="165"/>
      <c r="X1189" s="165"/>
      <c r="Y1189" s="165"/>
      <c r="Z1189" s="166"/>
      <c r="AA1189" s="166"/>
      <c r="AB1189" s="166"/>
      <c r="AC1189" s="166"/>
      <c r="AD1189" s="166"/>
      <c r="AE1189" s="166"/>
      <c r="AF1189" s="166"/>
      <c r="AG1189" s="166"/>
      <c r="AH1189" s="166"/>
    </row>
    <row r="1190" spans="1:34" ht="15.750000" customHeight="1">
      <c r="B1190" s="88"/>
      <c r="H1190" s="162"/>
      <c r="I1190" s="65"/>
      <c r="J1190" s="162"/>
      <c r="K1190" s="65"/>
      <c r="L1190" s="162"/>
      <c r="O1190" s="179"/>
      <c r="P1190" s="13"/>
      <c r="Q1190" s="13"/>
      <c r="R1190" s="13"/>
      <c r="S1190" s="13"/>
      <c r="T1190" s="13"/>
      <c r="U1190" s="13"/>
      <c r="V1190" s="165"/>
      <c r="W1190" s="165"/>
      <c r="X1190" s="165"/>
      <c r="Y1190" s="165"/>
      <c r="Z1190" s="166"/>
      <c r="AA1190" s="166"/>
      <c r="AB1190" s="166"/>
      <c r="AC1190" s="166"/>
      <c r="AD1190" s="166"/>
      <c r="AE1190" s="166"/>
      <c r="AF1190" s="166"/>
      <c r="AG1190" s="166"/>
      <c r="AH1190" s="166"/>
    </row>
    <row r="1191" spans="1:34" ht="15.750000" customHeight="1">
      <c r="B1191" s="1"/>
      <c r="H1191" s="169"/>
      <c r="I1191" s="65"/>
      <c r="J1191" s="162"/>
      <c r="K1191" s="65"/>
      <c r="L1191" s="65"/>
      <c r="O1191" s="179"/>
      <c r="P1191" s="13"/>
      <c r="Q1191" s="13"/>
      <c r="R1191" s="13"/>
      <c r="S1191" s="13"/>
      <c r="T1191" s="13"/>
      <c r="U1191" s="13"/>
      <c r="V1191" s="165"/>
      <c r="W1191" s="165"/>
      <c r="X1191" s="165"/>
      <c r="Y1191" s="165"/>
      <c r="Z1191" s="166"/>
      <c r="AA1191" s="166"/>
      <c r="AB1191" s="166"/>
      <c r="AC1191" s="166"/>
      <c r="AD1191" s="166"/>
      <c r="AE1191" s="166"/>
      <c r="AF1191" s="166"/>
      <c r="AG1191" s="166"/>
      <c r="AH1191" s="166"/>
    </row>
    <row r="1192" spans="1:34" ht="15.750000" customHeight="1">
      <c r="A1192" s="156" t="s">
        <v>116</v>
      </c>
      <c r="B1192" s="88"/>
      <c r="C1192" s="279"/>
      <c r="D1192" s="279"/>
      <c r="E1192" s="158">
        <f>F1192*120%</f>
        <v>0</v>
      </c>
      <c r="F1192" s="158">
        <f>(D1192-C1192+1)*G1192</f>
        <v>0</v>
      </c>
      <c r="G1192" s="159">
        <f>M1192*40</f>
        <v>0</v>
      </c>
      <c r="H1192" s="162"/>
      <c r="I1192" s="65"/>
      <c r="J1192" s="162"/>
      <c r="K1192" s="65"/>
      <c r="L1192" s="162"/>
      <c r="M1192" s="162"/>
      <c r="N1192" s="163"/>
      <c r="O1192" s="478"/>
      <c r="P1192" s="13"/>
      <c r="Q1192" s="13"/>
      <c r="R1192" s="13"/>
      <c r="S1192" s="65"/>
      <c r="T1192" s="13"/>
      <c r="U1192" s="13"/>
      <c r="V1192" s="165"/>
      <c r="W1192" s="165"/>
      <c r="X1192" s="165"/>
      <c r="Y1192" s="165"/>
      <c r="Z1192" s="166"/>
      <c r="AA1192" s="166"/>
      <c r="AB1192" s="166"/>
      <c r="AC1192" s="166"/>
      <c r="AD1192" s="166"/>
      <c r="AE1192" s="166"/>
      <c r="AF1192" s="166"/>
      <c r="AG1192" s="166"/>
      <c r="AH1192" s="166"/>
    </row>
    <row r="1193" spans="1:34" ht="15.750000" customHeight="1">
      <c r="B1193" s="88"/>
      <c r="H1193" s="65"/>
      <c r="I1193" s="65"/>
      <c r="J1193" s="65"/>
      <c r="K1193" s="65"/>
      <c r="L1193" s="65"/>
      <c r="O1193" s="164"/>
      <c r="P1193" s="13"/>
      <c r="Q1193" s="13"/>
      <c r="R1193" s="13"/>
      <c r="S1193" s="65"/>
      <c r="T1193" s="13"/>
      <c r="U1193" s="13"/>
      <c r="V1193" s="165"/>
      <c r="W1193" s="165"/>
      <c r="X1193" s="165"/>
      <c r="Y1193" s="165"/>
      <c r="Z1193" s="166"/>
      <c r="AA1193" s="166"/>
      <c r="AB1193" s="166"/>
      <c r="AC1193" s="166"/>
      <c r="AD1193" s="166"/>
      <c r="AE1193" s="166"/>
      <c r="AF1193" s="166"/>
      <c r="AG1193" s="166"/>
      <c r="AH1193" s="166"/>
    </row>
    <row r="1194" spans="1:34" ht="15.750000" customHeight="1">
      <c r="B1194" s="88"/>
      <c r="H1194" s="65"/>
      <c r="I1194" s="65"/>
      <c r="J1194" s="65"/>
      <c r="K1194" s="65"/>
      <c r="L1194" s="65"/>
      <c r="O1194" s="164"/>
      <c r="P1194" s="13"/>
      <c r="Q1194" s="13"/>
      <c r="R1194" s="13"/>
      <c r="S1194" s="65"/>
      <c r="T1194" s="13"/>
      <c r="U1194" s="13"/>
      <c r="V1194" s="165"/>
      <c r="W1194" s="165"/>
      <c r="X1194" s="165"/>
      <c r="Y1194" s="165"/>
      <c r="Z1194" s="166"/>
      <c r="AA1194" s="166"/>
      <c r="AB1194" s="166"/>
      <c r="AC1194" s="166"/>
      <c r="AD1194" s="166"/>
      <c r="AE1194" s="166"/>
      <c r="AF1194" s="166"/>
      <c r="AG1194" s="166"/>
      <c r="AH1194" s="166"/>
    </row>
    <row r="1195" spans="1:34" ht="15.750000" customHeight="1">
      <c r="B1195" s="88"/>
      <c r="H1195" s="65"/>
      <c r="I1195" s="65"/>
      <c r="J1195" s="65"/>
      <c r="K1195" s="65"/>
      <c r="L1195" s="65"/>
      <c r="O1195" s="164"/>
      <c r="P1195" s="13"/>
      <c r="Q1195" s="13"/>
      <c r="R1195" s="13"/>
      <c r="S1195" s="65"/>
      <c r="T1195" s="13"/>
      <c r="U1195" s="13"/>
      <c r="V1195" s="165"/>
      <c r="W1195" s="165"/>
      <c r="X1195" s="165"/>
      <c r="Y1195" s="165"/>
      <c r="Z1195" s="166"/>
      <c r="AA1195" s="166"/>
      <c r="AB1195" s="166"/>
      <c r="AC1195" s="166"/>
      <c r="AD1195" s="166"/>
      <c r="AE1195" s="166"/>
      <c r="AF1195" s="166"/>
      <c r="AG1195" s="166"/>
      <c r="AH1195" s="166"/>
    </row>
    <row r="1196" spans="1:34" ht="15.750000" customHeight="1">
      <c r="B1196" s="1"/>
      <c r="H1196" s="169"/>
      <c r="I1196" s="65"/>
      <c r="J1196" s="65"/>
      <c r="K1196" s="65"/>
      <c r="L1196" s="65"/>
      <c r="O1196" s="164"/>
      <c r="P1196" s="13"/>
      <c r="Q1196" s="13"/>
      <c r="R1196" s="13"/>
      <c r="S1196" s="65"/>
      <c r="T1196" s="13"/>
      <c r="U1196" s="13"/>
      <c r="V1196" s="165"/>
      <c r="W1196" s="165"/>
      <c r="X1196" s="165"/>
      <c r="Y1196" s="165"/>
      <c r="Z1196" s="166"/>
      <c r="AA1196" s="166"/>
      <c r="AB1196" s="166"/>
      <c r="AC1196" s="166"/>
      <c r="AD1196" s="166"/>
      <c r="AE1196" s="166"/>
      <c r="AF1196" s="166"/>
      <c r="AG1196" s="166"/>
      <c r="AH1196" s="166"/>
    </row>
    <row r="1197" spans="1:34" ht="15.750000" customHeight="1">
      <c r="A1197" s="156" t="s">
        <v>116</v>
      </c>
      <c r="B1197" s="88"/>
      <c r="C1197" s="279"/>
      <c r="D1197" s="279"/>
      <c r="E1197" s="158">
        <f>F1197*120%</f>
        <v>0</v>
      </c>
      <c r="F1197" s="158">
        <f>(D1197-C1197+1)*G1197</f>
        <v>0</v>
      </c>
      <c r="G1197" s="159">
        <f>M1197*40</f>
        <v>0</v>
      </c>
      <c r="H1197" s="162"/>
      <c r="I1197" s="65"/>
      <c r="J1197" s="162"/>
      <c r="K1197" s="65"/>
      <c r="L1197" s="162"/>
      <c r="M1197" s="162"/>
      <c r="N1197" s="163"/>
      <c r="O1197" s="164"/>
      <c r="P1197" s="13"/>
      <c r="Q1197" s="13"/>
      <c r="R1197" s="13"/>
      <c r="S1197" s="188"/>
      <c r="T1197" s="13"/>
      <c r="U1197" s="13"/>
      <c r="V1197" s="165"/>
      <c r="W1197" s="165"/>
      <c r="X1197" s="165"/>
      <c r="Y1197" s="165"/>
      <c r="Z1197" s="166"/>
      <c r="AA1197" s="166"/>
      <c r="AB1197" s="166"/>
      <c r="AC1197" s="166"/>
      <c r="AD1197" s="166"/>
      <c r="AE1197" s="166"/>
      <c r="AF1197" s="166"/>
      <c r="AG1197" s="166"/>
      <c r="AH1197" s="166"/>
    </row>
    <row r="1198" spans="1:34" ht="15.750000" customHeight="1">
      <c r="B1198" s="1"/>
      <c r="H1198" s="65"/>
      <c r="I1198" s="65"/>
      <c r="J1198" s="65"/>
      <c r="K1198" s="65"/>
      <c r="L1198" s="65"/>
      <c r="O1198" s="164"/>
      <c r="P1198" s="13"/>
      <c r="Q1198" s="13"/>
      <c r="R1198" s="13"/>
      <c r="S1198" s="65"/>
      <c r="T1198" s="13"/>
      <c r="U1198" s="13"/>
      <c r="V1198" s="165"/>
      <c r="W1198" s="165"/>
      <c r="X1198" s="165"/>
      <c r="Y1198" s="165"/>
      <c r="Z1198" s="166"/>
      <c r="AA1198" s="166"/>
      <c r="AB1198" s="166"/>
      <c r="AC1198" s="166"/>
      <c r="AD1198" s="166"/>
      <c r="AE1198" s="166"/>
      <c r="AF1198" s="166"/>
      <c r="AG1198" s="166"/>
      <c r="AH1198" s="166"/>
    </row>
    <row r="1199" spans="1:34" ht="15.750000" customHeight="1">
      <c r="B1199" s="1"/>
      <c r="H1199" s="65"/>
      <c r="I1199" s="65"/>
      <c r="J1199" s="65"/>
      <c r="K1199" s="65"/>
      <c r="L1199" s="65"/>
      <c r="O1199" s="164"/>
      <c r="P1199" s="13"/>
      <c r="Q1199" s="13"/>
      <c r="R1199" s="13"/>
      <c r="S1199" s="65"/>
      <c r="T1199" s="13"/>
      <c r="U1199" s="13"/>
      <c r="V1199" s="165"/>
      <c r="W1199" s="165"/>
      <c r="X1199" s="165"/>
      <c r="Y1199" s="165"/>
      <c r="Z1199" s="166"/>
      <c r="AA1199" s="166"/>
      <c r="AB1199" s="166"/>
      <c r="AC1199" s="166"/>
      <c r="AD1199" s="166"/>
      <c r="AE1199" s="166"/>
      <c r="AF1199" s="166"/>
      <c r="AG1199" s="166"/>
      <c r="AH1199" s="166"/>
    </row>
    <row r="1200" spans="1:34" ht="15.750000" customHeight="1">
      <c r="B1200" s="1"/>
      <c r="H1200" s="65"/>
      <c r="I1200" s="65"/>
      <c r="J1200" s="65"/>
      <c r="K1200" s="65"/>
      <c r="L1200" s="65"/>
      <c r="O1200" s="164"/>
      <c r="P1200" s="13"/>
      <c r="Q1200" s="13"/>
      <c r="R1200" s="13"/>
      <c r="S1200" s="65"/>
      <c r="T1200" s="13"/>
      <c r="U1200" s="13"/>
      <c r="V1200" s="165"/>
      <c r="W1200" s="165"/>
      <c r="X1200" s="165"/>
      <c r="Y1200" s="165"/>
      <c r="Z1200" s="166"/>
      <c r="AA1200" s="166"/>
      <c r="AB1200" s="166"/>
      <c r="AC1200" s="166"/>
      <c r="AD1200" s="166"/>
      <c r="AE1200" s="166"/>
      <c r="AF1200" s="166"/>
      <c r="AG1200" s="166"/>
      <c r="AH1200" s="166"/>
    </row>
    <row r="1201" spans="1:34" ht="15.750000" customHeight="1">
      <c r="B1201" s="1"/>
      <c r="H1201" s="169"/>
      <c r="I1201" s="65"/>
      <c r="J1201" s="65"/>
      <c r="K1201" s="65"/>
      <c r="L1201" s="65"/>
      <c r="O1201" s="164"/>
      <c r="P1201" s="13"/>
      <c r="Q1201" s="13"/>
      <c r="R1201" s="13"/>
      <c r="S1201" s="65"/>
      <c r="T1201" s="13"/>
      <c r="U1201" s="13"/>
      <c r="V1201" s="165"/>
      <c r="W1201" s="165"/>
      <c r="X1201" s="165"/>
      <c r="Y1201" s="165"/>
      <c r="Z1201" s="166"/>
      <c r="AA1201" s="166"/>
      <c r="AB1201" s="166"/>
      <c r="AC1201" s="166"/>
      <c r="AD1201" s="166"/>
      <c r="AE1201" s="166"/>
      <c r="AF1201" s="166"/>
      <c r="AG1201" s="166"/>
      <c r="AH1201" s="166"/>
    </row>
    <row r="1202" spans="1:34" ht="15.750000" customHeight="1">
      <c r="A1202" s="156" t="s">
        <v>116</v>
      </c>
      <c r="B1202" s="88"/>
      <c r="C1202" s="279"/>
      <c r="D1202" s="279"/>
      <c r="E1202" s="158">
        <f>F1202*120%</f>
        <v>0</v>
      </c>
      <c r="F1202" s="158">
        <f>(D1202-C1202+1)*G1202</f>
        <v>0</v>
      </c>
      <c r="G1202" s="159">
        <f>M1202*40</f>
        <v>0</v>
      </c>
      <c r="H1202" s="162"/>
      <c r="I1202" s="65"/>
      <c r="J1202" s="162"/>
      <c r="K1202" s="65"/>
      <c r="L1202" s="162"/>
      <c r="M1202" s="162"/>
      <c r="N1202" s="163"/>
      <c r="O1202" s="164"/>
      <c r="P1202" s="13"/>
      <c r="Q1202" s="13"/>
      <c r="R1202" s="13"/>
      <c r="S1202" s="188"/>
      <c r="T1202" s="13"/>
      <c r="U1202" s="13"/>
      <c r="V1202" s="165"/>
      <c r="W1202" s="165"/>
      <c r="X1202" s="165"/>
      <c r="Y1202" s="165"/>
      <c r="Z1202" s="166"/>
      <c r="AA1202" s="166"/>
      <c r="AB1202" s="166"/>
      <c r="AC1202" s="166"/>
      <c r="AD1202" s="166"/>
      <c r="AE1202" s="166"/>
      <c r="AF1202" s="166"/>
      <c r="AG1202" s="166"/>
      <c r="AH1202" s="166"/>
    </row>
    <row r="1203" spans="1:34" ht="15.750000" customHeight="1">
      <c r="B1203" s="1"/>
      <c r="H1203" s="65"/>
      <c r="I1203" s="65"/>
      <c r="J1203" s="65"/>
      <c r="K1203" s="65"/>
      <c r="L1203" s="65"/>
      <c r="O1203" s="164"/>
      <c r="P1203" s="13"/>
      <c r="Q1203" s="13"/>
      <c r="R1203" s="13"/>
      <c r="S1203" s="65"/>
      <c r="T1203" s="13"/>
      <c r="U1203" s="13"/>
      <c r="V1203" s="165"/>
      <c r="W1203" s="165"/>
      <c r="X1203" s="165"/>
      <c r="Y1203" s="165"/>
      <c r="Z1203" s="166"/>
      <c r="AA1203" s="166"/>
      <c r="AB1203" s="166"/>
      <c r="AC1203" s="166"/>
      <c r="AD1203" s="166"/>
      <c r="AE1203" s="166"/>
      <c r="AF1203" s="166"/>
      <c r="AG1203" s="166"/>
      <c r="AH1203" s="166"/>
    </row>
    <row r="1204" spans="1:34" ht="15.750000" customHeight="1">
      <c r="B1204" s="1"/>
      <c r="H1204" s="65"/>
      <c r="I1204" s="65"/>
      <c r="J1204" s="65"/>
      <c r="K1204" s="65"/>
      <c r="L1204" s="65"/>
      <c r="O1204" s="164"/>
      <c r="P1204" s="13"/>
      <c r="Q1204" s="13"/>
      <c r="R1204" s="13"/>
      <c r="S1204" s="65"/>
      <c r="T1204" s="13"/>
      <c r="U1204" s="13"/>
      <c r="V1204" s="165"/>
      <c r="W1204" s="165"/>
      <c r="X1204" s="165"/>
      <c r="Y1204" s="165"/>
      <c r="Z1204" s="166"/>
      <c r="AA1204" s="166"/>
      <c r="AB1204" s="166"/>
      <c r="AC1204" s="166"/>
      <c r="AD1204" s="166"/>
      <c r="AE1204" s="166"/>
      <c r="AF1204" s="166"/>
      <c r="AG1204" s="166"/>
      <c r="AH1204" s="166"/>
    </row>
    <row r="1205" spans="1:34" ht="15.750000" customHeight="1">
      <c r="B1205" s="1"/>
      <c r="H1205" s="65"/>
      <c r="I1205" s="65"/>
      <c r="J1205" s="65"/>
      <c r="K1205" s="65"/>
      <c r="L1205" s="65"/>
      <c r="O1205" s="164"/>
      <c r="P1205" s="13"/>
      <c r="Q1205" s="13"/>
      <c r="R1205" s="13"/>
      <c r="S1205" s="65"/>
      <c r="T1205" s="13"/>
      <c r="U1205" s="13"/>
      <c r="V1205" s="165"/>
      <c r="W1205" s="165"/>
      <c r="X1205" s="165"/>
      <c r="Y1205" s="165"/>
      <c r="Z1205" s="166"/>
      <c r="AA1205" s="166"/>
      <c r="AB1205" s="166"/>
      <c r="AC1205" s="166"/>
      <c r="AD1205" s="166"/>
      <c r="AE1205" s="166"/>
      <c r="AF1205" s="166"/>
      <c r="AG1205" s="166"/>
      <c r="AH1205" s="166"/>
    </row>
    <row r="1206" spans="1:34" ht="15.750000" customHeight="1">
      <c r="B1206" s="1"/>
      <c r="H1206" s="169"/>
      <c r="I1206" s="65"/>
      <c r="J1206" s="65"/>
      <c r="K1206" s="65"/>
      <c r="L1206" s="65"/>
      <c r="O1206" s="164"/>
      <c r="P1206" s="13"/>
      <c r="Q1206" s="13"/>
      <c r="R1206" s="13"/>
      <c r="S1206" s="65"/>
      <c r="T1206" s="13"/>
      <c r="U1206" s="13"/>
      <c r="V1206" s="165"/>
      <c r="W1206" s="165"/>
      <c r="X1206" s="165"/>
      <c r="Y1206" s="165"/>
      <c r="Z1206" s="166"/>
      <c r="AA1206" s="166"/>
      <c r="AB1206" s="166"/>
      <c r="AC1206" s="166"/>
      <c r="AD1206" s="166"/>
      <c r="AE1206" s="166"/>
      <c r="AF1206" s="166"/>
      <c r="AG1206" s="166"/>
      <c r="AH1206" s="166"/>
    </row>
    <row r="1207" spans="1:34" ht="15.750000" customHeight="1">
      <c r="A1207" s="156" t="s">
        <v>116</v>
      </c>
      <c r="B1207" s="88"/>
      <c r="C1207" s="279"/>
      <c r="D1207" s="279"/>
      <c r="E1207" s="158">
        <f>F1207*120%</f>
        <v>0</v>
      </c>
      <c r="F1207" s="158">
        <f>(D1207-C1207+1)*G1207</f>
        <v>0</v>
      </c>
      <c r="G1207" s="159">
        <f>M1207*40</f>
        <v>0</v>
      </c>
      <c r="H1207" s="162"/>
      <c r="I1207" s="65"/>
      <c r="J1207" s="162"/>
      <c r="K1207" s="65"/>
      <c r="L1207" s="162"/>
      <c r="M1207" s="162"/>
      <c r="N1207" s="163"/>
      <c r="O1207" s="164"/>
      <c r="P1207" s="13"/>
      <c r="Q1207" s="13"/>
      <c r="R1207" s="13"/>
      <c r="S1207" s="65"/>
      <c r="T1207" s="13"/>
      <c r="U1207" s="13"/>
      <c r="V1207" s="165"/>
      <c r="W1207" s="165"/>
      <c r="X1207" s="165"/>
      <c r="Y1207" s="165"/>
      <c r="Z1207" s="166"/>
      <c r="AA1207" s="166"/>
      <c r="AB1207" s="166"/>
      <c r="AC1207" s="166"/>
      <c r="AD1207" s="166"/>
      <c r="AE1207" s="166"/>
      <c r="AF1207" s="166"/>
      <c r="AG1207" s="166"/>
      <c r="AH1207" s="166"/>
    </row>
    <row r="1208" spans="1:34" ht="15.750000" customHeight="1">
      <c r="B1208" s="1"/>
      <c r="H1208" s="65"/>
      <c r="I1208" s="65"/>
      <c r="J1208" s="65"/>
      <c r="K1208" s="65"/>
      <c r="L1208" s="65"/>
      <c r="O1208" s="164"/>
      <c r="P1208" s="13"/>
      <c r="Q1208" s="13"/>
      <c r="R1208" s="13"/>
      <c r="S1208" s="65"/>
      <c r="T1208" s="13"/>
      <c r="U1208" s="13"/>
      <c r="V1208" s="165"/>
      <c r="W1208" s="165"/>
      <c r="X1208" s="165"/>
      <c r="Y1208" s="165"/>
      <c r="Z1208" s="166"/>
      <c r="AA1208" s="166"/>
      <c r="AB1208" s="166"/>
      <c r="AC1208" s="166"/>
      <c r="AD1208" s="166"/>
      <c r="AE1208" s="166"/>
      <c r="AF1208" s="166"/>
      <c r="AG1208" s="166"/>
      <c r="AH1208" s="166"/>
    </row>
    <row r="1209" spans="1:34" ht="15.750000" customHeight="1">
      <c r="B1209" s="1"/>
      <c r="H1209" s="65"/>
      <c r="I1209" s="65"/>
      <c r="J1209" s="65"/>
      <c r="K1209" s="65"/>
      <c r="L1209" s="65"/>
      <c r="O1209" s="164"/>
      <c r="P1209" s="13"/>
      <c r="Q1209" s="13"/>
      <c r="R1209" s="13"/>
      <c r="S1209" s="65"/>
      <c r="T1209" s="13"/>
      <c r="U1209" s="13"/>
      <c r="V1209" s="165"/>
      <c r="W1209" s="165"/>
      <c r="X1209" s="165"/>
      <c r="Y1209" s="165"/>
      <c r="Z1209" s="166"/>
      <c r="AA1209" s="166"/>
      <c r="AB1209" s="166"/>
      <c r="AC1209" s="166"/>
      <c r="AD1209" s="166"/>
      <c r="AE1209" s="166"/>
      <c r="AF1209" s="166"/>
      <c r="AG1209" s="166"/>
      <c r="AH1209" s="166"/>
    </row>
    <row r="1210" spans="1:34" ht="15.750000" customHeight="1">
      <c r="B1210" s="1"/>
      <c r="H1210" s="65"/>
      <c r="I1210" s="65"/>
      <c r="J1210" s="65"/>
      <c r="K1210" s="65"/>
      <c r="L1210" s="65"/>
      <c r="O1210" s="164"/>
      <c r="P1210" s="13"/>
      <c r="Q1210" s="13"/>
      <c r="R1210" s="13"/>
      <c r="S1210" s="65"/>
      <c r="T1210" s="13"/>
      <c r="U1210" s="13"/>
      <c r="V1210" s="165"/>
      <c r="W1210" s="165"/>
      <c r="X1210" s="165"/>
      <c r="Y1210" s="165"/>
      <c r="Z1210" s="166"/>
      <c r="AA1210" s="166"/>
      <c r="AB1210" s="166"/>
      <c r="AC1210" s="166"/>
      <c r="AD1210" s="166"/>
      <c r="AE1210" s="166"/>
      <c r="AF1210" s="166"/>
      <c r="AG1210" s="166"/>
      <c r="AH1210" s="166"/>
    </row>
    <row r="1211" spans="1:34" ht="15.750000" customHeight="1">
      <c r="B1211" s="1"/>
      <c r="H1211" s="169"/>
      <c r="I1211" s="65"/>
      <c r="J1211" s="65"/>
      <c r="K1211" s="65"/>
      <c r="L1211" s="65"/>
      <c r="O1211" s="164"/>
      <c r="P1211" s="13"/>
      <c r="Q1211" s="13"/>
      <c r="R1211" s="13"/>
      <c r="S1211" s="65"/>
      <c r="T1211" s="13"/>
      <c r="U1211" s="13"/>
      <c r="V1211" s="165"/>
      <c r="W1211" s="165"/>
      <c r="X1211" s="165"/>
      <c r="Y1211" s="165"/>
      <c r="Z1211" s="166"/>
      <c r="AA1211" s="166"/>
      <c r="AB1211" s="166"/>
      <c r="AC1211" s="166"/>
      <c r="AD1211" s="166"/>
      <c r="AE1211" s="166"/>
      <c r="AF1211" s="166"/>
      <c r="AG1211" s="166"/>
      <c r="AH1211" s="166"/>
    </row>
    <row r="1212" spans="1:34" ht="15.750000" customHeight="1">
      <c r="A1212" s="156" t="s">
        <v>116</v>
      </c>
      <c r="B1212" s="88"/>
      <c r="C1212" s="279"/>
      <c r="D1212" s="279"/>
      <c r="E1212" s="158">
        <f>F1212*120%</f>
        <v>0</v>
      </c>
      <c r="F1212" s="158">
        <f>(D1212-C1212+1)*G1212</f>
        <v>0</v>
      </c>
      <c r="G1212" s="159">
        <f>M1212*40</f>
        <v>0</v>
      </c>
      <c r="H1212" s="162"/>
      <c r="I1212" s="65"/>
      <c r="J1212" s="162"/>
      <c r="K1212" s="65"/>
      <c r="L1212" s="162"/>
      <c r="M1212" s="162"/>
      <c r="N1212" s="163"/>
      <c r="O1212" s="164"/>
      <c r="P1212" s="13"/>
      <c r="Q1212" s="13"/>
      <c r="R1212" s="13"/>
      <c r="S1212" s="188"/>
      <c r="T1212" s="13"/>
      <c r="U1212" s="13"/>
      <c r="V1212" s="165"/>
      <c r="W1212" s="165"/>
      <c r="X1212" s="165"/>
      <c r="Y1212" s="165"/>
      <c r="Z1212" s="166"/>
      <c r="AA1212" s="166"/>
      <c r="AB1212" s="166"/>
      <c r="AC1212" s="166"/>
      <c r="AD1212" s="166"/>
      <c r="AE1212" s="166"/>
      <c r="AF1212" s="166"/>
      <c r="AG1212" s="166"/>
      <c r="AH1212" s="166"/>
    </row>
    <row r="1213" spans="1:34" ht="15.750000" customHeight="1">
      <c r="B1213" s="1"/>
      <c r="H1213" s="65"/>
      <c r="I1213" s="65"/>
      <c r="J1213" s="65"/>
      <c r="K1213" s="65"/>
      <c r="L1213" s="65"/>
      <c r="O1213" s="164"/>
      <c r="P1213" s="13"/>
      <c r="Q1213" s="13"/>
      <c r="R1213" s="13"/>
      <c r="S1213" s="65"/>
      <c r="T1213" s="13"/>
      <c r="U1213" s="13"/>
      <c r="V1213" s="165"/>
      <c r="W1213" s="165"/>
      <c r="X1213" s="165"/>
      <c r="Y1213" s="165"/>
      <c r="Z1213" s="166"/>
      <c r="AA1213" s="166"/>
      <c r="AB1213" s="166"/>
      <c r="AC1213" s="166"/>
      <c r="AD1213" s="166"/>
      <c r="AE1213" s="166"/>
      <c r="AF1213" s="166"/>
      <c r="AG1213" s="166"/>
      <c r="AH1213" s="166"/>
    </row>
    <row r="1214" spans="1:34" ht="15.750000" customHeight="1">
      <c r="B1214" s="1"/>
      <c r="H1214" s="65"/>
      <c r="I1214" s="65"/>
      <c r="J1214" s="65"/>
      <c r="K1214" s="65"/>
      <c r="L1214" s="65"/>
      <c r="O1214" s="164"/>
      <c r="P1214" s="13"/>
      <c r="Q1214" s="13"/>
      <c r="R1214" s="13"/>
      <c r="S1214" s="65"/>
      <c r="T1214" s="13"/>
      <c r="U1214" s="13"/>
      <c r="V1214" s="165"/>
      <c r="W1214" s="165"/>
      <c r="X1214" s="165"/>
      <c r="Y1214" s="165"/>
      <c r="Z1214" s="166"/>
      <c r="AA1214" s="166"/>
      <c r="AB1214" s="166"/>
      <c r="AC1214" s="166"/>
      <c r="AD1214" s="166"/>
      <c r="AE1214" s="166"/>
      <c r="AF1214" s="166"/>
      <c r="AG1214" s="166"/>
      <c r="AH1214" s="166"/>
    </row>
    <row r="1215" spans="1:34" ht="15.750000" customHeight="1">
      <c r="B1215" s="1"/>
      <c r="H1215" s="65"/>
      <c r="I1215" s="65"/>
      <c r="J1215" s="65"/>
      <c r="K1215" s="65"/>
      <c r="L1215" s="65"/>
      <c r="O1215" s="164"/>
      <c r="P1215" s="13"/>
      <c r="Q1215" s="13"/>
      <c r="R1215" s="13"/>
      <c r="S1215" s="65"/>
      <c r="T1215" s="13"/>
      <c r="U1215" s="13"/>
      <c r="V1215" s="165"/>
      <c r="W1215" s="165"/>
      <c r="X1215" s="165"/>
      <c r="Y1215" s="165"/>
      <c r="Z1215" s="166"/>
      <c r="AA1215" s="166"/>
      <c r="AB1215" s="166"/>
      <c r="AC1215" s="166"/>
      <c r="AD1215" s="166"/>
      <c r="AE1215" s="166"/>
      <c r="AF1215" s="166"/>
      <c r="AG1215" s="166"/>
      <c r="AH1215" s="166"/>
    </row>
    <row r="1216" spans="1:34" ht="15.750000" customHeight="1">
      <c r="B1216" s="1"/>
      <c r="H1216" s="169"/>
      <c r="I1216" s="65"/>
      <c r="J1216" s="65"/>
      <c r="K1216" s="65"/>
      <c r="L1216" s="65"/>
      <c r="O1216" s="164"/>
      <c r="P1216" s="13"/>
      <c r="Q1216" s="13"/>
      <c r="R1216" s="13"/>
      <c r="S1216" s="65"/>
      <c r="T1216" s="13"/>
      <c r="U1216" s="13"/>
      <c r="V1216" s="165"/>
      <c r="W1216" s="165"/>
      <c r="X1216" s="165"/>
      <c r="Y1216" s="165"/>
      <c r="Z1216" s="166"/>
      <c r="AA1216" s="166"/>
      <c r="AB1216" s="166"/>
      <c r="AC1216" s="166"/>
      <c r="AD1216" s="166"/>
      <c r="AE1216" s="166"/>
      <c r="AF1216" s="166"/>
      <c r="AG1216" s="166"/>
      <c r="AH1216" s="166"/>
    </row>
    <row r="1217" spans="1:34" ht="15.750000" customHeight="1">
      <c r="A1217" s="156" t="s">
        <v>116</v>
      </c>
      <c r="B1217" s="88"/>
      <c r="C1217" s="279"/>
      <c r="D1217" s="279"/>
      <c r="E1217" s="158">
        <f>F1217*120%</f>
        <v>0</v>
      </c>
      <c r="F1217" s="158">
        <f>(D1217-C1217+1)*G1217</f>
        <v>0</v>
      </c>
      <c r="G1217" s="159">
        <f>M1217*40</f>
        <v>0</v>
      </c>
      <c r="H1217" s="162"/>
      <c r="I1217" s="65"/>
      <c r="J1217" s="162"/>
      <c r="K1217" s="65"/>
      <c r="L1217" s="162"/>
      <c r="M1217" s="162"/>
      <c r="N1217" s="163"/>
      <c r="O1217" s="164"/>
      <c r="P1217" s="13"/>
      <c r="Q1217" s="13"/>
      <c r="R1217" s="13"/>
      <c r="S1217" s="188"/>
      <c r="T1217" s="13"/>
      <c r="U1217" s="13"/>
      <c r="V1217" s="165"/>
      <c r="W1217" s="165"/>
      <c r="X1217" s="165"/>
      <c r="Y1217" s="165"/>
      <c r="Z1217" s="166"/>
      <c r="AA1217" s="166"/>
      <c r="AB1217" s="166"/>
      <c r="AC1217" s="166"/>
      <c r="AD1217" s="166"/>
      <c r="AE1217" s="166"/>
      <c r="AF1217" s="166"/>
      <c r="AG1217" s="166"/>
      <c r="AH1217" s="166"/>
    </row>
    <row r="1218" spans="1:34" ht="15.750000" customHeight="1">
      <c r="B1218" s="88"/>
      <c r="H1218" s="162"/>
      <c r="I1218" s="65"/>
      <c r="J1218" s="162"/>
      <c r="K1218" s="188"/>
      <c r="L1218" s="162"/>
      <c r="O1218" s="164"/>
      <c r="P1218" s="13"/>
      <c r="Q1218" s="13"/>
      <c r="R1218" s="13"/>
      <c r="S1218" s="65"/>
      <c r="T1218" s="13"/>
      <c r="U1218" s="13"/>
      <c r="V1218" s="165"/>
      <c r="W1218" s="165"/>
      <c r="X1218" s="165"/>
      <c r="Y1218" s="165"/>
      <c r="Z1218" s="166"/>
      <c r="AA1218" s="166"/>
      <c r="AB1218" s="166"/>
      <c r="AC1218" s="166"/>
      <c r="AD1218" s="166"/>
      <c r="AE1218" s="166"/>
      <c r="AF1218" s="166"/>
      <c r="AG1218" s="166"/>
      <c r="AH1218" s="166"/>
    </row>
    <row r="1219" spans="1:34" ht="15.750000" customHeight="1">
      <c r="B1219" s="88"/>
      <c r="H1219" s="162"/>
      <c r="I1219" s="65"/>
      <c r="J1219" s="162"/>
      <c r="K1219" s="188"/>
      <c r="L1219" s="162"/>
      <c r="O1219" s="164"/>
      <c r="P1219" s="13"/>
      <c r="Q1219" s="13"/>
      <c r="R1219" s="13"/>
      <c r="S1219" s="65"/>
      <c r="T1219" s="13"/>
      <c r="U1219" s="13"/>
      <c r="V1219" s="165"/>
      <c r="W1219" s="165"/>
      <c r="X1219" s="165"/>
      <c r="Y1219" s="165"/>
      <c r="Z1219" s="166"/>
      <c r="AA1219" s="166"/>
      <c r="AB1219" s="166"/>
      <c r="AC1219" s="166"/>
      <c r="AD1219" s="166"/>
      <c r="AE1219" s="166"/>
      <c r="AF1219" s="166"/>
      <c r="AG1219" s="166"/>
      <c r="AH1219" s="166"/>
    </row>
    <row r="1220" spans="1:34" ht="15.750000" customHeight="1">
      <c r="B1220" s="88"/>
      <c r="H1220" s="162"/>
      <c r="I1220" s="65"/>
      <c r="J1220" s="162"/>
      <c r="K1220" s="65"/>
      <c r="L1220" s="162"/>
      <c r="O1220" s="164"/>
      <c r="P1220" s="13"/>
      <c r="Q1220" s="13"/>
      <c r="R1220" s="13"/>
      <c r="S1220" s="65"/>
      <c r="T1220" s="13"/>
      <c r="U1220" s="13"/>
      <c r="V1220" s="165"/>
      <c r="W1220" s="165"/>
      <c r="X1220" s="165"/>
      <c r="Y1220" s="165"/>
      <c r="Z1220" s="166"/>
      <c r="AA1220" s="166"/>
      <c r="AB1220" s="166"/>
      <c r="AC1220" s="166"/>
      <c r="AD1220" s="166"/>
      <c r="AE1220" s="166"/>
      <c r="AF1220" s="166"/>
      <c r="AG1220" s="166"/>
      <c r="AH1220" s="166"/>
    </row>
    <row r="1221" spans="1:34" ht="15.750000" customHeight="1">
      <c r="B1221" s="88"/>
      <c r="H1221" s="220"/>
      <c r="I1221" s="65"/>
      <c r="J1221" s="162"/>
      <c r="K1221" s="65"/>
      <c r="L1221" s="162"/>
      <c r="O1221" s="164"/>
      <c r="P1221" s="13"/>
      <c r="Q1221" s="13"/>
      <c r="R1221" s="13"/>
      <c r="S1221" s="65"/>
      <c r="T1221" s="13"/>
      <c r="U1221" s="13"/>
      <c r="V1221" s="165"/>
      <c r="W1221" s="165"/>
      <c r="X1221" s="165"/>
      <c r="Y1221" s="165"/>
      <c r="Z1221" s="166"/>
      <c r="AA1221" s="166"/>
      <c r="AB1221" s="166"/>
      <c r="AC1221" s="166"/>
      <c r="AD1221" s="166"/>
      <c r="AE1221" s="166"/>
      <c r="AF1221" s="166"/>
      <c r="AG1221" s="166"/>
      <c r="AH1221" s="166"/>
    </row>
    <row r="1222" spans="1:34" ht="15.750000" customHeight="1">
      <c r="A1222" s="156" t="s">
        <v>116</v>
      </c>
      <c r="B1222" s="88"/>
      <c r="C1222" s="279"/>
      <c r="D1222" s="279"/>
      <c r="E1222" s="158">
        <f>F1222*120%</f>
        <v>0</v>
      </c>
      <c r="F1222" s="158">
        <f>(D1222-C1222+1)*G1222</f>
        <v>0</v>
      </c>
      <c r="G1222" s="159">
        <f>M1222*40</f>
        <v>0</v>
      </c>
      <c r="H1222" s="162"/>
      <c r="I1222" s="65"/>
      <c r="J1222" s="162"/>
      <c r="K1222" s="65"/>
      <c r="L1222" s="162"/>
      <c r="M1222" s="162"/>
      <c r="N1222" s="163"/>
      <c r="O1222" s="164"/>
      <c r="P1222" s="13"/>
      <c r="Q1222" s="13"/>
      <c r="R1222" s="13"/>
      <c r="S1222" s="188"/>
      <c r="T1222" s="13"/>
      <c r="U1222" s="13"/>
      <c r="V1222" s="165"/>
      <c r="W1222" s="165"/>
      <c r="X1222" s="165"/>
      <c r="Y1222" s="165"/>
      <c r="Z1222" s="166"/>
      <c r="AA1222" s="166"/>
      <c r="AB1222" s="166"/>
      <c r="AC1222" s="166"/>
      <c r="AD1222" s="166"/>
      <c r="AE1222" s="166"/>
      <c r="AF1222" s="166"/>
      <c r="AG1222" s="166"/>
      <c r="AH1222" s="166"/>
    </row>
    <row r="1223" spans="1:34" ht="15.750000" customHeight="1">
      <c r="B1223" s="88"/>
      <c r="H1223" s="162"/>
      <c r="I1223" s="65"/>
      <c r="J1223" s="162"/>
      <c r="K1223" s="188"/>
      <c r="L1223" s="162"/>
      <c r="O1223" s="164"/>
      <c r="P1223" s="13"/>
      <c r="Q1223" s="13"/>
      <c r="R1223" s="13"/>
      <c r="S1223" s="65"/>
      <c r="T1223" s="13"/>
      <c r="U1223" s="13"/>
      <c r="V1223" s="165"/>
      <c r="W1223" s="165"/>
      <c r="X1223" s="165"/>
      <c r="Y1223" s="165"/>
      <c r="Z1223" s="166"/>
      <c r="AA1223" s="166"/>
      <c r="AB1223" s="166"/>
      <c r="AC1223" s="166"/>
      <c r="AD1223" s="166"/>
      <c r="AE1223" s="166"/>
      <c r="AF1223" s="166"/>
      <c r="AG1223" s="166"/>
      <c r="AH1223" s="166"/>
    </row>
    <row r="1224" spans="1:34" ht="15.750000" customHeight="1">
      <c r="B1224" s="88"/>
      <c r="H1224" s="162"/>
      <c r="I1224" s="65"/>
      <c r="J1224" s="162"/>
      <c r="K1224" s="188"/>
      <c r="L1224" s="162"/>
      <c r="O1224" s="164"/>
      <c r="P1224" s="13"/>
      <c r="Q1224" s="13"/>
      <c r="R1224" s="13"/>
      <c r="S1224" s="65"/>
      <c r="T1224" s="13"/>
      <c r="U1224" s="13"/>
      <c r="V1224" s="165"/>
      <c r="W1224" s="165"/>
      <c r="X1224" s="165"/>
      <c r="Y1224" s="165"/>
      <c r="Z1224" s="166"/>
      <c r="AA1224" s="166"/>
      <c r="AB1224" s="166"/>
      <c r="AC1224" s="166"/>
      <c r="AD1224" s="166"/>
      <c r="AE1224" s="166"/>
      <c r="AF1224" s="166"/>
      <c r="AG1224" s="166"/>
      <c r="AH1224" s="166"/>
    </row>
    <row r="1225" spans="1:34" ht="15.750000" customHeight="1">
      <c r="B1225" s="1"/>
      <c r="H1225" s="65"/>
      <c r="I1225" s="65"/>
      <c r="J1225" s="65"/>
      <c r="K1225" s="65"/>
      <c r="L1225" s="65"/>
      <c r="O1225" s="164"/>
      <c r="P1225" s="13"/>
      <c r="Q1225" s="13"/>
      <c r="R1225" s="13"/>
      <c r="S1225" s="65"/>
      <c r="T1225" s="13"/>
      <c r="U1225" s="13"/>
      <c r="V1225" s="165"/>
      <c r="W1225" s="165"/>
      <c r="X1225" s="165"/>
      <c r="Y1225" s="165"/>
      <c r="Z1225" s="166"/>
      <c r="AA1225" s="166"/>
      <c r="AB1225" s="166"/>
      <c r="AC1225" s="166"/>
      <c r="AD1225" s="166"/>
      <c r="AE1225" s="166"/>
      <c r="AF1225" s="166"/>
      <c r="AG1225" s="166"/>
      <c r="AH1225" s="166"/>
    </row>
    <row r="1226" spans="1:34" ht="15.750000" customHeight="1">
      <c r="B1226" s="1"/>
      <c r="H1226" s="169"/>
      <c r="I1226" s="65"/>
      <c r="J1226" s="65"/>
      <c r="K1226" s="65"/>
      <c r="L1226" s="65"/>
      <c r="O1226" s="164"/>
      <c r="P1226" s="13"/>
      <c r="Q1226" s="13"/>
      <c r="R1226" s="13"/>
      <c r="S1226" s="65"/>
      <c r="T1226" s="13"/>
      <c r="U1226" s="13"/>
      <c r="V1226" s="165"/>
      <c r="W1226" s="165"/>
      <c r="X1226" s="165"/>
      <c r="Y1226" s="165"/>
      <c r="Z1226" s="166"/>
      <c r="AA1226" s="166"/>
      <c r="AB1226" s="166"/>
      <c r="AC1226" s="166"/>
      <c r="AD1226" s="166"/>
      <c r="AE1226" s="166"/>
      <c r="AF1226" s="166"/>
      <c r="AG1226" s="166"/>
      <c r="AH1226" s="166"/>
    </row>
    <row r="1227" spans="1:34" ht="15.750000" customHeight="1">
      <c r="A1227" s="156" t="s">
        <v>116</v>
      </c>
      <c r="B1227" s="88"/>
      <c r="C1227" s="279"/>
      <c r="D1227" s="279"/>
      <c r="E1227" s="158">
        <f>F1227*120%</f>
        <v>0</v>
      </c>
      <c r="F1227" s="158">
        <f>(D1227-C1227+1)*G1227</f>
        <v>0</v>
      </c>
      <c r="G1227" s="159">
        <f>M1227*40</f>
        <v>0</v>
      </c>
      <c r="H1227" s="162"/>
      <c r="I1227" s="65"/>
      <c r="J1227" s="162"/>
      <c r="K1227" s="65"/>
      <c r="L1227" s="162"/>
      <c r="M1227" s="162"/>
      <c r="N1227" s="163"/>
      <c r="O1227" s="164"/>
      <c r="P1227" s="13"/>
      <c r="Q1227" s="13"/>
      <c r="R1227" s="13"/>
      <c r="S1227" s="188"/>
      <c r="T1227" s="13"/>
      <c r="U1227" s="13"/>
      <c r="V1227" s="165"/>
      <c r="W1227" s="165"/>
      <c r="X1227" s="165"/>
      <c r="Y1227" s="165"/>
      <c r="Z1227" s="166"/>
      <c r="AA1227" s="166"/>
      <c r="AB1227" s="166"/>
      <c r="AC1227" s="166"/>
      <c r="AD1227" s="166"/>
      <c r="AE1227" s="166"/>
      <c r="AF1227" s="166"/>
      <c r="AG1227" s="166"/>
      <c r="AH1227" s="166"/>
    </row>
    <row r="1228" spans="1:34" ht="15.750000" customHeight="1">
      <c r="B1228" s="1"/>
      <c r="H1228" s="65"/>
      <c r="I1228" s="65"/>
      <c r="J1228" s="65"/>
      <c r="K1228" s="65"/>
      <c r="L1228" s="65"/>
      <c r="O1228" s="164"/>
      <c r="P1228" s="13"/>
      <c r="Q1228" s="13"/>
      <c r="R1228" s="13"/>
      <c r="S1228" s="65"/>
      <c r="T1228" s="13"/>
      <c r="U1228" s="13"/>
      <c r="V1228" s="165"/>
      <c r="W1228" s="165"/>
      <c r="X1228" s="165"/>
      <c r="Y1228" s="165"/>
      <c r="Z1228" s="166"/>
      <c r="AA1228" s="166"/>
      <c r="AB1228" s="166"/>
      <c r="AC1228" s="166"/>
      <c r="AD1228" s="166"/>
      <c r="AE1228" s="166"/>
      <c r="AF1228" s="166"/>
      <c r="AG1228" s="166"/>
      <c r="AH1228" s="166"/>
    </row>
    <row r="1229" spans="1:34" ht="15.750000" customHeight="1">
      <c r="B1229" s="1"/>
      <c r="H1229" s="253"/>
      <c r="I1229" s="65"/>
      <c r="J1229" s="65"/>
      <c r="K1229" s="65"/>
      <c r="L1229" s="65"/>
      <c r="O1229" s="164"/>
      <c r="P1229" s="13"/>
      <c r="Q1229" s="13"/>
      <c r="R1229" s="13"/>
      <c r="S1229" s="65"/>
      <c r="T1229" s="13"/>
      <c r="U1229" s="13"/>
      <c r="V1229" s="165"/>
      <c r="W1229" s="165"/>
      <c r="X1229" s="165"/>
      <c r="Y1229" s="165"/>
      <c r="Z1229" s="166"/>
      <c r="AA1229" s="166"/>
      <c r="AB1229" s="166"/>
      <c r="AC1229" s="166"/>
      <c r="AD1229" s="166"/>
      <c r="AE1229" s="166"/>
      <c r="AF1229" s="166"/>
      <c r="AG1229" s="166"/>
      <c r="AH1229" s="166"/>
    </row>
    <row r="1230" spans="1:34" ht="15.750000" customHeight="1">
      <c r="B1230" s="1"/>
      <c r="H1230" s="65"/>
      <c r="I1230" s="65"/>
      <c r="J1230" s="65"/>
      <c r="K1230" s="65"/>
      <c r="L1230" s="65"/>
      <c r="O1230" s="164"/>
      <c r="P1230" s="13"/>
      <c r="Q1230" s="13"/>
      <c r="R1230" s="13"/>
      <c r="S1230" s="65"/>
      <c r="T1230" s="13"/>
      <c r="U1230" s="13"/>
      <c r="V1230" s="165"/>
      <c r="W1230" s="165"/>
      <c r="X1230" s="165"/>
      <c r="Y1230" s="165"/>
      <c r="Z1230" s="166"/>
      <c r="AA1230" s="166"/>
      <c r="AB1230" s="166"/>
      <c r="AC1230" s="166"/>
      <c r="AD1230" s="166"/>
      <c r="AE1230" s="166"/>
      <c r="AF1230" s="166"/>
      <c r="AG1230" s="166"/>
      <c r="AH1230" s="166"/>
    </row>
    <row r="1231" spans="1:34" ht="15.750000" customHeight="1">
      <c r="B1231" s="1"/>
      <c r="H1231" s="169"/>
      <c r="I1231" s="65"/>
      <c r="J1231" s="65"/>
      <c r="K1231" s="65"/>
      <c r="L1231" s="65"/>
      <c r="O1231" s="164"/>
      <c r="P1231" s="13"/>
      <c r="Q1231" s="13"/>
      <c r="R1231" s="13"/>
      <c r="S1231" s="65"/>
      <c r="T1231" s="13"/>
      <c r="U1231" s="13"/>
      <c r="V1231" s="165"/>
      <c r="W1231" s="165"/>
      <c r="X1231" s="165"/>
      <c r="Y1231" s="165"/>
      <c r="Z1231" s="166"/>
      <c r="AA1231" s="166"/>
      <c r="AB1231" s="166"/>
      <c r="AC1231" s="166"/>
      <c r="AD1231" s="166"/>
      <c r="AE1231" s="166"/>
      <c r="AF1231" s="166"/>
      <c r="AG1231" s="166"/>
      <c r="AH1231" s="166"/>
    </row>
    <row r="1232" spans="1:34" ht="15.750000" customHeight="1">
      <c r="A1232" s="156" t="s">
        <v>116</v>
      </c>
      <c r="B1232" s="88"/>
      <c r="C1232" s="204"/>
      <c r="D1232" s="204"/>
      <c r="E1232" s="158">
        <f>F1232*120%</f>
        <v>0</v>
      </c>
      <c r="F1232" s="158">
        <f>(D1232-C1232+1)*G1232</f>
        <v>0</v>
      </c>
      <c r="G1232" s="159">
        <f>M1232*40</f>
        <v>0</v>
      </c>
      <c r="H1232" s="162"/>
      <c r="I1232" s="65"/>
      <c r="J1232" s="162"/>
      <c r="K1232" s="65"/>
      <c r="L1232" s="162"/>
      <c r="M1232" s="277"/>
      <c r="N1232" s="163"/>
      <c r="O1232" s="164"/>
      <c r="P1232" s="13"/>
      <c r="Q1232" s="13"/>
      <c r="R1232" s="13"/>
      <c r="S1232" s="188"/>
      <c r="T1232" s="13"/>
      <c r="U1232" s="13"/>
      <c r="V1232" s="165"/>
      <c r="W1232" s="165"/>
      <c r="X1232" s="165"/>
      <c r="Y1232" s="165"/>
      <c r="Z1232" s="166"/>
      <c r="AA1232" s="166"/>
      <c r="AB1232" s="166"/>
      <c r="AC1232" s="166"/>
      <c r="AD1232" s="166"/>
      <c r="AE1232" s="166"/>
      <c r="AF1232" s="166"/>
      <c r="AG1232" s="166"/>
      <c r="AH1232" s="166"/>
    </row>
    <row r="1233" spans="1:34" ht="15.750000" customHeight="1">
      <c r="B1233" s="88"/>
      <c r="H1233" s="162"/>
      <c r="I1233" s="65"/>
      <c r="J1233" s="162"/>
      <c r="K1233" s="188"/>
      <c r="L1233" s="162"/>
      <c r="O1233" s="164"/>
      <c r="P1233" s="13"/>
      <c r="Q1233" s="13"/>
      <c r="R1233" s="13"/>
      <c r="S1233" s="65"/>
      <c r="T1233" s="13"/>
      <c r="U1233" s="13"/>
      <c r="V1233" s="165"/>
      <c r="W1233" s="165"/>
      <c r="X1233" s="165"/>
      <c r="Y1233" s="165"/>
      <c r="Z1233" s="166"/>
      <c r="AA1233" s="166"/>
      <c r="AB1233" s="166"/>
      <c r="AC1233" s="166"/>
      <c r="AD1233" s="166"/>
      <c r="AE1233" s="166"/>
      <c r="AF1233" s="166"/>
      <c r="AG1233" s="166"/>
      <c r="AH1233" s="166"/>
    </row>
    <row r="1234" spans="1:34" ht="15.750000" customHeight="1">
      <c r="B1234" s="88"/>
      <c r="H1234" s="162"/>
      <c r="I1234" s="65"/>
      <c r="J1234" s="162"/>
      <c r="K1234" s="65"/>
      <c r="L1234" s="162"/>
      <c r="O1234" s="164"/>
      <c r="P1234" s="13"/>
      <c r="Q1234" s="13"/>
      <c r="R1234" s="13"/>
      <c r="S1234" s="65"/>
      <c r="T1234" s="13"/>
      <c r="U1234" s="13"/>
      <c r="V1234" s="165"/>
      <c r="W1234" s="165"/>
      <c r="X1234" s="165"/>
      <c r="Y1234" s="165"/>
      <c r="Z1234" s="166"/>
      <c r="AA1234" s="166"/>
      <c r="AB1234" s="166"/>
      <c r="AC1234" s="166"/>
      <c r="AD1234" s="166"/>
      <c r="AE1234" s="166"/>
      <c r="AF1234" s="166"/>
      <c r="AG1234" s="166"/>
      <c r="AH1234" s="166"/>
    </row>
    <row r="1235" spans="1:34" ht="15.750000" customHeight="1">
      <c r="B1235" s="88"/>
      <c r="H1235" s="162"/>
      <c r="I1235" s="65"/>
      <c r="J1235" s="162"/>
      <c r="K1235" s="188"/>
      <c r="L1235" s="162"/>
      <c r="O1235" s="164"/>
      <c r="P1235" s="13"/>
      <c r="Q1235" s="13"/>
      <c r="R1235" s="13"/>
      <c r="S1235" s="65"/>
      <c r="T1235" s="13"/>
      <c r="U1235" s="13"/>
      <c r="V1235" s="165"/>
      <c r="W1235" s="165"/>
      <c r="X1235" s="165"/>
      <c r="Y1235" s="165"/>
      <c r="Z1235" s="166"/>
      <c r="AA1235" s="166"/>
      <c r="AB1235" s="166"/>
      <c r="AC1235" s="166"/>
      <c r="AD1235" s="166"/>
      <c r="AE1235" s="166"/>
      <c r="AF1235" s="166"/>
      <c r="AG1235" s="166"/>
      <c r="AH1235" s="166"/>
    </row>
    <row r="1236" spans="1:34" ht="15.750000" customHeight="1">
      <c r="B1236" s="88"/>
      <c r="H1236" s="220"/>
      <c r="I1236" s="65"/>
      <c r="J1236" s="162"/>
      <c r="K1236" s="188"/>
      <c r="L1236" s="162"/>
      <c r="O1236" s="164"/>
      <c r="P1236" s="13"/>
      <c r="Q1236" s="13"/>
      <c r="R1236" s="13"/>
      <c r="S1236" s="65"/>
      <c r="T1236" s="13"/>
      <c r="U1236" s="13"/>
      <c r="V1236" s="165"/>
      <c r="W1236" s="165"/>
      <c r="X1236" s="165"/>
      <c r="Y1236" s="165"/>
      <c r="Z1236" s="166"/>
      <c r="AA1236" s="166"/>
      <c r="AB1236" s="166"/>
      <c r="AC1236" s="166"/>
      <c r="AD1236" s="166"/>
      <c r="AE1236" s="166"/>
      <c r="AF1236" s="166"/>
      <c r="AG1236" s="166"/>
      <c r="AH1236" s="166"/>
    </row>
    <row r="1237" spans="1:34" ht="15.750000" customHeight="1">
      <c r="A1237" s="156" t="s">
        <v>116</v>
      </c>
      <c r="B1237" s="88"/>
      <c r="C1237" s="177"/>
      <c r="D1237" s="177"/>
      <c r="E1237" s="158">
        <f>F1237*120%</f>
        <v>0</v>
      </c>
      <c r="F1237" s="158">
        <f>(D1237-C1237+1)*G1237</f>
        <v>0</v>
      </c>
      <c r="G1237" s="159">
        <f>M1237*40</f>
        <v>0</v>
      </c>
      <c r="H1237" s="162"/>
      <c r="I1237" s="65"/>
      <c r="J1237" s="162"/>
      <c r="K1237" s="65"/>
      <c r="L1237" s="162"/>
      <c r="M1237" s="277"/>
      <c r="N1237" s="163"/>
      <c r="O1237" s="164"/>
      <c r="P1237" s="13"/>
      <c r="Q1237" s="13"/>
      <c r="R1237" s="13"/>
      <c r="S1237" s="188"/>
      <c r="T1237" s="13"/>
      <c r="U1237" s="13"/>
      <c r="V1237" s="165"/>
      <c r="W1237" s="165"/>
      <c r="X1237" s="165"/>
      <c r="Y1237" s="165"/>
      <c r="Z1237" s="166"/>
      <c r="AA1237" s="166"/>
      <c r="AB1237" s="166"/>
      <c r="AC1237" s="166"/>
      <c r="AD1237" s="166"/>
      <c r="AE1237" s="166"/>
      <c r="AF1237" s="166"/>
      <c r="AG1237" s="166"/>
      <c r="AH1237" s="166"/>
    </row>
    <row r="1238" spans="1:34" ht="15.750000" customHeight="1">
      <c r="B1238" s="88"/>
      <c r="H1238" s="162"/>
      <c r="I1238" s="65"/>
      <c r="J1238" s="162"/>
      <c r="K1238" s="188"/>
      <c r="L1238" s="162"/>
      <c r="O1238" s="164"/>
      <c r="P1238" s="13"/>
      <c r="Q1238" s="13"/>
      <c r="R1238" s="13"/>
      <c r="S1238" s="65"/>
      <c r="T1238" s="13"/>
      <c r="U1238" s="13"/>
      <c r="V1238" s="165"/>
      <c r="W1238" s="165"/>
      <c r="X1238" s="165"/>
      <c r="Y1238" s="165"/>
      <c r="Z1238" s="166"/>
      <c r="AA1238" s="166"/>
      <c r="AB1238" s="166"/>
      <c r="AC1238" s="166"/>
      <c r="AD1238" s="166"/>
      <c r="AE1238" s="166"/>
      <c r="AF1238" s="166"/>
      <c r="AG1238" s="166"/>
      <c r="AH1238" s="166"/>
    </row>
    <row r="1239" spans="1:34" ht="15.750000" customHeight="1">
      <c r="B1239" s="88"/>
      <c r="H1239" s="162"/>
      <c r="I1239" s="65"/>
      <c r="J1239" s="162"/>
      <c r="K1239" s="65"/>
      <c r="L1239" s="162"/>
      <c r="O1239" s="164"/>
      <c r="P1239" s="13"/>
      <c r="Q1239" s="13"/>
      <c r="R1239" s="13"/>
      <c r="S1239" s="65"/>
      <c r="T1239" s="13"/>
      <c r="U1239" s="13"/>
      <c r="V1239" s="165"/>
      <c r="W1239" s="165"/>
      <c r="X1239" s="165"/>
      <c r="Y1239" s="165"/>
      <c r="Z1239" s="166"/>
      <c r="AA1239" s="166"/>
      <c r="AB1239" s="166"/>
      <c r="AC1239" s="166"/>
      <c r="AD1239" s="166"/>
      <c r="AE1239" s="166"/>
      <c r="AF1239" s="166"/>
      <c r="AG1239" s="166"/>
      <c r="AH1239" s="166"/>
    </row>
    <row r="1240" spans="1:34" ht="15.750000" customHeight="1">
      <c r="B1240" s="1"/>
      <c r="H1240" s="65"/>
      <c r="I1240" s="65"/>
      <c r="J1240" s="65"/>
      <c r="K1240" s="65"/>
      <c r="L1240" s="65"/>
      <c r="O1240" s="164"/>
      <c r="P1240" s="13"/>
      <c r="Q1240" s="13"/>
      <c r="R1240" s="13"/>
      <c r="S1240" s="65"/>
      <c r="T1240" s="13"/>
      <c r="U1240" s="13"/>
      <c r="V1240" s="165"/>
      <c r="W1240" s="165"/>
      <c r="X1240" s="165"/>
      <c r="Y1240" s="165"/>
      <c r="Z1240" s="166"/>
      <c r="AA1240" s="166"/>
      <c r="AB1240" s="166"/>
      <c r="AC1240" s="166"/>
      <c r="AD1240" s="166"/>
      <c r="AE1240" s="166"/>
      <c r="AF1240" s="166"/>
      <c r="AG1240" s="166"/>
      <c r="AH1240" s="166"/>
    </row>
    <row r="1241" spans="1:34" ht="15.750000" customHeight="1">
      <c r="B1241" s="1"/>
      <c r="H1241" s="169"/>
      <c r="I1241" s="65"/>
      <c r="J1241" s="65"/>
      <c r="K1241" s="65"/>
      <c r="L1241" s="65"/>
      <c r="O1241" s="164"/>
      <c r="P1241" s="13"/>
      <c r="Q1241" s="13"/>
      <c r="R1241" s="13"/>
      <c r="S1241" s="65"/>
      <c r="T1241" s="13"/>
      <c r="U1241" s="13"/>
      <c r="V1241" s="165"/>
      <c r="W1241" s="165"/>
      <c r="X1241" s="165"/>
      <c r="Y1241" s="165"/>
      <c r="Z1241" s="166"/>
      <c r="AA1241" s="166"/>
      <c r="AB1241" s="166"/>
      <c r="AC1241" s="166"/>
      <c r="AD1241" s="166"/>
      <c r="AE1241" s="166"/>
      <c r="AF1241" s="166"/>
      <c r="AG1241" s="166"/>
      <c r="AH1241" s="166"/>
    </row>
    <row r="1242" spans="1:34" ht="15.750000" customHeight="1">
      <c r="A1242" s="156" t="s">
        <v>116</v>
      </c>
      <c r="B1242" s="88"/>
      <c r="C1242" s="204"/>
      <c r="D1242" s="204"/>
      <c r="E1242" s="158">
        <f>F1242*120%</f>
        <v>0</v>
      </c>
      <c r="F1242" s="158">
        <f>(D1242-C1242+1)*G1242</f>
        <v>0</v>
      </c>
      <c r="G1242" s="159">
        <f>M1242*40</f>
        <v>0</v>
      </c>
      <c r="H1242" s="162"/>
      <c r="I1242" s="65"/>
      <c r="J1242" s="162"/>
      <c r="K1242" s="65"/>
      <c r="L1242" s="162"/>
      <c r="M1242" s="162"/>
      <c r="N1242" s="163"/>
      <c r="O1242" s="164"/>
      <c r="P1242" s="13"/>
      <c r="Q1242" s="13"/>
      <c r="R1242" s="13"/>
      <c r="S1242" s="188"/>
      <c r="T1242" s="13"/>
      <c r="U1242" s="13"/>
      <c r="V1242" s="165"/>
      <c r="W1242" s="165"/>
      <c r="X1242" s="165"/>
      <c r="Y1242" s="165"/>
      <c r="Z1242" s="166"/>
      <c r="AA1242" s="166"/>
      <c r="AB1242" s="166"/>
      <c r="AC1242" s="166"/>
      <c r="AD1242" s="166"/>
      <c r="AE1242" s="166"/>
      <c r="AF1242" s="166"/>
      <c r="AG1242" s="166"/>
      <c r="AH1242" s="166"/>
    </row>
    <row r="1243" spans="1:34" ht="15.750000" customHeight="1">
      <c r="B1243" s="88"/>
      <c r="H1243" s="162"/>
      <c r="I1243" s="65"/>
      <c r="J1243" s="162"/>
      <c r="K1243" s="65"/>
      <c r="L1243" s="162"/>
      <c r="O1243" s="164"/>
      <c r="P1243" s="13"/>
      <c r="Q1243" s="13"/>
      <c r="R1243" s="13"/>
      <c r="S1243" s="65"/>
      <c r="T1243" s="13"/>
      <c r="U1243" s="13"/>
      <c r="V1243" s="165"/>
      <c r="W1243" s="165"/>
      <c r="X1243" s="165"/>
      <c r="Y1243" s="165"/>
      <c r="Z1243" s="166"/>
      <c r="AA1243" s="166"/>
      <c r="AB1243" s="166"/>
      <c r="AC1243" s="166"/>
      <c r="AD1243" s="166"/>
      <c r="AE1243" s="166"/>
      <c r="AF1243" s="166"/>
      <c r="AG1243" s="166"/>
      <c r="AH1243" s="166"/>
    </row>
    <row r="1244" spans="1:34" ht="15.750000" customHeight="1">
      <c r="B1244" s="88"/>
      <c r="H1244" s="162"/>
      <c r="I1244" s="65"/>
      <c r="J1244" s="162"/>
      <c r="K1244" s="188"/>
      <c r="L1244" s="162"/>
      <c r="O1244" s="164"/>
      <c r="P1244" s="13"/>
      <c r="Q1244" s="13"/>
      <c r="R1244" s="13"/>
      <c r="S1244" s="65"/>
      <c r="T1244" s="13"/>
      <c r="U1244" s="13"/>
      <c r="V1244" s="165"/>
      <c r="W1244" s="165"/>
      <c r="X1244" s="165"/>
      <c r="Y1244" s="165"/>
      <c r="Z1244" s="166"/>
      <c r="AA1244" s="166"/>
      <c r="AB1244" s="166"/>
      <c r="AC1244" s="166"/>
      <c r="AD1244" s="166"/>
      <c r="AE1244" s="166"/>
      <c r="AF1244" s="166"/>
      <c r="AG1244" s="166"/>
      <c r="AH1244" s="166"/>
    </row>
    <row r="1245" spans="1:34" ht="15.750000" customHeight="1">
      <c r="B1245" s="88"/>
      <c r="H1245" s="162"/>
      <c r="I1245" s="65"/>
      <c r="J1245" s="162"/>
      <c r="K1245" s="188"/>
      <c r="L1245" s="162"/>
      <c r="O1245" s="164"/>
      <c r="P1245" s="13"/>
      <c r="Q1245" s="13"/>
      <c r="R1245" s="13"/>
      <c r="S1245" s="65"/>
      <c r="T1245" s="13"/>
      <c r="U1245" s="13"/>
      <c r="V1245" s="165"/>
      <c r="W1245" s="165"/>
      <c r="X1245" s="165"/>
      <c r="Y1245" s="165"/>
      <c r="Z1245" s="166"/>
      <c r="AA1245" s="166"/>
      <c r="AB1245" s="166"/>
      <c r="AC1245" s="166"/>
      <c r="AD1245" s="166"/>
      <c r="AE1245" s="166"/>
      <c r="AF1245" s="166"/>
      <c r="AG1245" s="166"/>
      <c r="AH1245" s="166"/>
    </row>
    <row r="1246" spans="1:34" ht="15.750000" customHeight="1">
      <c r="B1246" s="88"/>
      <c r="H1246" s="220"/>
      <c r="I1246" s="65"/>
      <c r="J1246" s="162"/>
      <c r="K1246" s="188"/>
      <c r="L1246" s="162"/>
      <c r="O1246" s="164"/>
      <c r="P1246" s="13"/>
      <c r="Q1246" s="13"/>
      <c r="R1246" s="13"/>
      <c r="S1246" s="65"/>
      <c r="T1246" s="13"/>
      <c r="U1246" s="13"/>
      <c r="V1246" s="165"/>
      <c r="W1246" s="165"/>
      <c r="X1246" s="165"/>
      <c r="Y1246" s="165"/>
      <c r="Z1246" s="166"/>
      <c r="AA1246" s="166"/>
      <c r="AB1246" s="166"/>
      <c r="AC1246" s="166"/>
      <c r="AD1246" s="166"/>
      <c r="AE1246" s="166"/>
      <c r="AF1246" s="166"/>
      <c r="AG1246" s="166"/>
      <c r="AH1246" s="166"/>
    </row>
    <row r="1247" spans="1:34" ht="15.750000" customHeight="1">
      <c r="A1247" s="156" t="s">
        <v>116</v>
      </c>
      <c r="B1247" s="88"/>
      <c r="C1247" s="279"/>
      <c r="D1247" s="279"/>
      <c r="E1247" s="158">
        <f>F1247*120%</f>
        <v>0</v>
      </c>
      <c r="F1247" s="158">
        <f>(D1247-C1247+1)*G1247</f>
        <v>0</v>
      </c>
      <c r="G1247" s="159">
        <f>M1247*40</f>
        <v>0</v>
      </c>
      <c r="H1247" s="162"/>
      <c r="I1247" s="65"/>
      <c r="J1247" s="162"/>
      <c r="K1247" s="65"/>
      <c r="L1247" s="162"/>
      <c r="M1247" s="162"/>
      <c r="N1247" s="163"/>
      <c r="O1247" s="164"/>
      <c r="P1247" s="13"/>
      <c r="Q1247" s="13"/>
      <c r="R1247" s="13"/>
      <c r="S1247" s="188"/>
      <c r="T1247" s="13"/>
      <c r="U1247" s="13"/>
      <c r="V1247" s="165"/>
      <c r="W1247" s="165"/>
      <c r="X1247" s="165"/>
      <c r="Y1247" s="165"/>
      <c r="Z1247" s="166"/>
      <c r="AA1247" s="166"/>
      <c r="AB1247" s="166"/>
      <c r="AC1247" s="166"/>
      <c r="AD1247" s="166"/>
      <c r="AE1247" s="166"/>
      <c r="AF1247" s="166"/>
      <c r="AG1247" s="166"/>
      <c r="AH1247" s="166"/>
    </row>
    <row r="1248" spans="1:34" ht="15.750000" customHeight="1">
      <c r="B1248" s="88"/>
      <c r="H1248" s="162"/>
      <c r="I1248" s="65"/>
      <c r="J1248" s="162"/>
      <c r="K1248" s="65"/>
      <c r="L1248" s="162"/>
      <c r="O1248" s="164"/>
      <c r="P1248" s="13"/>
      <c r="Q1248" s="13"/>
      <c r="R1248" s="13"/>
      <c r="S1248" s="65"/>
      <c r="T1248" s="13"/>
      <c r="U1248" s="13"/>
      <c r="V1248" s="165"/>
      <c r="W1248" s="165"/>
      <c r="X1248" s="165"/>
      <c r="Y1248" s="165"/>
      <c r="Z1248" s="166"/>
      <c r="AA1248" s="166"/>
      <c r="AB1248" s="166"/>
      <c r="AC1248" s="166"/>
      <c r="AD1248" s="166"/>
      <c r="AE1248" s="166"/>
      <c r="AF1248" s="166"/>
      <c r="AG1248" s="166"/>
      <c r="AH1248" s="166"/>
    </row>
    <row r="1249" spans="1:34" ht="15.750000" customHeight="1">
      <c r="B1249" s="88"/>
      <c r="H1249" s="162"/>
      <c r="I1249" s="65"/>
      <c r="J1249" s="162"/>
      <c r="K1249" s="188"/>
      <c r="L1249" s="162"/>
      <c r="O1249" s="164"/>
      <c r="P1249" s="13"/>
      <c r="Q1249" s="13"/>
      <c r="R1249" s="13"/>
      <c r="S1249" s="65"/>
      <c r="T1249" s="13"/>
      <c r="U1249" s="13"/>
      <c r="V1249" s="165"/>
      <c r="W1249" s="165"/>
      <c r="X1249" s="165"/>
      <c r="Y1249" s="165"/>
      <c r="Z1249" s="166"/>
      <c r="AA1249" s="166"/>
      <c r="AB1249" s="166"/>
      <c r="AC1249" s="166"/>
      <c r="AD1249" s="166"/>
      <c r="AE1249" s="166"/>
      <c r="AF1249" s="166"/>
      <c r="AG1249" s="166"/>
      <c r="AH1249" s="166"/>
    </row>
    <row r="1250" spans="1:34" ht="15.750000" customHeight="1">
      <c r="B1250" s="88"/>
      <c r="H1250" s="162"/>
      <c r="I1250" s="65"/>
      <c r="J1250" s="162"/>
      <c r="K1250" s="65"/>
      <c r="L1250" s="162"/>
      <c r="O1250" s="164"/>
      <c r="P1250" s="13"/>
      <c r="Q1250" s="13"/>
      <c r="R1250" s="13"/>
      <c r="S1250" s="65"/>
      <c r="T1250" s="13"/>
      <c r="U1250" s="13"/>
      <c r="V1250" s="165"/>
      <c r="W1250" s="165"/>
      <c r="X1250" s="165"/>
      <c r="Y1250" s="165"/>
      <c r="Z1250" s="166"/>
      <c r="AA1250" s="166"/>
      <c r="AB1250" s="166"/>
      <c r="AC1250" s="166"/>
      <c r="AD1250" s="166"/>
      <c r="AE1250" s="166"/>
      <c r="AF1250" s="166"/>
      <c r="AG1250" s="166"/>
      <c r="AH1250" s="166"/>
    </row>
    <row r="1251" spans="1:34" ht="15.750000" customHeight="1">
      <c r="B1251" s="1"/>
      <c r="H1251" s="169"/>
      <c r="I1251" s="65"/>
      <c r="J1251" s="65"/>
      <c r="K1251" s="65"/>
      <c r="L1251" s="65"/>
      <c r="O1251" s="164"/>
      <c r="P1251" s="13"/>
      <c r="Q1251" s="13"/>
      <c r="R1251" s="13"/>
      <c r="S1251" s="65"/>
      <c r="T1251" s="13"/>
      <c r="U1251" s="13"/>
      <c r="V1251" s="165"/>
      <c r="W1251" s="165"/>
      <c r="X1251" s="165"/>
      <c r="Y1251" s="165"/>
      <c r="Z1251" s="166"/>
      <c r="AA1251" s="166"/>
      <c r="AB1251" s="166"/>
      <c r="AC1251" s="166"/>
      <c r="AD1251" s="166"/>
      <c r="AE1251" s="166"/>
      <c r="AF1251" s="166"/>
      <c r="AG1251" s="166"/>
      <c r="AH1251" s="166"/>
    </row>
    <row r="1252" spans="1:34" ht="15.750000" customHeight="1">
      <c r="A1252" s="156" t="s">
        <v>116</v>
      </c>
      <c r="B1252" s="88"/>
      <c r="C1252" s="279"/>
      <c r="D1252" s="279"/>
      <c r="E1252" s="158">
        <f>F1252*120%</f>
        <v>0</v>
      </c>
      <c r="F1252" s="158">
        <f>(D1252-C1252+1)*G1252</f>
        <v>0</v>
      </c>
      <c r="G1252" s="159">
        <f>M1252*40</f>
        <v>0</v>
      </c>
      <c r="H1252" s="162"/>
      <c r="I1252" s="65"/>
      <c r="J1252" s="162"/>
      <c r="K1252" s="65"/>
      <c r="L1252" s="162"/>
      <c r="M1252" s="162"/>
      <c r="N1252" s="163"/>
      <c r="O1252" s="164"/>
      <c r="P1252" s="13"/>
      <c r="Q1252" s="13"/>
      <c r="R1252" s="13"/>
      <c r="S1252" s="188"/>
      <c r="T1252" s="13"/>
      <c r="U1252" s="13"/>
      <c r="V1252" s="165"/>
      <c r="W1252" s="165"/>
      <c r="X1252" s="165"/>
      <c r="Y1252" s="165"/>
      <c r="Z1252" s="166"/>
      <c r="AA1252" s="166"/>
      <c r="AB1252" s="166"/>
      <c r="AC1252" s="166"/>
      <c r="AD1252" s="166"/>
      <c r="AE1252" s="166"/>
      <c r="AF1252" s="166"/>
      <c r="AG1252" s="166"/>
      <c r="AH1252" s="166"/>
    </row>
    <row r="1253" spans="1:34" ht="15.750000" customHeight="1">
      <c r="B1253" s="88"/>
      <c r="H1253" s="162"/>
      <c r="I1253" s="65"/>
      <c r="J1253" s="162"/>
      <c r="K1253" s="188"/>
      <c r="L1253" s="162"/>
      <c r="O1253" s="164"/>
      <c r="P1253" s="13"/>
      <c r="Q1253" s="13"/>
      <c r="R1253" s="13"/>
      <c r="S1253" s="65"/>
      <c r="T1253" s="13"/>
      <c r="U1253" s="13"/>
      <c r="V1253" s="165"/>
      <c r="W1253" s="165"/>
      <c r="X1253" s="165"/>
      <c r="Y1253" s="165"/>
      <c r="Z1253" s="166"/>
      <c r="AA1253" s="166"/>
      <c r="AB1253" s="166"/>
      <c r="AC1253" s="166"/>
      <c r="AD1253" s="166"/>
      <c r="AE1253" s="166"/>
      <c r="AF1253" s="166"/>
      <c r="AG1253" s="166"/>
      <c r="AH1253" s="166"/>
    </row>
    <row r="1254" spans="1:34" ht="15.750000" customHeight="1">
      <c r="B1254" s="88"/>
      <c r="H1254" s="162"/>
      <c r="I1254" s="65"/>
      <c r="J1254" s="162"/>
      <c r="K1254" s="188"/>
      <c r="L1254" s="162"/>
      <c r="O1254" s="164"/>
      <c r="P1254" s="13"/>
      <c r="Q1254" s="13"/>
      <c r="R1254" s="13"/>
      <c r="S1254" s="65"/>
      <c r="T1254" s="13"/>
      <c r="U1254" s="13"/>
      <c r="V1254" s="165"/>
      <c r="W1254" s="165"/>
      <c r="X1254" s="165"/>
      <c r="Y1254" s="165"/>
      <c r="Z1254" s="166"/>
      <c r="AA1254" s="166"/>
      <c r="AB1254" s="166"/>
      <c r="AC1254" s="166"/>
      <c r="AD1254" s="166"/>
      <c r="AE1254" s="166"/>
      <c r="AF1254" s="166"/>
      <c r="AG1254" s="166"/>
      <c r="AH1254" s="166"/>
    </row>
    <row r="1255" spans="1:34" ht="15.750000" customHeight="1">
      <c r="B1255" s="1"/>
      <c r="H1255" s="65"/>
      <c r="I1255" s="65"/>
      <c r="J1255" s="65"/>
      <c r="K1255" s="65"/>
      <c r="L1255" s="65"/>
      <c r="O1255" s="164"/>
      <c r="P1255" s="13"/>
      <c r="Q1255" s="13"/>
      <c r="R1255" s="13"/>
      <c r="S1255" s="65"/>
      <c r="T1255" s="13"/>
      <c r="U1255" s="13"/>
      <c r="V1255" s="165"/>
      <c r="W1255" s="165"/>
      <c r="X1255" s="165"/>
      <c r="Y1255" s="165"/>
      <c r="Z1255" s="166"/>
      <c r="AA1255" s="166"/>
      <c r="AB1255" s="166"/>
      <c r="AC1255" s="166"/>
      <c r="AD1255" s="166"/>
      <c r="AE1255" s="166"/>
      <c r="AF1255" s="166"/>
      <c r="AG1255" s="166"/>
      <c r="AH1255" s="166"/>
    </row>
    <row r="1256" spans="1:34" ht="15.750000" customHeight="1">
      <c r="B1256" s="1"/>
      <c r="H1256" s="169"/>
      <c r="I1256" s="65"/>
      <c r="J1256" s="65"/>
      <c r="K1256" s="65"/>
      <c r="L1256" s="65"/>
      <c r="O1256" s="164"/>
      <c r="P1256" s="13"/>
      <c r="Q1256" s="13"/>
      <c r="R1256" s="13"/>
      <c r="S1256" s="65"/>
      <c r="T1256" s="13"/>
      <c r="U1256" s="13"/>
      <c r="V1256" s="165"/>
      <c r="W1256" s="165"/>
      <c r="X1256" s="165"/>
      <c r="Y1256" s="165"/>
      <c r="Z1256" s="166"/>
      <c r="AA1256" s="166"/>
      <c r="AB1256" s="166"/>
      <c r="AC1256" s="166"/>
      <c r="AD1256" s="166"/>
      <c r="AE1256" s="166"/>
      <c r="AF1256" s="166"/>
      <c r="AG1256" s="166"/>
      <c r="AH1256" s="166"/>
    </row>
    <row r="1257" spans="1:34" ht="15.750000" customHeight="1">
      <c r="A1257" s="156" t="s">
        <v>116</v>
      </c>
      <c r="B1257" s="88"/>
      <c r="C1257" s="177"/>
      <c r="D1257" s="177"/>
      <c r="E1257" s="158">
        <f>F1257*120%</f>
        <v>0</v>
      </c>
      <c r="F1257" s="158">
        <f>(D1257-C1257+1)*G1257</f>
        <v>0</v>
      </c>
      <c r="G1257" s="159">
        <f>M1257*40</f>
        <v>0</v>
      </c>
      <c r="H1257" s="162"/>
      <c r="I1257" s="65"/>
      <c r="J1257" s="162"/>
      <c r="K1257" s="65"/>
      <c r="L1257" s="162"/>
      <c r="M1257" s="162"/>
      <c r="N1257" s="163"/>
      <c r="O1257" s="164"/>
      <c r="P1257" s="13"/>
      <c r="Q1257" s="13"/>
      <c r="R1257" s="13"/>
      <c r="S1257" s="188"/>
      <c r="T1257" s="13"/>
      <c r="U1257" s="13"/>
      <c r="V1257" s="165"/>
      <c r="W1257" s="165"/>
      <c r="X1257" s="165"/>
      <c r="Y1257" s="165"/>
      <c r="Z1257" s="166"/>
      <c r="AA1257" s="166"/>
      <c r="AB1257" s="166"/>
      <c r="AC1257" s="166"/>
      <c r="AD1257" s="166"/>
      <c r="AE1257" s="166"/>
      <c r="AF1257" s="166"/>
      <c r="AG1257" s="166"/>
      <c r="AH1257" s="166"/>
    </row>
    <row r="1258" spans="1:34" ht="15.750000" customHeight="1">
      <c r="B1258" s="1"/>
      <c r="H1258" s="65"/>
      <c r="I1258" s="65"/>
      <c r="J1258" s="65"/>
      <c r="K1258" s="65"/>
      <c r="L1258" s="65"/>
      <c r="O1258" s="164"/>
      <c r="P1258" s="13"/>
      <c r="Q1258" s="13"/>
      <c r="R1258" s="13"/>
      <c r="S1258" s="65"/>
      <c r="T1258" s="13"/>
      <c r="U1258" s="13"/>
      <c r="V1258" s="165"/>
      <c r="W1258" s="165"/>
      <c r="X1258" s="165"/>
      <c r="Y1258" s="165"/>
      <c r="Z1258" s="166"/>
      <c r="AA1258" s="166"/>
      <c r="AB1258" s="166"/>
      <c r="AC1258" s="166"/>
      <c r="AD1258" s="166"/>
      <c r="AE1258" s="166"/>
      <c r="AF1258" s="166"/>
      <c r="AG1258" s="166"/>
      <c r="AH1258" s="166"/>
    </row>
    <row r="1259" spans="1:34" ht="15.750000" customHeight="1">
      <c r="B1259" s="1"/>
      <c r="H1259" s="65"/>
      <c r="I1259" s="65"/>
      <c r="J1259" s="65"/>
      <c r="K1259" s="65"/>
      <c r="L1259" s="65"/>
      <c r="O1259" s="164"/>
      <c r="P1259" s="13"/>
      <c r="Q1259" s="13"/>
      <c r="R1259" s="13"/>
      <c r="S1259" s="65"/>
      <c r="T1259" s="13"/>
      <c r="U1259" s="13"/>
      <c r="V1259" s="165"/>
      <c r="W1259" s="165"/>
      <c r="X1259" s="165"/>
      <c r="Y1259" s="165"/>
      <c r="Z1259" s="166"/>
      <c r="AA1259" s="166"/>
      <c r="AB1259" s="166"/>
      <c r="AC1259" s="166"/>
      <c r="AD1259" s="166"/>
      <c r="AE1259" s="166"/>
      <c r="AF1259" s="166"/>
      <c r="AG1259" s="166"/>
      <c r="AH1259" s="166"/>
    </row>
    <row r="1260" spans="1:34" ht="15.750000" customHeight="1">
      <c r="B1260" s="1"/>
      <c r="H1260" s="65"/>
      <c r="I1260" s="65"/>
      <c r="J1260" s="65"/>
      <c r="K1260" s="65"/>
      <c r="L1260" s="65"/>
      <c r="O1260" s="164"/>
      <c r="P1260" s="13"/>
      <c r="Q1260" s="13"/>
      <c r="R1260" s="13"/>
      <c r="S1260" s="65"/>
      <c r="T1260" s="13"/>
      <c r="U1260" s="13"/>
      <c r="V1260" s="165"/>
      <c r="W1260" s="165"/>
      <c r="X1260" s="165"/>
      <c r="Y1260" s="165"/>
      <c r="Z1260" s="166"/>
      <c r="AA1260" s="166"/>
      <c r="AB1260" s="166"/>
      <c r="AC1260" s="166"/>
      <c r="AD1260" s="166"/>
      <c r="AE1260" s="166"/>
      <c r="AF1260" s="166"/>
      <c r="AG1260" s="166"/>
      <c r="AH1260" s="166"/>
    </row>
    <row r="1261" spans="1:34" ht="15.750000" customHeight="1">
      <c r="B1261" s="1"/>
      <c r="H1261" s="169"/>
      <c r="I1261" s="65"/>
      <c r="J1261" s="65"/>
      <c r="K1261" s="65"/>
      <c r="L1261" s="65"/>
      <c r="O1261" s="164"/>
      <c r="P1261" s="13"/>
      <c r="Q1261" s="13"/>
      <c r="R1261" s="13"/>
      <c r="S1261" s="65"/>
      <c r="T1261" s="13"/>
      <c r="U1261" s="13"/>
      <c r="V1261" s="165"/>
      <c r="W1261" s="165"/>
      <c r="X1261" s="165"/>
      <c r="Y1261" s="165"/>
      <c r="Z1261" s="166"/>
      <c r="AA1261" s="166"/>
      <c r="AB1261" s="166"/>
      <c r="AC1261" s="166"/>
      <c r="AD1261" s="166"/>
      <c r="AE1261" s="166"/>
      <c r="AF1261" s="166"/>
      <c r="AG1261" s="166"/>
      <c r="AH1261" s="166"/>
    </row>
    <row r="1262" spans="1:34" ht="15.750000" customHeight="1">
      <c r="A1262" s="156" t="s">
        <v>116</v>
      </c>
      <c r="B1262" s="88"/>
      <c r="C1262" s="204"/>
      <c r="D1262" s="204"/>
      <c r="E1262" s="158">
        <f>F1262*120%</f>
        <v>0</v>
      </c>
      <c r="F1262" s="158">
        <f>(D1262-C1262+1)*G1262</f>
        <v>0</v>
      </c>
      <c r="G1262" s="159">
        <f>M1262*40</f>
        <v>0</v>
      </c>
      <c r="H1262" s="162"/>
      <c r="I1262" s="65"/>
      <c r="J1262" s="162"/>
      <c r="K1262" s="188"/>
      <c r="L1262" s="162"/>
      <c r="M1262" s="162"/>
      <c r="N1262" s="163"/>
      <c r="O1262" s="164"/>
      <c r="P1262" s="13"/>
      <c r="Q1262" s="13"/>
      <c r="R1262" s="13"/>
      <c r="S1262" s="65"/>
      <c r="T1262" s="13"/>
      <c r="U1262" s="13"/>
      <c r="V1262" s="165"/>
      <c r="W1262" s="165"/>
      <c r="X1262" s="165"/>
      <c r="Y1262" s="165"/>
      <c r="Z1262" s="166"/>
      <c r="AA1262" s="166"/>
      <c r="AB1262" s="166"/>
      <c r="AC1262" s="166"/>
      <c r="AD1262" s="166"/>
      <c r="AE1262" s="166"/>
      <c r="AF1262" s="166"/>
      <c r="AG1262" s="166"/>
      <c r="AH1262" s="166"/>
    </row>
    <row r="1263" spans="1:34" ht="15.750000" customHeight="1">
      <c r="B1263" s="88"/>
      <c r="H1263" s="162"/>
      <c r="I1263" s="65"/>
      <c r="J1263" s="162"/>
      <c r="K1263" s="65"/>
      <c r="L1263" s="162"/>
      <c r="O1263" s="164"/>
      <c r="P1263" s="13"/>
      <c r="Q1263" s="13"/>
      <c r="R1263" s="13"/>
      <c r="S1263" s="65"/>
      <c r="T1263" s="13"/>
      <c r="U1263" s="13"/>
      <c r="V1263" s="165"/>
      <c r="W1263" s="165"/>
      <c r="X1263" s="165"/>
      <c r="Y1263" s="165"/>
      <c r="Z1263" s="166"/>
      <c r="AA1263" s="166"/>
      <c r="AB1263" s="166"/>
      <c r="AC1263" s="166"/>
      <c r="AD1263" s="166"/>
      <c r="AE1263" s="166"/>
      <c r="AF1263" s="166"/>
      <c r="AG1263" s="166"/>
      <c r="AH1263" s="166"/>
    </row>
    <row r="1264" spans="1:34" ht="15.750000" customHeight="1">
      <c r="B1264" s="1"/>
      <c r="H1264" s="65"/>
      <c r="I1264" s="65"/>
      <c r="J1264" s="65"/>
      <c r="K1264" s="65"/>
      <c r="L1264" s="65"/>
      <c r="O1264" s="164"/>
      <c r="P1264" s="13"/>
      <c r="Q1264" s="13"/>
      <c r="R1264" s="13"/>
      <c r="S1264" s="65"/>
      <c r="T1264" s="13"/>
      <c r="U1264" s="13"/>
      <c r="V1264" s="165"/>
      <c r="W1264" s="165"/>
      <c r="X1264" s="165"/>
      <c r="Y1264" s="165"/>
      <c r="Z1264" s="166"/>
      <c r="AA1264" s="166"/>
      <c r="AB1264" s="166"/>
      <c r="AC1264" s="166"/>
      <c r="AD1264" s="166"/>
      <c r="AE1264" s="166"/>
      <c r="AF1264" s="166"/>
      <c r="AG1264" s="166"/>
      <c r="AH1264" s="166"/>
    </row>
    <row r="1265" spans="1:34" ht="15.750000" customHeight="1">
      <c r="B1265" s="1"/>
      <c r="H1265" s="65"/>
      <c r="I1265" s="65"/>
      <c r="J1265" s="65"/>
      <c r="K1265" s="65"/>
      <c r="L1265" s="65"/>
      <c r="O1265" s="164"/>
      <c r="P1265" s="13"/>
      <c r="Q1265" s="13"/>
      <c r="R1265" s="13"/>
      <c r="S1265" s="65"/>
      <c r="T1265" s="13"/>
      <c r="U1265" s="13"/>
      <c r="V1265" s="165"/>
      <c r="W1265" s="165"/>
      <c r="X1265" s="165"/>
      <c r="Y1265" s="165"/>
      <c r="Z1265" s="166"/>
      <c r="AA1265" s="166"/>
      <c r="AB1265" s="166"/>
      <c r="AC1265" s="166"/>
      <c r="AD1265" s="166"/>
      <c r="AE1265" s="166"/>
      <c r="AF1265" s="166"/>
      <c r="AG1265" s="166"/>
      <c r="AH1265" s="166"/>
    </row>
    <row r="1266" spans="1:34" ht="15.750000" customHeight="1">
      <c r="B1266" s="1"/>
      <c r="H1266" s="169"/>
      <c r="I1266" s="65"/>
      <c r="J1266" s="65"/>
      <c r="K1266" s="65"/>
      <c r="L1266" s="65"/>
      <c r="O1266" s="164"/>
      <c r="P1266" s="13"/>
      <c r="Q1266" s="13"/>
      <c r="R1266" s="13"/>
      <c r="S1266" s="65"/>
      <c r="T1266" s="13"/>
      <c r="U1266" s="13"/>
      <c r="V1266" s="165"/>
      <c r="W1266" s="165"/>
      <c r="X1266" s="165"/>
      <c r="Y1266" s="165"/>
      <c r="Z1266" s="166"/>
      <c r="AA1266" s="166"/>
      <c r="AB1266" s="166"/>
      <c r="AC1266" s="166"/>
      <c r="AD1266" s="166"/>
      <c r="AE1266" s="166"/>
      <c r="AF1266" s="166"/>
      <c r="AG1266" s="166"/>
      <c r="AH1266" s="166"/>
    </row>
    <row r="1267" spans="1:34" ht="15.750000" customHeight="1">
      <c r="A1267" s="156" t="s">
        <v>116</v>
      </c>
      <c r="B1267" s="88"/>
      <c r="C1267" s="177"/>
      <c r="D1267" s="279"/>
      <c r="E1267" s="158">
        <f>F1267*120%</f>
        <v>0</v>
      </c>
      <c r="F1267" s="158">
        <f>(D1267-C1267+1)*G1267</f>
        <v>0</v>
      </c>
      <c r="G1267" s="159">
        <f>M1267*40</f>
        <v>0</v>
      </c>
      <c r="H1267" s="162"/>
      <c r="I1267" s="65"/>
      <c r="J1267" s="162"/>
      <c r="K1267" s="65"/>
      <c r="L1267" s="162"/>
      <c r="M1267" s="162"/>
      <c r="N1267" s="163"/>
      <c r="O1267" s="164"/>
      <c r="P1267" s="13"/>
      <c r="Q1267" s="13"/>
      <c r="R1267" s="13"/>
      <c r="S1267" s="65"/>
      <c r="T1267" s="13"/>
      <c r="U1267" s="13" t="s">
        <v>11892</v>
      </c>
      <c r="V1267" s="165"/>
      <c r="W1267" s="165"/>
      <c r="X1267" s="165"/>
      <c r="Y1267" s="165"/>
      <c r="Z1267" s="166"/>
      <c r="AA1267" s="166"/>
      <c r="AB1267" s="166"/>
      <c r="AC1267" s="166"/>
      <c r="AD1267" s="166"/>
      <c r="AE1267" s="166"/>
      <c r="AF1267" s="166"/>
      <c r="AG1267" s="166"/>
      <c r="AH1267" s="166"/>
    </row>
    <row r="1268" spans="1:34" ht="15.750000" customHeight="1">
      <c r="B1268" s="1"/>
      <c r="H1268" s="65"/>
      <c r="I1268" s="65"/>
      <c r="J1268" s="65"/>
      <c r="K1268" s="65"/>
      <c r="L1268" s="65"/>
      <c r="O1268" s="164"/>
      <c r="P1268" s="13"/>
      <c r="Q1268" s="13"/>
      <c r="R1268" s="13"/>
      <c r="S1268" s="65"/>
      <c r="T1268" s="13"/>
      <c r="U1268" s="13"/>
      <c r="V1268" s="165"/>
      <c r="W1268" s="165"/>
      <c r="X1268" s="165"/>
      <c r="Y1268" s="165"/>
      <c r="Z1268" s="166"/>
      <c r="AA1268" s="166"/>
      <c r="AB1268" s="166"/>
      <c r="AC1268" s="166"/>
      <c r="AD1268" s="166"/>
      <c r="AE1268" s="166"/>
      <c r="AF1268" s="166"/>
      <c r="AG1268" s="166"/>
      <c r="AH1268" s="166"/>
    </row>
    <row r="1269" spans="1:34" ht="15.750000" customHeight="1">
      <c r="B1269" s="1"/>
      <c r="H1269" s="65"/>
      <c r="I1269" s="65"/>
      <c r="J1269" s="65"/>
      <c r="K1269" s="65"/>
      <c r="L1269" s="65"/>
      <c r="O1269" s="164"/>
      <c r="P1269" s="13"/>
      <c r="Q1269" s="13"/>
      <c r="R1269" s="13"/>
      <c r="S1269" s="65"/>
      <c r="T1269" s="13"/>
      <c r="U1269" s="13"/>
      <c r="V1269" s="165"/>
      <c r="W1269" s="165"/>
      <c r="X1269" s="165"/>
      <c r="Y1269" s="165"/>
      <c r="Z1269" s="166"/>
      <c r="AA1269" s="166"/>
      <c r="AB1269" s="166"/>
      <c r="AC1269" s="166"/>
      <c r="AD1269" s="166"/>
      <c r="AE1269" s="166"/>
      <c r="AF1269" s="166"/>
      <c r="AG1269" s="166"/>
      <c r="AH1269" s="166"/>
    </row>
    <row r="1270" spans="1:34" ht="15.750000" customHeight="1">
      <c r="B1270" s="1"/>
      <c r="H1270" s="65"/>
      <c r="I1270" s="65"/>
      <c r="J1270" s="65"/>
      <c r="K1270" s="65"/>
      <c r="L1270" s="65"/>
      <c r="O1270" s="164"/>
      <c r="P1270" s="13"/>
      <c r="Q1270" s="13"/>
      <c r="R1270" s="13"/>
      <c r="S1270" s="65"/>
      <c r="T1270" s="13"/>
      <c r="U1270" s="13"/>
      <c r="V1270" s="165"/>
      <c r="W1270" s="165"/>
      <c r="X1270" s="165"/>
      <c r="Y1270" s="165"/>
      <c r="Z1270" s="166"/>
      <c r="AA1270" s="166"/>
      <c r="AB1270" s="166"/>
      <c r="AC1270" s="166"/>
      <c r="AD1270" s="166"/>
      <c r="AE1270" s="166"/>
      <c r="AF1270" s="166"/>
      <c r="AG1270" s="166"/>
      <c r="AH1270" s="166"/>
    </row>
    <row r="1271" spans="1:34" ht="15.750000" customHeight="1">
      <c r="B1271" s="1"/>
      <c r="H1271" s="169"/>
      <c r="I1271" s="65"/>
      <c r="J1271" s="65"/>
      <c r="K1271" s="65"/>
      <c r="L1271" s="65"/>
      <c r="O1271" s="164"/>
      <c r="P1271" s="13"/>
      <c r="Q1271" s="13"/>
      <c r="R1271" s="13"/>
      <c r="S1271" s="65"/>
      <c r="T1271" s="13"/>
      <c r="U1271" s="13"/>
      <c r="V1271" s="165"/>
      <c r="W1271" s="165"/>
      <c r="X1271" s="165"/>
      <c r="Y1271" s="165"/>
      <c r="Z1271" s="166"/>
      <c r="AA1271" s="166"/>
      <c r="AB1271" s="166"/>
      <c r="AC1271" s="166"/>
      <c r="AD1271" s="166"/>
      <c r="AE1271" s="166"/>
      <c r="AF1271" s="166"/>
      <c r="AG1271" s="166"/>
      <c r="AH1271" s="166"/>
    </row>
    <row r="1272" spans="1:34" ht="15.750000" customHeight="1">
      <c r="A1272" s="156" t="s">
        <v>116</v>
      </c>
      <c r="B1272" s="88"/>
      <c r="C1272" s="204"/>
      <c r="D1272" s="204"/>
      <c r="E1272" s="158">
        <f>F1272*120%</f>
        <v>0</v>
      </c>
      <c r="F1272" s="158">
        <f>(D1272-C1272+1)*G1272</f>
        <v>0</v>
      </c>
      <c r="G1272" s="159">
        <f>M1272*40</f>
        <v>0</v>
      </c>
      <c r="H1272" s="161"/>
      <c r="I1272" s="65"/>
      <c r="J1272" s="162"/>
      <c r="K1272" s="65"/>
      <c r="L1272" s="162"/>
      <c r="M1272" s="162"/>
      <c r="N1272" s="163"/>
      <c r="O1272" s="164"/>
      <c r="P1272" s="13"/>
      <c r="Q1272" s="13"/>
      <c r="R1272" s="13"/>
      <c r="S1272" s="65"/>
      <c r="T1272" s="13"/>
      <c r="U1272" s="13"/>
      <c r="V1272" s="165"/>
      <c r="W1272" s="165"/>
      <c r="X1272" s="165"/>
      <c r="Y1272" s="165"/>
      <c r="Z1272" s="166"/>
      <c r="AA1272" s="166"/>
      <c r="AB1272" s="166"/>
      <c r="AC1272" s="166"/>
      <c r="AD1272" s="166"/>
      <c r="AE1272" s="166"/>
      <c r="AF1272" s="166"/>
      <c r="AG1272" s="166"/>
      <c r="AH1272" s="166"/>
    </row>
    <row r="1273" spans="1:34" ht="15.750000" customHeight="1">
      <c r="B1273" s="1"/>
      <c r="H1273" s="65"/>
      <c r="I1273" s="65"/>
      <c r="J1273" s="65"/>
      <c r="K1273" s="65"/>
      <c r="L1273" s="65"/>
      <c r="O1273" s="164"/>
      <c r="P1273" s="13"/>
      <c r="Q1273" s="13"/>
      <c r="R1273" s="13"/>
      <c r="S1273" s="65"/>
      <c r="T1273" s="13"/>
      <c r="U1273" s="13"/>
      <c r="V1273" s="165"/>
      <c r="W1273" s="165"/>
      <c r="X1273" s="165"/>
      <c r="Y1273" s="165"/>
      <c r="Z1273" s="166"/>
      <c r="AA1273" s="166"/>
      <c r="AB1273" s="166"/>
      <c r="AC1273" s="166"/>
      <c r="AD1273" s="166"/>
      <c r="AE1273" s="166"/>
      <c r="AF1273" s="166"/>
      <c r="AG1273" s="166"/>
      <c r="AH1273" s="166"/>
    </row>
    <row r="1274" spans="1:34" ht="15.750000" customHeight="1">
      <c r="B1274" s="1"/>
      <c r="H1274" s="65"/>
      <c r="I1274" s="65"/>
      <c r="J1274" s="65"/>
      <c r="K1274" s="65"/>
      <c r="L1274" s="65"/>
      <c r="O1274" s="164"/>
      <c r="P1274" s="13"/>
      <c r="Q1274" s="13"/>
      <c r="R1274" s="13"/>
      <c r="S1274" s="65"/>
      <c r="T1274" s="13"/>
      <c r="U1274" s="13"/>
      <c r="V1274" s="165"/>
      <c r="W1274" s="165"/>
      <c r="X1274" s="165"/>
      <c r="Y1274" s="165"/>
      <c r="Z1274" s="166"/>
      <c r="AA1274" s="166"/>
      <c r="AB1274" s="166"/>
      <c r="AC1274" s="166"/>
      <c r="AD1274" s="166"/>
      <c r="AE1274" s="166"/>
      <c r="AF1274" s="166"/>
      <c r="AG1274" s="166"/>
      <c r="AH1274" s="166"/>
    </row>
    <row r="1275" spans="1:34" ht="15.750000" customHeight="1">
      <c r="B1275" s="1"/>
      <c r="H1275" s="65"/>
      <c r="I1275" s="65"/>
      <c r="J1275" s="65"/>
      <c r="K1275" s="65"/>
      <c r="L1275" s="65"/>
      <c r="O1275" s="164"/>
      <c r="P1275" s="13"/>
      <c r="Q1275" s="13"/>
      <c r="R1275" s="13"/>
      <c r="S1275" s="65"/>
      <c r="T1275" s="13"/>
      <c r="U1275" s="13"/>
      <c r="V1275" s="165"/>
      <c r="W1275" s="165"/>
      <c r="X1275" s="165"/>
      <c r="Y1275" s="165"/>
      <c r="Z1275" s="166"/>
      <c r="AA1275" s="166"/>
      <c r="AB1275" s="166"/>
      <c r="AC1275" s="166"/>
      <c r="AD1275" s="166"/>
      <c r="AE1275" s="166"/>
      <c r="AF1275" s="166"/>
      <c r="AG1275" s="166"/>
      <c r="AH1275" s="166"/>
    </row>
    <row r="1276" spans="1:34" ht="15.750000" customHeight="1">
      <c r="B1276" s="1"/>
      <c r="H1276" s="169"/>
      <c r="I1276" s="65"/>
      <c r="J1276" s="65"/>
      <c r="K1276" s="65"/>
      <c r="L1276" s="65"/>
      <c r="O1276" s="164"/>
      <c r="P1276" s="13"/>
      <c r="Q1276" s="13"/>
      <c r="R1276" s="13"/>
      <c r="S1276" s="65"/>
      <c r="T1276" s="13"/>
      <c r="U1276" s="13"/>
      <c r="V1276" s="165"/>
      <c r="W1276" s="165"/>
      <c r="X1276" s="165"/>
      <c r="Y1276" s="165"/>
      <c r="Z1276" s="166"/>
      <c r="AA1276" s="166"/>
      <c r="AB1276" s="166"/>
      <c r="AC1276" s="166"/>
      <c r="AD1276" s="166"/>
      <c r="AE1276" s="166"/>
      <c r="AF1276" s="166"/>
      <c r="AG1276" s="166"/>
      <c r="AH1276" s="166"/>
    </row>
    <row r="1277" spans="1:34" ht="15.750000" customHeight="1">
      <c r="A1277" s="156" t="s">
        <v>116</v>
      </c>
      <c r="B1277" s="88"/>
      <c r="C1277" s="177"/>
      <c r="D1277" s="177"/>
      <c r="E1277" s="158">
        <f>F1277*120%</f>
        <v>0</v>
      </c>
      <c r="F1277" s="158">
        <f>(D1277-C1277+1)*G1277</f>
        <v>0</v>
      </c>
      <c r="G1277" s="159">
        <f>M1277*40</f>
        <v>0</v>
      </c>
      <c r="H1277" s="161"/>
      <c r="I1277" s="65"/>
      <c r="J1277" s="162"/>
      <c r="K1277" s="65"/>
      <c r="L1277" s="162"/>
      <c r="M1277" s="162"/>
      <c r="N1277" s="163"/>
      <c r="O1277" s="164"/>
      <c r="P1277" s="13"/>
      <c r="Q1277" s="13"/>
      <c r="R1277" s="13"/>
      <c r="S1277" s="65"/>
      <c r="T1277" s="13"/>
      <c r="U1277" s="13"/>
      <c r="V1277" s="165"/>
      <c r="W1277" s="165"/>
      <c r="X1277" s="165"/>
      <c r="Y1277" s="165"/>
      <c r="Z1277" s="166"/>
      <c r="AA1277" s="166"/>
      <c r="AB1277" s="166"/>
      <c r="AC1277" s="166"/>
      <c r="AD1277" s="166"/>
      <c r="AE1277" s="166"/>
      <c r="AF1277" s="166"/>
      <c r="AG1277" s="166"/>
      <c r="AH1277" s="166"/>
    </row>
    <row r="1278" spans="1:34" ht="15.750000" customHeight="1">
      <c r="B1278" s="1"/>
      <c r="H1278" s="65"/>
      <c r="I1278" s="65"/>
      <c r="J1278" s="65"/>
      <c r="K1278" s="65"/>
      <c r="L1278" s="65"/>
      <c r="O1278" s="164"/>
      <c r="P1278" s="13"/>
      <c r="Q1278" s="13"/>
      <c r="R1278" s="13"/>
      <c r="S1278" s="65"/>
      <c r="T1278" s="13"/>
      <c r="U1278" s="13"/>
      <c r="V1278" s="165"/>
      <c r="W1278" s="165"/>
      <c r="X1278" s="165"/>
      <c r="Y1278" s="165"/>
      <c r="Z1278" s="166"/>
      <c r="AA1278" s="166"/>
      <c r="AB1278" s="166"/>
      <c r="AC1278" s="166"/>
      <c r="AD1278" s="166"/>
      <c r="AE1278" s="166"/>
      <c r="AF1278" s="166"/>
      <c r="AG1278" s="166"/>
      <c r="AH1278" s="166"/>
    </row>
    <row r="1279" spans="1:34" ht="15.750000" customHeight="1">
      <c r="B1279" s="1"/>
      <c r="H1279" s="65"/>
      <c r="I1279" s="65"/>
      <c r="J1279" s="65"/>
      <c r="K1279" s="65"/>
      <c r="L1279" s="65"/>
      <c r="O1279" s="164"/>
      <c r="P1279" s="13"/>
      <c r="Q1279" s="13"/>
      <c r="R1279" s="13"/>
      <c r="S1279" s="65"/>
      <c r="T1279" s="13"/>
      <c r="U1279" s="13"/>
      <c r="V1279" s="165"/>
      <c r="W1279" s="165"/>
      <c r="X1279" s="165"/>
      <c r="Y1279" s="165"/>
      <c r="Z1279" s="166"/>
      <c r="AA1279" s="166"/>
      <c r="AB1279" s="166"/>
      <c r="AC1279" s="166"/>
      <c r="AD1279" s="166"/>
      <c r="AE1279" s="166"/>
      <c r="AF1279" s="166"/>
      <c r="AG1279" s="166"/>
      <c r="AH1279" s="166"/>
    </row>
    <row r="1280" spans="1:34" ht="15.750000" customHeight="1">
      <c r="B1280" s="1"/>
      <c r="H1280" s="65"/>
      <c r="I1280" s="65"/>
      <c r="J1280" s="65"/>
      <c r="K1280" s="65"/>
      <c r="L1280" s="65"/>
      <c r="O1280" s="164"/>
      <c r="P1280" s="13"/>
      <c r="Q1280" s="13"/>
      <c r="R1280" s="13"/>
      <c r="S1280" s="65"/>
      <c r="T1280" s="13"/>
      <c r="U1280" s="13"/>
      <c r="V1280" s="165"/>
      <c r="W1280" s="165"/>
      <c r="X1280" s="165"/>
      <c r="Y1280" s="165"/>
      <c r="Z1280" s="166"/>
      <c r="AA1280" s="166"/>
      <c r="AB1280" s="166"/>
      <c r="AC1280" s="166"/>
      <c r="AD1280" s="166"/>
      <c r="AE1280" s="166"/>
      <c r="AF1280" s="166"/>
      <c r="AG1280" s="166"/>
      <c r="AH1280" s="166"/>
    </row>
    <row r="1281" spans="1:34" ht="15.750000" customHeight="1">
      <c r="B1281" s="1"/>
      <c r="H1281" s="169"/>
      <c r="I1281" s="65"/>
      <c r="J1281" s="65"/>
      <c r="K1281" s="65"/>
      <c r="L1281" s="65"/>
      <c r="O1281" s="164"/>
      <c r="P1281" s="13"/>
      <c r="Q1281" s="13"/>
      <c r="R1281" s="13"/>
      <c r="S1281" s="65"/>
      <c r="T1281" s="13"/>
      <c r="U1281" s="13"/>
      <c r="V1281" s="165"/>
      <c r="W1281" s="165"/>
      <c r="X1281" s="165"/>
      <c r="Y1281" s="165"/>
      <c r="Z1281" s="166"/>
      <c r="AA1281" s="166"/>
      <c r="AB1281" s="166"/>
      <c r="AC1281" s="166"/>
      <c r="AD1281" s="166"/>
      <c r="AE1281" s="166"/>
      <c r="AF1281" s="166"/>
      <c r="AG1281" s="166"/>
      <c r="AH1281" s="166"/>
    </row>
    <row r="1282" spans="1:34" ht="15.750000" customHeight="1">
      <c r="A1282" s="156" t="s">
        <v>116</v>
      </c>
      <c r="B1282" s="88"/>
      <c r="C1282" s="204"/>
      <c r="D1282" s="204"/>
      <c r="E1282" s="158">
        <f>F1282*120%</f>
        <v>0</v>
      </c>
      <c r="F1282" s="158">
        <f>(D1282-C1282+1)*G1282</f>
        <v>0</v>
      </c>
      <c r="G1282" s="159">
        <f>M1282*40</f>
        <v>0</v>
      </c>
      <c r="H1282" s="161"/>
      <c r="I1282" s="65"/>
      <c r="J1282" s="162"/>
      <c r="K1282" s="65"/>
      <c r="L1282" s="162"/>
      <c r="M1282" s="162"/>
      <c r="N1282" s="163"/>
      <c r="O1282" s="164"/>
      <c r="P1282" s="13"/>
      <c r="Q1282" s="13"/>
      <c r="R1282" s="13"/>
      <c r="S1282" s="65"/>
      <c r="T1282" s="13"/>
      <c r="U1282" s="13"/>
      <c r="V1282" s="165"/>
      <c r="W1282" s="165"/>
      <c r="X1282" s="165"/>
      <c r="Y1282" s="165"/>
      <c r="Z1282" s="166"/>
      <c r="AA1282" s="166"/>
      <c r="AB1282" s="166"/>
      <c r="AC1282" s="166"/>
      <c r="AD1282" s="166"/>
      <c r="AE1282" s="166"/>
      <c r="AF1282" s="166"/>
      <c r="AG1282" s="166"/>
      <c r="AH1282" s="166"/>
    </row>
    <row r="1283" spans="1:34" ht="15.750000" customHeight="1">
      <c r="B1283" s="1"/>
      <c r="H1283" s="65"/>
      <c r="I1283" s="65"/>
      <c r="J1283" s="65"/>
      <c r="K1283" s="65"/>
      <c r="L1283" s="65"/>
      <c r="O1283" s="164"/>
      <c r="P1283" s="13"/>
      <c r="Q1283" s="13"/>
      <c r="R1283" s="13"/>
      <c r="S1283" s="65"/>
      <c r="T1283" s="13"/>
      <c r="U1283" s="13"/>
      <c r="V1283" s="165"/>
      <c r="W1283" s="165"/>
      <c r="X1283" s="165"/>
      <c r="Y1283" s="165"/>
      <c r="Z1283" s="166"/>
      <c r="AA1283" s="166"/>
      <c r="AB1283" s="166"/>
      <c r="AC1283" s="166"/>
      <c r="AD1283" s="166"/>
      <c r="AE1283" s="166"/>
      <c r="AF1283" s="166"/>
      <c r="AG1283" s="166"/>
      <c r="AH1283" s="166"/>
    </row>
    <row r="1284" spans="1:34" ht="15.750000" customHeight="1">
      <c r="B1284" s="1"/>
      <c r="H1284" s="65"/>
      <c r="I1284" s="65"/>
      <c r="J1284" s="65"/>
      <c r="K1284" s="65"/>
      <c r="L1284" s="65"/>
      <c r="O1284" s="164"/>
      <c r="P1284" s="13"/>
      <c r="Q1284" s="13"/>
      <c r="R1284" s="13"/>
      <c r="S1284" s="65"/>
      <c r="T1284" s="13"/>
      <c r="U1284" s="13"/>
      <c r="V1284" s="165"/>
      <c r="W1284" s="165"/>
      <c r="X1284" s="165"/>
      <c r="Y1284" s="165"/>
      <c r="Z1284" s="166"/>
      <c r="AA1284" s="166"/>
      <c r="AB1284" s="166"/>
      <c r="AC1284" s="166"/>
      <c r="AD1284" s="166"/>
      <c r="AE1284" s="166"/>
      <c r="AF1284" s="166"/>
      <c r="AG1284" s="166"/>
      <c r="AH1284" s="166"/>
    </row>
    <row r="1285" spans="1:34" ht="15.750000" customHeight="1">
      <c r="B1285" s="1"/>
      <c r="H1285" s="65"/>
      <c r="I1285" s="65"/>
      <c r="J1285" s="65"/>
      <c r="K1285" s="65"/>
      <c r="L1285" s="65"/>
      <c r="O1285" s="164"/>
      <c r="P1285" s="13"/>
      <c r="Q1285" s="13"/>
      <c r="R1285" s="13"/>
      <c r="S1285" s="65"/>
      <c r="T1285" s="13"/>
      <c r="U1285" s="13"/>
      <c r="V1285" s="165"/>
      <c r="W1285" s="165"/>
      <c r="X1285" s="165"/>
      <c r="Y1285" s="165"/>
      <c r="Z1285" s="166"/>
      <c r="AA1285" s="166"/>
      <c r="AB1285" s="166"/>
      <c r="AC1285" s="166"/>
      <c r="AD1285" s="166"/>
      <c r="AE1285" s="166"/>
      <c r="AF1285" s="166"/>
      <c r="AG1285" s="166"/>
      <c r="AH1285" s="166"/>
    </row>
    <row r="1286" spans="1:34" ht="15.750000" customHeight="1">
      <c r="B1286" s="1"/>
      <c r="H1286" s="169"/>
      <c r="I1286" s="65"/>
      <c r="J1286" s="65"/>
      <c r="K1286" s="65"/>
      <c r="L1286" s="65"/>
      <c r="O1286" s="164"/>
      <c r="P1286" s="13"/>
      <c r="Q1286" s="13"/>
      <c r="R1286" s="13"/>
      <c r="S1286" s="65"/>
      <c r="T1286" s="13"/>
      <c r="U1286" s="13"/>
      <c r="V1286" s="165"/>
      <c r="W1286" s="165"/>
      <c r="X1286" s="165"/>
      <c r="Y1286" s="165"/>
      <c r="Z1286" s="166"/>
      <c r="AA1286" s="166"/>
      <c r="AB1286" s="166"/>
      <c r="AC1286" s="166"/>
      <c r="AD1286" s="166"/>
      <c r="AE1286" s="166"/>
      <c r="AF1286" s="166"/>
      <c r="AG1286" s="166"/>
      <c r="AH1286" s="166"/>
    </row>
    <row r="1287" spans="1:34" ht="15.750000" customHeight="1">
      <c r="A1287" s="156" t="s">
        <v>116</v>
      </c>
      <c r="B1287" s="88"/>
      <c r="C1287" s="177"/>
      <c r="D1287" s="177"/>
      <c r="E1287" s="158">
        <f>F1287*120%</f>
        <v>0</v>
      </c>
      <c r="F1287" s="158">
        <f>(D1287-C1287+1)*G1287</f>
        <v>0</v>
      </c>
      <c r="G1287" s="159">
        <f>M1287*40</f>
        <v>0</v>
      </c>
      <c r="H1287" s="161"/>
      <c r="I1287" s="65"/>
      <c r="J1287" s="162"/>
      <c r="K1287" s="65"/>
      <c r="L1287" s="162"/>
      <c r="M1287" s="162"/>
      <c r="N1287" s="163"/>
      <c r="O1287" s="164"/>
      <c r="P1287" s="13"/>
      <c r="Q1287" s="13"/>
      <c r="R1287" s="13"/>
      <c r="S1287" s="65"/>
      <c r="T1287" s="13"/>
      <c r="U1287" s="13"/>
      <c r="V1287" s="165"/>
      <c r="W1287" s="165"/>
      <c r="X1287" s="165"/>
      <c r="Y1287" s="165"/>
      <c r="Z1287" s="166"/>
      <c r="AA1287" s="166"/>
      <c r="AB1287" s="166"/>
      <c r="AC1287" s="166"/>
      <c r="AD1287" s="166"/>
      <c r="AE1287" s="166"/>
      <c r="AF1287" s="166"/>
      <c r="AG1287" s="166"/>
      <c r="AH1287" s="166"/>
    </row>
    <row r="1288" spans="1:34" ht="15.750000" customHeight="1">
      <c r="B1288" s="1"/>
      <c r="H1288" s="65"/>
      <c r="I1288" s="65"/>
      <c r="J1288" s="65"/>
      <c r="K1288" s="65"/>
      <c r="L1288" s="65"/>
      <c r="O1288" s="164"/>
      <c r="P1288" s="13"/>
      <c r="Q1288" s="13"/>
      <c r="R1288" s="13"/>
      <c r="S1288" s="65"/>
      <c r="T1288" s="13"/>
      <c r="U1288" s="13"/>
      <c r="V1288" s="165"/>
      <c r="W1288" s="165"/>
      <c r="X1288" s="165"/>
      <c r="Y1288" s="165"/>
      <c r="Z1288" s="166"/>
      <c r="AA1288" s="166"/>
      <c r="AB1288" s="166"/>
      <c r="AC1288" s="166"/>
      <c r="AD1288" s="166"/>
      <c r="AE1288" s="166"/>
      <c r="AF1288" s="166"/>
      <c r="AG1288" s="166"/>
      <c r="AH1288" s="166"/>
    </row>
    <row r="1289" spans="1:34" ht="15.750000" customHeight="1">
      <c r="B1289" s="1"/>
      <c r="H1289" s="65"/>
      <c r="I1289" s="65"/>
      <c r="J1289" s="65"/>
      <c r="K1289" s="65"/>
      <c r="L1289" s="65"/>
      <c r="O1289" s="164"/>
      <c r="P1289" s="13"/>
      <c r="Q1289" s="13"/>
      <c r="R1289" s="13"/>
      <c r="S1289" s="65"/>
      <c r="T1289" s="13"/>
      <c r="U1289" s="13"/>
      <c r="V1289" s="165"/>
      <c r="W1289" s="165"/>
      <c r="X1289" s="165"/>
      <c r="Y1289" s="165"/>
      <c r="Z1289" s="166"/>
      <c r="AA1289" s="166"/>
      <c r="AB1289" s="166"/>
      <c r="AC1289" s="166"/>
      <c r="AD1289" s="166"/>
      <c r="AE1289" s="166"/>
      <c r="AF1289" s="166"/>
      <c r="AG1289" s="166"/>
      <c r="AH1289" s="166"/>
    </row>
    <row r="1290" spans="1:34" ht="15.750000" customHeight="1">
      <c r="B1290" s="1"/>
      <c r="H1290" s="65"/>
      <c r="I1290" s="65"/>
      <c r="J1290" s="65"/>
      <c r="K1290" s="65"/>
      <c r="L1290" s="65"/>
      <c r="O1290" s="164"/>
      <c r="P1290" s="13"/>
      <c r="Q1290" s="13"/>
      <c r="R1290" s="13"/>
      <c r="S1290" s="65"/>
      <c r="T1290" s="13"/>
      <c r="U1290" s="13"/>
      <c r="V1290" s="165"/>
      <c r="W1290" s="165"/>
      <c r="X1290" s="165"/>
      <c r="Y1290" s="165"/>
      <c r="Z1290" s="166"/>
      <c r="AA1290" s="166"/>
      <c r="AB1290" s="166"/>
      <c r="AC1290" s="166"/>
      <c r="AD1290" s="166"/>
      <c r="AE1290" s="166"/>
      <c r="AF1290" s="166"/>
      <c r="AG1290" s="166"/>
      <c r="AH1290" s="166"/>
    </row>
    <row r="1291" spans="1:34" ht="15.750000" customHeight="1">
      <c r="B1291" s="1"/>
      <c r="H1291" s="169"/>
      <c r="I1291" s="65"/>
      <c r="J1291" s="65"/>
      <c r="K1291" s="65"/>
      <c r="L1291" s="65"/>
      <c r="O1291" s="164"/>
      <c r="P1291" s="13"/>
      <c r="Q1291" s="13"/>
      <c r="R1291" s="13"/>
      <c r="S1291" s="65"/>
      <c r="T1291" s="13"/>
      <c r="U1291" s="13"/>
      <c r="V1291" s="165"/>
      <c r="W1291" s="165"/>
      <c r="X1291" s="165"/>
      <c r="Y1291" s="165"/>
      <c r="Z1291" s="166"/>
      <c r="AA1291" s="166"/>
      <c r="AB1291" s="166"/>
      <c r="AC1291" s="166"/>
      <c r="AD1291" s="166"/>
      <c r="AE1291" s="166"/>
      <c r="AF1291" s="166"/>
      <c r="AG1291" s="166"/>
      <c r="AH1291" s="166"/>
    </row>
    <row r="1292" spans="1:34" ht="15.750000" customHeight="1">
      <c r="A1292" s="156" t="s">
        <v>116</v>
      </c>
      <c r="B1292" s="88"/>
      <c r="C1292" s="204"/>
      <c r="D1292" s="204"/>
      <c r="E1292" s="158">
        <f>F1292*120%</f>
        <v>0</v>
      </c>
      <c r="F1292" s="158">
        <f>(D1292-C1292+1)*G1292</f>
        <v>0</v>
      </c>
      <c r="G1292" s="159">
        <f>M1292*40</f>
        <v>0</v>
      </c>
      <c r="H1292" s="161"/>
      <c r="I1292" s="65"/>
      <c r="J1292" s="162"/>
      <c r="K1292" s="65"/>
      <c r="L1292" s="162"/>
      <c r="M1292" s="162"/>
      <c r="N1292" s="163"/>
      <c r="O1292" s="164"/>
      <c r="P1292" s="13"/>
      <c r="Q1292" s="13"/>
      <c r="R1292" s="13"/>
      <c r="S1292" s="65"/>
      <c r="T1292" s="13"/>
      <c r="U1292" s="13"/>
      <c r="V1292" s="165"/>
      <c r="W1292" s="165"/>
      <c r="X1292" s="165"/>
      <c r="Y1292" s="165"/>
      <c r="Z1292" s="166"/>
      <c r="AA1292" s="166"/>
      <c r="AB1292" s="166"/>
      <c r="AC1292" s="166"/>
      <c r="AD1292" s="166"/>
      <c r="AE1292" s="166"/>
      <c r="AF1292" s="166"/>
      <c r="AG1292" s="166"/>
      <c r="AH1292" s="166"/>
    </row>
    <row r="1293" spans="1:34" ht="15.750000" customHeight="1">
      <c r="B1293" s="1"/>
      <c r="H1293" s="65"/>
      <c r="I1293" s="65"/>
      <c r="J1293" s="65"/>
      <c r="K1293" s="65"/>
      <c r="L1293" s="65"/>
      <c r="O1293" s="164"/>
      <c r="P1293" s="13"/>
      <c r="Q1293" s="13"/>
      <c r="R1293" s="13"/>
      <c r="S1293" s="65"/>
      <c r="T1293" s="13"/>
      <c r="U1293" s="13"/>
      <c r="V1293" s="165"/>
      <c r="W1293" s="165"/>
      <c r="X1293" s="165"/>
      <c r="Y1293" s="165"/>
      <c r="Z1293" s="166"/>
      <c r="AA1293" s="166"/>
      <c r="AB1293" s="166"/>
      <c r="AC1293" s="166"/>
      <c r="AD1293" s="166"/>
      <c r="AE1293" s="166"/>
      <c r="AF1293" s="166"/>
      <c r="AG1293" s="166"/>
      <c r="AH1293" s="166"/>
    </row>
    <row r="1294" spans="1:34" ht="15.750000" customHeight="1">
      <c r="B1294" s="1"/>
      <c r="H1294" s="65"/>
      <c r="I1294" s="65"/>
      <c r="J1294" s="65"/>
      <c r="K1294" s="65"/>
      <c r="L1294" s="65"/>
      <c r="O1294" s="164"/>
      <c r="P1294" s="13"/>
      <c r="Q1294" s="13"/>
      <c r="R1294" s="13"/>
      <c r="S1294" s="65"/>
      <c r="T1294" s="13"/>
      <c r="U1294" s="13"/>
      <c r="V1294" s="165"/>
      <c r="W1294" s="165"/>
      <c r="X1294" s="165"/>
      <c r="Y1294" s="165"/>
      <c r="Z1294" s="166"/>
      <c r="AA1294" s="166"/>
      <c r="AB1294" s="166"/>
      <c r="AC1294" s="166"/>
      <c r="AD1294" s="166"/>
      <c r="AE1294" s="166"/>
      <c r="AF1294" s="166"/>
      <c r="AG1294" s="166"/>
      <c r="AH1294" s="166"/>
    </row>
    <row r="1295" spans="1:34" ht="15.750000" customHeight="1">
      <c r="B1295" s="1"/>
      <c r="H1295" s="65"/>
      <c r="I1295" s="65"/>
      <c r="J1295" s="65"/>
      <c r="K1295" s="65"/>
      <c r="L1295" s="65"/>
      <c r="O1295" s="164"/>
      <c r="P1295" s="13"/>
      <c r="Q1295" s="13"/>
      <c r="R1295" s="13"/>
      <c r="S1295" s="65"/>
      <c r="T1295" s="13"/>
      <c r="U1295" s="13"/>
      <c r="V1295" s="165"/>
      <c r="W1295" s="165"/>
      <c r="X1295" s="165"/>
      <c r="Y1295" s="165"/>
      <c r="Z1295" s="166"/>
      <c r="AA1295" s="166"/>
      <c r="AB1295" s="166"/>
      <c r="AC1295" s="166"/>
      <c r="AD1295" s="166"/>
      <c r="AE1295" s="166"/>
      <c r="AF1295" s="166"/>
      <c r="AG1295" s="166"/>
      <c r="AH1295" s="166"/>
    </row>
    <row r="1296" spans="1:34" ht="15.750000" customHeight="1">
      <c r="B1296" s="1"/>
      <c r="H1296" s="169"/>
      <c r="I1296" s="65"/>
      <c r="J1296" s="65"/>
      <c r="K1296" s="65"/>
      <c r="L1296" s="65"/>
      <c r="O1296" s="164"/>
      <c r="P1296" s="13"/>
      <c r="Q1296" s="13"/>
      <c r="R1296" s="13"/>
      <c r="S1296" s="65"/>
      <c r="T1296" s="13"/>
      <c r="U1296" s="13"/>
      <c r="V1296" s="165"/>
      <c r="W1296" s="165"/>
      <c r="X1296" s="165"/>
      <c r="Y1296" s="165"/>
      <c r="Z1296" s="166"/>
      <c r="AA1296" s="166"/>
      <c r="AB1296" s="166"/>
      <c r="AC1296" s="166"/>
      <c r="AD1296" s="166"/>
      <c r="AE1296" s="166"/>
      <c r="AF1296" s="166"/>
      <c r="AG1296" s="166"/>
      <c r="AH1296" s="166"/>
    </row>
    <row r="1297" spans="1:34" ht="15.750000" customHeight="1">
      <c r="A1297" s="156" t="s">
        <v>116</v>
      </c>
      <c r="B1297" s="88"/>
      <c r="C1297" s="177"/>
      <c r="D1297" s="177"/>
      <c r="E1297" s="158">
        <f>F1297*120%</f>
        <v>0</v>
      </c>
      <c r="F1297" s="158">
        <f>(D1297-C1297+1)*G1297</f>
        <v>0</v>
      </c>
      <c r="G1297" s="159">
        <f>M1297*40</f>
        <v>0</v>
      </c>
      <c r="H1297" s="161"/>
      <c r="I1297" s="65"/>
      <c r="J1297" s="162"/>
      <c r="K1297" s="65"/>
      <c r="L1297" s="162"/>
      <c r="M1297" s="162"/>
      <c r="N1297" s="163"/>
      <c r="O1297" s="164"/>
      <c r="P1297" s="13"/>
      <c r="Q1297" s="13"/>
      <c r="R1297" s="13"/>
      <c r="S1297" s="65"/>
      <c r="T1297" s="253"/>
      <c r="U1297" s="13"/>
      <c r="V1297" s="165"/>
      <c r="W1297" s="165"/>
      <c r="X1297" s="165"/>
      <c r="Y1297" s="165"/>
      <c r="Z1297" s="166"/>
      <c r="AA1297" s="166"/>
      <c r="AB1297" s="166"/>
      <c r="AC1297" s="166"/>
      <c r="AD1297" s="166"/>
      <c r="AE1297" s="166"/>
      <c r="AF1297" s="166"/>
      <c r="AG1297" s="166"/>
      <c r="AH1297" s="166"/>
    </row>
    <row r="1298" spans="1:34" ht="15.750000" customHeight="1">
      <c r="B1298" s="1"/>
      <c r="H1298" s="65"/>
      <c r="I1298" s="65"/>
      <c r="J1298" s="65"/>
      <c r="K1298" s="65"/>
      <c r="L1298" s="65"/>
      <c r="O1298" s="164"/>
      <c r="P1298" s="13"/>
      <c r="Q1298" s="13"/>
      <c r="R1298" s="13"/>
      <c r="S1298" s="65"/>
      <c r="T1298" s="13"/>
      <c r="U1298" s="13"/>
      <c r="V1298" s="165"/>
      <c r="W1298" s="165"/>
      <c r="X1298" s="165"/>
      <c r="Y1298" s="165"/>
      <c r="Z1298" s="166"/>
      <c r="AA1298" s="166"/>
      <c r="AB1298" s="166"/>
      <c r="AC1298" s="166"/>
      <c r="AD1298" s="166"/>
      <c r="AE1298" s="166"/>
      <c r="AF1298" s="166"/>
      <c r="AG1298" s="166"/>
      <c r="AH1298" s="166"/>
    </row>
    <row r="1299" spans="1:34" ht="15.750000" customHeight="1">
      <c r="B1299" s="1"/>
      <c r="H1299" s="65"/>
      <c r="I1299" s="65"/>
      <c r="J1299" s="65"/>
      <c r="K1299" s="65"/>
      <c r="L1299" s="65"/>
      <c r="O1299" s="164"/>
      <c r="P1299" s="13"/>
      <c r="Q1299" s="13"/>
      <c r="R1299" s="13"/>
      <c r="S1299" s="65"/>
      <c r="T1299" s="13"/>
      <c r="U1299" s="13"/>
      <c r="V1299" s="165"/>
      <c r="W1299" s="165"/>
      <c r="X1299" s="165"/>
      <c r="Y1299" s="165"/>
      <c r="Z1299" s="166"/>
      <c r="AA1299" s="166"/>
      <c r="AB1299" s="166"/>
      <c r="AC1299" s="166"/>
      <c r="AD1299" s="166"/>
      <c r="AE1299" s="166"/>
      <c r="AF1299" s="166"/>
      <c r="AG1299" s="166"/>
      <c r="AH1299" s="166"/>
    </row>
    <row r="1300" spans="1:34" ht="15.750000" customHeight="1">
      <c r="B1300" s="1"/>
      <c r="H1300" s="65"/>
      <c r="I1300" s="65"/>
      <c r="J1300" s="65"/>
      <c r="K1300" s="65"/>
      <c r="L1300" s="65"/>
      <c r="O1300" s="164"/>
      <c r="P1300" s="13"/>
      <c r="Q1300" s="13"/>
      <c r="R1300" s="13"/>
      <c r="S1300" s="65"/>
      <c r="T1300" s="13"/>
      <c r="U1300" s="13"/>
      <c r="V1300" s="165"/>
      <c r="W1300" s="165"/>
      <c r="X1300" s="165"/>
      <c r="Y1300" s="165"/>
      <c r="Z1300" s="166"/>
      <c r="AA1300" s="166"/>
      <c r="AB1300" s="166"/>
      <c r="AC1300" s="166"/>
      <c r="AD1300" s="166"/>
      <c r="AE1300" s="166"/>
      <c r="AF1300" s="166"/>
      <c r="AG1300" s="166"/>
      <c r="AH1300" s="166"/>
    </row>
    <row r="1301" spans="1:34" ht="15.750000" customHeight="1">
      <c r="B1301" s="1"/>
      <c r="H1301" s="169"/>
      <c r="I1301" s="65"/>
      <c r="J1301" s="65"/>
      <c r="K1301" s="65"/>
      <c r="L1301" s="65"/>
      <c r="O1301" s="164"/>
      <c r="P1301" s="13"/>
      <c r="Q1301" s="13"/>
      <c r="R1301" s="13"/>
      <c r="S1301" s="65"/>
      <c r="T1301" s="13"/>
      <c r="U1301" s="13"/>
      <c r="V1301" s="165"/>
      <c r="W1301" s="165"/>
      <c r="X1301" s="165"/>
      <c r="Y1301" s="165"/>
      <c r="Z1301" s="166"/>
      <c r="AA1301" s="166"/>
      <c r="AB1301" s="166"/>
      <c r="AC1301" s="166"/>
      <c r="AD1301" s="166"/>
      <c r="AE1301" s="166"/>
      <c r="AF1301" s="166"/>
      <c r="AG1301" s="166"/>
      <c r="AH1301" s="166"/>
    </row>
    <row r="1302" spans="1:34" ht="15.750000" customHeight="1">
      <c r="A1302" s="156" t="s">
        <v>116</v>
      </c>
      <c r="B1302" s="88"/>
      <c r="C1302" s="204"/>
      <c r="D1302" s="204"/>
      <c r="E1302" s="158">
        <f>F1302*120%</f>
        <v>0</v>
      </c>
      <c r="F1302" s="158">
        <f>(D1302-C1302+1)*G1302</f>
        <v>0</v>
      </c>
      <c r="G1302" s="159">
        <f>M1302*40</f>
        <v>0</v>
      </c>
      <c r="H1302" s="161"/>
      <c r="I1302" s="65"/>
      <c r="J1302" s="162"/>
      <c r="K1302" s="65"/>
      <c r="L1302" s="162"/>
      <c r="M1302" s="162"/>
      <c r="N1302" s="163"/>
      <c r="O1302" s="164"/>
      <c r="P1302" s="13"/>
      <c r="Q1302" s="13"/>
      <c r="R1302" s="13"/>
      <c r="S1302" s="65"/>
      <c r="T1302" s="13"/>
      <c r="U1302" s="13"/>
      <c r="V1302" s="165"/>
      <c r="W1302" s="165"/>
      <c r="X1302" s="165"/>
      <c r="Y1302" s="165"/>
      <c r="Z1302" s="166"/>
      <c r="AA1302" s="166"/>
      <c r="AB1302" s="166"/>
      <c r="AC1302" s="166"/>
      <c r="AD1302" s="166"/>
      <c r="AE1302" s="166"/>
      <c r="AF1302" s="166"/>
      <c r="AG1302" s="166"/>
      <c r="AH1302" s="166"/>
    </row>
    <row r="1303" spans="1:34" ht="15.750000" customHeight="1">
      <c r="B1303" s="1"/>
      <c r="H1303" s="65"/>
      <c r="I1303" s="65"/>
      <c r="J1303" s="65"/>
      <c r="K1303" s="65"/>
      <c r="L1303" s="65"/>
      <c r="O1303" s="164"/>
      <c r="P1303" s="13"/>
      <c r="Q1303" s="13"/>
      <c r="R1303" s="13"/>
      <c r="S1303" s="65"/>
      <c r="T1303" s="13"/>
      <c r="U1303" s="13"/>
      <c r="V1303" s="165"/>
      <c r="W1303" s="165"/>
      <c r="X1303" s="165"/>
      <c r="Y1303" s="165"/>
      <c r="Z1303" s="166"/>
      <c r="AA1303" s="166"/>
      <c r="AB1303" s="166"/>
      <c r="AC1303" s="166"/>
      <c r="AD1303" s="166"/>
      <c r="AE1303" s="166"/>
      <c r="AF1303" s="166"/>
      <c r="AG1303" s="166"/>
      <c r="AH1303" s="166"/>
    </row>
    <row r="1304" spans="1:34" ht="15.750000" customHeight="1">
      <c r="B1304" s="1"/>
      <c r="H1304" s="65"/>
      <c r="I1304" s="65"/>
      <c r="J1304" s="65"/>
      <c r="K1304" s="65"/>
      <c r="L1304" s="65"/>
      <c r="O1304" s="164"/>
      <c r="P1304" s="13"/>
      <c r="Q1304" s="13"/>
      <c r="R1304" s="13"/>
      <c r="S1304" s="65"/>
      <c r="T1304" s="13"/>
      <c r="U1304" s="13"/>
      <c r="V1304" s="165"/>
      <c r="W1304" s="165"/>
      <c r="X1304" s="165"/>
      <c r="Y1304" s="165"/>
      <c r="Z1304" s="166"/>
      <c r="AA1304" s="166"/>
      <c r="AB1304" s="166"/>
      <c r="AC1304" s="166"/>
      <c r="AD1304" s="166"/>
      <c r="AE1304" s="166"/>
      <c r="AF1304" s="166"/>
      <c r="AG1304" s="166"/>
      <c r="AH1304" s="166"/>
    </row>
    <row r="1305" spans="1:34" ht="15.750000" customHeight="1">
      <c r="B1305" s="1"/>
      <c r="H1305" s="65"/>
      <c r="I1305" s="65"/>
      <c r="J1305" s="65"/>
      <c r="K1305" s="65"/>
      <c r="L1305" s="65"/>
      <c r="O1305" s="164"/>
      <c r="P1305" s="13"/>
      <c r="Q1305" s="13"/>
      <c r="R1305" s="13"/>
      <c r="S1305" s="65"/>
      <c r="T1305" s="13"/>
      <c r="U1305" s="13"/>
      <c r="V1305" s="165"/>
      <c r="W1305" s="165"/>
      <c r="X1305" s="165"/>
      <c r="Y1305" s="165"/>
      <c r="Z1305" s="166"/>
      <c r="AA1305" s="166"/>
      <c r="AB1305" s="166"/>
      <c r="AC1305" s="166"/>
      <c r="AD1305" s="166"/>
      <c r="AE1305" s="166"/>
      <c r="AF1305" s="166"/>
      <c r="AG1305" s="166"/>
      <c r="AH1305" s="166"/>
    </row>
    <row r="1306" spans="1:34" ht="15.750000" customHeight="1">
      <c r="B1306" s="1"/>
      <c r="H1306" s="169"/>
      <c r="I1306" s="65"/>
      <c r="J1306" s="65"/>
      <c r="K1306" s="65"/>
      <c r="L1306" s="65"/>
      <c r="O1306" s="164"/>
      <c r="P1306" s="13"/>
      <c r="Q1306" s="13"/>
      <c r="R1306" s="13"/>
      <c r="S1306" s="65"/>
      <c r="T1306" s="13"/>
      <c r="U1306" s="13"/>
      <c r="V1306" s="165"/>
      <c r="W1306" s="165"/>
      <c r="X1306" s="165"/>
      <c r="Y1306" s="165"/>
      <c r="Z1306" s="166"/>
      <c r="AA1306" s="166"/>
      <c r="AB1306" s="166"/>
      <c r="AC1306" s="166"/>
      <c r="AD1306" s="166"/>
      <c r="AE1306" s="166"/>
      <c r="AF1306" s="166"/>
      <c r="AG1306" s="166"/>
      <c r="AH1306" s="166"/>
    </row>
    <row r="1307" spans="1:34" ht="15.750000" customHeight="1">
      <c r="A1307" s="156" t="s">
        <v>116</v>
      </c>
      <c r="B1307" s="88"/>
      <c r="C1307" s="177"/>
      <c r="D1307" s="177"/>
      <c r="E1307" s="158">
        <f>F1307*120%</f>
        <v>0</v>
      </c>
      <c r="F1307" s="158">
        <f>(D1307-C1307+1)*G1307</f>
        <v>0</v>
      </c>
      <c r="G1307" s="159">
        <f>M1307*40</f>
        <v>0</v>
      </c>
      <c r="H1307" s="161"/>
      <c r="I1307" s="65"/>
      <c r="J1307" s="162"/>
      <c r="K1307" s="65"/>
      <c r="L1307" s="162"/>
      <c r="M1307" s="162"/>
      <c r="N1307" s="163"/>
      <c r="O1307" s="164"/>
      <c r="P1307" s="13"/>
      <c r="Q1307" s="13"/>
      <c r="R1307" s="13"/>
      <c r="S1307" s="65"/>
      <c r="T1307" s="13"/>
      <c r="U1307" s="13"/>
      <c r="V1307" s="165"/>
      <c r="W1307" s="165"/>
      <c r="X1307" s="165"/>
      <c r="Y1307" s="165"/>
      <c r="Z1307" s="166"/>
      <c r="AA1307" s="166"/>
      <c r="AB1307" s="166"/>
      <c r="AC1307" s="166"/>
      <c r="AD1307" s="166"/>
      <c r="AE1307" s="166"/>
      <c r="AF1307" s="166"/>
      <c r="AG1307" s="166"/>
      <c r="AH1307" s="166"/>
    </row>
    <row r="1308" spans="1:34" ht="15.750000" customHeight="1">
      <c r="B1308" s="1"/>
      <c r="H1308" s="65"/>
      <c r="I1308" s="65"/>
      <c r="J1308" s="65"/>
      <c r="K1308" s="65"/>
      <c r="L1308" s="65"/>
      <c r="O1308" s="164"/>
      <c r="P1308" s="13"/>
      <c r="Q1308" s="13"/>
      <c r="R1308" s="13"/>
      <c r="S1308" s="65"/>
      <c r="T1308" s="13"/>
      <c r="U1308" s="13"/>
      <c r="V1308" s="165"/>
      <c r="W1308" s="165"/>
      <c r="X1308" s="165"/>
      <c r="Y1308" s="165"/>
      <c r="Z1308" s="166"/>
      <c r="AA1308" s="166"/>
      <c r="AB1308" s="166"/>
      <c r="AC1308" s="166"/>
      <c r="AD1308" s="166"/>
      <c r="AE1308" s="166"/>
      <c r="AF1308" s="166"/>
      <c r="AG1308" s="166"/>
      <c r="AH1308" s="166"/>
    </row>
    <row r="1309" spans="1:34" ht="15.750000" customHeight="1">
      <c r="B1309" s="1"/>
      <c r="H1309" s="65"/>
      <c r="I1309" s="65"/>
      <c r="J1309" s="65"/>
      <c r="K1309" s="65"/>
      <c r="L1309" s="65"/>
      <c r="O1309" s="164"/>
      <c r="P1309" s="13"/>
      <c r="Q1309" s="13"/>
      <c r="R1309" s="13"/>
      <c r="S1309" s="65"/>
      <c r="T1309" s="13"/>
      <c r="U1309" s="13"/>
      <c r="V1309" s="165"/>
      <c r="W1309" s="165"/>
      <c r="X1309" s="165"/>
      <c r="Y1309" s="165"/>
      <c r="Z1309" s="166"/>
      <c r="AA1309" s="166"/>
      <c r="AB1309" s="166"/>
      <c r="AC1309" s="166"/>
      <c r="AD1309" s="166"/>
      <c r="AE1309" s="166"/>
      <c r="AF1309" s="166"/>
      <c r="AG1309" s="166"/>
      <c r="AH1309" s="166"/>
    </row>
    <row r="1310" spans="1:34" ht="15.750000" customHeight="1">
      <c r="B1310" s="1"/>
      <c r="H1310" s="65"/>
      <c r="I1310" s="65"/>
      <c r="J1310" s="65"/>
      <c r="K1310" s="65"/>
      <c r="L1310" s="65"/>
      <c r="O1310" s="164"/>
      <c r="P1310" s="13"/>
      <c r="Q1310" s="13"/>
      <c r="R1310" s="13"/>
      <c r="S1310" s="65"/>
      <c r="T1310" s="13"/>
      <c r="U1310" s="13"/>
      <c r="V1310" s="165"/>
      <c r="W1310" s="165"/>
      <c r="X1310" s="165"/>
      <c r="Y1310" s="165"/>
      <c r="Z1310" s="166"/>
      <c r="AA1310" s="166"/>
      <c r="AB1310" s="166"/>
      <c r="AC1310" s="166"/>
      <c r="AD1310" s="166"/>
      <c r="AE1310" s="166"/>
      <c r="AF1310" s="166"/>
      <c r="AG1310" s="166"/>
      <c r="AH1310" s="166"/>
    </row>
    <row r="1311" spans="1:34" ht="15.750000" customHeight="1">
      <c r="B1311" s="1"/>
      <c r="H1311" s="169"/>
      <c r="I1311" s="65"/>
      <c r="J1311" s="65"/>
      <c r="K1311" s="65"/>
      <c r="L1311" s="65"/>
      <c r="O1311" s="164"/>
      <c r="P1311" s="13"/>
      <c r="Q1311" s="13"/>
      <c r="R1311" s="13"/>
      <c r="S1311" s="65"/>
      <c r="T1311" s="13"/>
      <c r="U1311" s="13"/>
      <c r="V1311" s="165"/>
      <c r="W1311" s="165"/>
      <c r="X1311" s="165"/>
      <c r="Y1311" s="165"/>
      <c r="Z1311" s="166"/>
      <c r="AA1311" s="166"/>
      <c r="AB1311" s="166"/>
      <c r="AC1311" s="166"/>
      <c r="AD1311" s="166"/>
      <c r="AE1311" s="166"/>
      <c r="AF1311" s="166"/>
      <c r="AG1311" s="166"/>
      <c r="AH1311" s="166"/>
    </row>
    <row r="1312" spans="1:34" ht="15.750000" customHeight="1">
      <c r="A1312" s="156" t="s">
        <v>116</v>
      </c>
      <c r="B1312" s="88"/>
      <c r="C1312" s="177"/>
      <c r="D1312" s="177"/>
      <c r="E1312" s="158">
        <f>F1312*120%</f>
        <v>0</v>
      </c>
      <c r="F1312" s="158">
        <f>(D1312-C1312+1)*G1312</f>
        <v>0</v>
      </c>
      <c r="G1312" s="159">
        <f>M1312*40</f>
        <v>0</v>
      </c>
      <c r="H1312" s="161"/>
      <c r="I1312" s="65"/>
      <c r="J1312" s="162"/>
      <c r="K1312" s="65"/>
      <c r="L1312" s="162"/>
      <c r="M1312" s="162"/>
      <c r="N1312" s="163"/>
      <c r="O1312" s="164"/>
      <c r="P1312" s="13"/>
      <c r="Q1312" s="13"/>
      <c r="R1312" s="13"/>
      <c r="S1312" s="65"/>
      <c r="T1312" s="13"/>
      <c r="U1312" s="13"/>
      <c r="V1312" s="165"/>
      <c r="W1312" s="165"/>
      <c r="X1312" s="165"/>
      <c r="Y1312" s="165"/>
      <c r="Z1312" s="166"/>
      <c r="AA1312" s="166"/>
      <c r="AB1312" s="166"/>
      <c r="AC1312" s="166"/>
      <c r="AD1312" s="166"/>
      <c r="AE1312" s="166"/>
      <c r="AF1312" s="166"/>
      <c r="AG1312" s="166"/>
      <c r="AH1312" s="166"/>
    </row>
    <row r="1313" spans="1:34" ht="15.750000" customHeight="1">
      <c r="B1313" s="1"/>
      <c r="H1313" s="65"/>
      <c r="I1313" s="65"/>
      <c r="J1313" s="65"/>
      <c r="K1313" s="65"/>
      <c r="L1313" s="65"/>
      <c r="O1313" s="164"/>
      <c r="P1313" s="13"/>
      <c r="Q1313" s="13"/>
      <c r="R1313" s="13"/>
      <c r="S1313" s="65"/>
      <c r="T1313" s="13"/>
      <c r="U1313" s="13"/>
      <c r="V1313" s="165"/>
      <c r="W1313" s="165"/>
      <c r="X1313" s="165"/>
      <c r="Y1313" s="165"/>
      <c r="Z1313" s="166"/>
      <c r="AA1313" s="166"/>
      <c r="AB1313" s="166"/>
      <c r="AC1313" s="166"/>
      <c r="AD1313" s="166"/>
      <c r="AE1313" s="166"/>
      <c r="AF1313" s="166"/>
      <c r="AG1313" s="166"/>
      <c r="AH1313" s="166"/>
    </row>
    <row r="1314" spans="1:34" ht="15.750000" customHeight="1">
      <c r="B1314" s="1"/>
      <c r="H1314" s="65"/>
      <c r="I1314" s="65"/>
      <c r="J1314" s="65"/>
      <c r="K1314" s="65"/>
      <c r="L1314" s="65"/>
      <c r="O1314" s="164"/>
      <c r="P1314" s="13"/>
      <c r="Q1314" s="13"/>
      <c r="R1314" s="13"/>
      <c r="S1314" s="65"/>
      <c r="T1314" s="13"/>
      <c r="U1314" s="13"/>
      <c r="V1314" s="165"/>
      <c r="W1314" s="165"/>
      <c r="X1314" s="165"/>
      <c r="Y1314" s="165"/>
      <c r="Z1314" s="166"/>
      <c r="AA1314" s="166"/>
      <c r="AB1314" s="166"/>
      <c r="AC1314" s="166"/>
      <c r="AD1314" s="166"/>
      <c r="AE1314" s="166"/>
      <c r="AF1314" s="166"/>
      <c r="AG1314" s="166"/>
      <c r="AH1314" s="166"/>
    </row>
    <row r="1315" spans="1:34" ht="15.750000" customHeight="1">
      <c r="B1315" s="1"/>
      <c r="H1315" s="65"/>
      <c r="I1315" s="65"/>
      <c r="J1315" s="65"/>
      <c r="K1315" s="65"/>
      <c r="L1315" s="65"/>
      <c r="O1315" s="164"/>
      <c r="P1315" s="13"/>
      <c r="Q1315" s="13"/>
      <c r="R1315" s="13"/>
      <c r="S1315" s="65"/>
      <c r="T1315" s="13"/>
      <c r="U1315" s="13"/>
      <c r="V1315" s="165"/>
      <c r="W1315" s="165"/>
      <c r="X1315" s="165"/>
      <c r="Y1315" s="165"/>
      <c r="Z1315" s="166"/>
      <c r="AA1315" s="166"/>
      <c r="AB1315" s="166"/>
      <c r="AC1315" s="166"/>
      <c r="AD1315" s="166"/>
      <c r="AE1315" s="166"/>
      <c r="AF1315" s="166"/>
      <c r="AG1315" s="166"/>
      <c r="AH1315" s="166"/>
    </row>
    <row r="1316" spans="1:34" ht="15.750000" customHeight="1">
      <c r="B1316" s="1"/>
      <c r="H1316" s="169"/>
      <c r="I1316" s="65"/>
      <c r="J1316" s="65"/>
      <c r="K1316" s="65"/>
      <c r="L1316" s="65"/>
      <c r="O1316" s="164"/>
      <c r="P1316" s="13"/>
      <c r="Q1316" s="13"/>
      <c r="R1316" s="13"/>
      <c r="S1316" s="65"/>
      <c r="T1316" s="13"/>
      <c r="U1316" s="13"/>
      <c r="V1316" s="165"/>
      <c r="W1316" s="165"/>
      <c r="X1316" s="165"/>
      <c r="Y1316" s="165"/>
      <c r="Z1316" s="166"/>
      <c r="AA1316" s="166"/>
      <c r="AB1316" s="166"/>
      <c r="AC1316" s="166"/>
      <c r="AD1316" s="166"/>
      <c r="AE1316" s="166"/>
      <c r="AF1316" s="166"/>
      <c r="AG1316" s="166"/>
      <c r="AH1316" s="166"/>
    </row>
    <row r="1317" spans="1:34" ht="15.750000" customHeight="1">
      <c r="A1317" s="156" t="s">
        <v>116</v>
      </c>
      <c r="B1317" s="88"/>
      <c r="C1317" s="177"/>
      <c r="D1317" s="177"/>
      <c r="E1317" s="158">
        <f>F1317*120%</f>
        <v>0</v>
      </c>
      <c r="F1317" s="158">
        <f>(D1317-C1317+1)*G1317</f>
        <v>0</v>
      </c>
      <c r="G1317" s="159">
        <f>M1317*40</f>
        <v>0</v>
      </c>
      <c r="H1317" s="161"/>
      <c r="I1317" s="65"/>
      <c r="J1317" s="162"/>
      <c r="K1317" s="65"/>
      <c r="L1317" s="162"/>
      <c r="M1317" s="162"/>
      <c r="N1317" s="163"/>
      <c r="O1317" s="164"/>
      <c r="P1317" s="13"/>
      <c r="Q1317" s="13"/>
      <c r="R1317" s="13"/>
      <c r="S1317" s="65"/>
      <c r="T1317" s="13"/>
      <c r="U1317" s="13"/>
      <c r="V1317" s="165"/>
      <c r="W1317" s="165"/>
      <c r="X1317" s="165"/>
      <c r="Y1317" s="165"/>
      <c r="Z1317" s="166"/>
      <c r="AA1317" s="166"/>
      <c r="AB1317" s="166"/>
      <c r="AC1317" s="166"/>
      <c r="AD1317" s="166"/>
      <c r="AE1317" s="166"/>
      <c r="AF1317" s="166"/>
      <c r="AG1317" s="166"/>
      <c r="AH1317" s="166"/>
    </row>
    <row r="1318" spans="1:34" ht="15.750000" customHeight="1">
      <c r="B1318" s="1"/>
      <c r="H1318" s="65"/>
      <c r="I1318" s="65"/>
      <c r="J1318" s="65"/>
      <c r="K1318" s="65"/>
      <c r="L1318" s="65"/>
      <c r="O1318" s="164"/>
      <c r="P1318" s="13"/>
      <c r="Q1318" s="13"/>
      <c r="R1318" s="13"/>
      <c r="S1318" s="65"/>
      <c r="T1318" s="13"/>
      <c r="U1318" s="13"/>
      <c r="V1318" s="165"/>
      <c r="W1318" s="165"/>
      <c r="X1318" s="165"/>
      <c r="Y1318" s="165"/>
      <c r="Z1318" s="166"/>
      <c r="AA1318" s="166"/>
      <c r="AB1318" s="166"/>
      <c r="AC1318" s="166"/>
      <c r="AD1318" s="166"/>
      <c r="AE1318" s="166"/>
      <c r="AF1318" s="166"/>
      <c r="AG1318" s="166"/>
      <c r="AH1318" s="166"/>
    </row>
    <row r="1319" spans="1:34" ht="15.750000" customHeight="1">
      <c r="B1319" s="1"/>
      <c r="H1319" s="65"/>
      <c r="I1319" s="65"/>
      <c r="J1319" s="65"/>
      <c r="K1319" s="65"/>
      <c r="L1319" s="65"/>
      <c r="O1319" s="164"/>
      <c r="P1319" s="13"/>
      <c r="Q1319" s="13"/>
      <c r="R1319" s="13"/>
      <c r="S1319" s="65"/>
      <c r="T1319" s="13"/>
      <c r="U1319" s="13"/>
      <c r="V1319" s="165"/>
      <c r="W1319" s="165"/>
      <c r="X1319" s="165"/>
      <c r="Y1319" s="165"/>
      <c r="Z1319" s="166"/>
      <c r="AA1319" s="166"/>
      <c r="AB1319" s="166"/>
      <c r="AC1319" s="166"/>
      <c r="AD1319" s="166"/>
      <c r="AE1319" s="166"/>
      <c r="AF1319" s="166"/>
      <c r="AG1319" s="166"/>
      <c r="AH1319" s="166"/>
    </row>
    <row r="1320" spans="1:34" ht="15.750000" customHeight="1">
      <c r="B1320" s="1"/>
      <c r="H1320" s="65"/>
      <c r="I1320" s="65"/>
      <c r="J1320" s="65"/>
      <c r="K1320" s="65"/>
      <c r="L1320" s="65"/>
      <c r="O1320" s="164"/>
      <c r="P1320" s="13"/>
      <c r="Q1320" s="13"/>
      <c r="R1320" s="13"/>
      <c r="S1320" s="65"/>
      <c r="T1320" s="13"/>
      <c r="U1320" s="13"/>
      <c r="V1320" s="165"/>
      <c r="W1320" s="165"/>
      <c r="X1320" s="165"/>
      <c r="Y1320" s="165"/>
      <c r="Z1320" s="166"/>
      <c r="AA1320" s="166"/>
      <c r="AB1320" s="166"/>
      <c r="AC1320" s="166"/>
      <c r="AD1320" s="166"/>
      <c r="AE1320" s="166"/>
      <c r="AF1320" s="166"/>
      <c r="AG1320" s="166"/>
      <c r="AH1320" s="166"/>
    </row>
    <row r="1321" spans="1:34" ht="15.750000" customHeight="1">
      <c r="B1321" s="1"/>
      <c r="H1321" s="169"/>
      <c r="I1321" s="65"/>
      <c r="J1321" s="65"/>
      <c r="K1321" s="65"/>
      <c r="L1321" s="65"/>
      <c r="O1321" s="164"/>
      <c r="P1321" s="13"/>
      <c r="Q1321" s="13"/>
      <c r="R1321" s="13"/>
      <c r="S1321" s="65"/>
      <c r="T1321" s="13"/>
      <c r="U1321" s="13"/>
      <c r="V1321" s="165"/>
      <c r="W1321" s="165"/>
      <c r="X1321" s="165"/>
      <c r="Y1321" s="165"/>
      <c r="Z1321" s="166"/>
      <c r="AA1321" s="166"/>
      <c r="AB1321" s="166"/>
      <c r="AC1321" s="166"/>
      <c r="AD1321" s="166"/>
      <c r="AE1321" s="166"/>
      <c r="AF1321" s="166"/>
      <c r="AG1321" s="166"/>
      <c r="AH1321" s="166"/>
    </row>
    <row r="1322" spans="1:34" ht="15.750000" customHeight="1">
      <c r="A1322" s="156" t="s">
        <v>116</v>
      </c>
      <c r="B1322" s="88"/>
      <c r="C1322" s="177"/>
      <c r="D1322" s="177"/>
      <c r="E1322" s="158">
        <f>F1322*120%</f>
        <v>0</v>
      </c>
      <c r="F1322" s="158">
        <f>(D1322-C1322+1)*G1322</f>
        <v>0</v>
      </c>
      <c r="G1322" s="159">
        <f>M1322*40</f>
        <v>0</v>
      </c>
      <c r="H1322" s="161"/>
      <c r="I1322" s="65"/>
      <c r="J1322" s="162"/>
      <c r="K1322" s="65"/>
      <c r="L1322" s="162"/>
      <c r="M1322" s="162"/>
      <c r="N1322" s="163"/>
      <c r="O1322" s="164"/>
      <c r="P1322" s="13"/>
      <c r="Q1322" s="13"/>
      <c r="R1322" s="13"/>
      <c r="S1322" s="65"/>
      <c r="T1322" s="13"/>
      <c r="U1322" s="13"/>
      <c r="V1322" s="165"/>
      <c r="W1322" s="165"/>
      <c r="X1322" s="165"/>
      <c r="Y1322" s="165"/>
      <c r="Z1322" s="166"/>
      <c r="AA1322" s="166"/>
      <c r="AB1322" s="166"/>
      <c r="AC1322" s="166"/>
      <c r="AD1322" s="166"/>
      <c r="AE1322" s="166"/>
      <c r="AF1322" s="166"/>
      <c r="AG1322" s="166"/>
      <c r="AH1322" s="166"/>
    </row>
    <row r="1323" spans="1:34" ht="15.750000" customHeight="1">
      <c r="B1323" s="1"/>
      <c r="H1323" s="65"/>
      <c r="I1323" s="65"/>
      <c r="J1323" s="65"/>
      <c r="K1323" s="65"/>
      <c r="L1323" s="65"/>
      <c r="O1323" s="164"/>
      <c r="P1323" s="13"/>
      <c r="Q1323" s="13"/>
      <c r="R1323" s="13"/>
      <c r="S1323" s="65"/>
      <c r="T1323" s="13"/>
      <c r="U1323" s="13"/>
      <c r="V1323" s="165"/>
      <c r="W1323" s="165"/>
      <c r="X1323" s="165"/>
      <c r="Y1323" s="165"/>
      <c r="Z1323" s="166"/>
      <c r="AA1323" s="166"/>
      <c r="AB1323" s="166"/>
      <c r="AC1323" s="166"/>
      <c r="AD1323" s="166"/>
      <c r="AE1323" s="166"/>
      <c r="AF1323" s="166"/>
      <c r="AG1323" s="166"/>
      <c r="AH1323" s="166"/>
    </row>
    <row r="1324" spans="1:34" ht="15.750000" customHeight="1">
      <c r="B1324" s="1"/>
      <c r="H1324" s="65"/>
      <c r="I1324" s="65"/>
      <c r="J1324" s="65"/>
      <c r="K1324" s="65"/>
      <c r="L1324" s="65"/>
      <c r="O1324" s="164"/>
      <c r="P1324" s="13"/>
      <c r="Q1324" s="13"/>
      <c r="R1324" s="13"/>
      <c r="S1324" s="65"/>
      <c r="T1324" s="13"/>
      <c r="U1324" s="13"/>
      <c r="V1324" s="165"/>
      <c r="W1324" s="165"/>
      <c r="X1324" s="165"/>
      <c r="Y1324" s="165"/>
      <c r="Z1324" s="166"/>
      <c r="AA1324" s="166"/>
      <c r="AB1324" s="166"/>
      <c r="AC1324" s="166"/>
      <c r="AD1324" s="166"/>
      <c r="AE1324" s="166"/>
      <c r="AF1324" s="166"/>
      <c r="AG1324" s="166"/>
      <c r="AH1324" s="166"/>
    </row>
    <row r="1325" spans="1:34" ht="15.750000" customHeight="1">
      <c r="B1325" s="1"/>
      <c r="H1325" s="65"/>
      <c r="I1325" s="65"/>
      <c r="J1325" s="65"/>
      <c r="K1325" s="65"/>
      <c r="L1325" s="65"/>
      <c r="O1325" s="164"/>
      <c r="P1325" s="13"/>
      <c r="Q1325" s="13"/>
      <c r="R1325" s="13"/>
      <c r="S1325" s="65"/>
      <c r="T1325" s="13"/>
      <c r="U1325" s="13"/>
      <c r="V1325" s="165"/>
      <c r="W1325" s="165"/>
      <c r="X1325" s="165"/>
      <c r="Y1325" s="165"/>
      <c r="Z1325" s="166"/>
      <c r="AA1325" s="166"/>
      <c r="AB1325" s="166"/>
      <c r="AC1325" s="166"/>
      <c r="AD1325" s="166"/>
      <c r="AE1325" s="166"/>
      <c r="AF1325" s="166"/>
      <c r="AG1325" s="166"/>
      <c r="AH1325" s="166"/>
    </row>
    <row r="1326" spans="1:34" ht="15.750000" customHeight="1">
      <c r="B1326" s="1"/>
      <c r="H1326" s="169"/>
      <c r="I1326" s="65"/>
      <c r="J1326" s="65"/>
      <c r="K1326" s="65"/>
      <c r="L1326" s="65"/>
      <c r="O1326" s="164"/>
      <c r="P1326" s="13"/>
      <c r="Q1326" s="13"/>
      <c r="R1326" s="13"/>
      <c r="S1326" s="65"/>
      <c r="T1326" s="13"/>
      <c r="U1326" s="13"/>
      <c r="V1326" s="165"/>
      <c r="W1326" s="165"/>
      <c r="X1326" s="165"/>
      <c r="Y1326" s="165"/>
      <c r="Z1326" s="166"/>
      <c r="AA1326" s="166"/>
      <c r="AB1326" s="166"/>
      <c r="AC1326" s="166"/>
      <c r="AD1326" s="166"/>
      <c r="AE1326" s="166"/>
      <c r="AF1326" s="166"/>
      <c r="AG1326" s="166"/>
      <c r="AH1326" s="166"/>
    </row>
    <row r="1327" spans="1:34" ht="15.750000" customHeight="1">
      <c r="A1327" s="156" t="s">
        <v>116</v>
      </c>
      <c r="B1327" s="88"/>
      <c r="C1327" s="177"/>
      <c r="D1327" s="177"/>
      <c r="E1327" s="158">
        <f>F1327*120%</f>
        <v>0</v>
      </c>
      <c r="F1327" s="158">
        <f>(D1327-C1327+1)*G1327</f>
        <v>0</v>
      </c>
      <c r="G1327" s="159">
        <f>M1327*40</f>
        <v>0</v>
      </c>
      <c r="H1327" s="161"/>
      <c r="I1327" s="65"/>
      <c r="J1327" s="162"/>
      <c r="K1327" s="65"/>
      <c r="L1327" s="162"/>
      <c r="M1327" s="162"/>
      <c r="N1327" s="163"/>
      <c r="O1327" s="164"/>
      <c r="P1327" s="13"/>
      <c r="Q1327" s="13"/>
      <c r="R1327" s="13"/>
      <c r="S1327" s="65"/>
      <c r="T1327" s="13"/>
      <c r="U1327" s="13"/>
      <c r="V1327" s="165"/>
      <c r="W1327" s="165"/>
      <c r="X1327" s="165"/>
      <c r="Y1327" s="165"/>
      <c r="Z1327" s="166"/>
      <c r="AA1327" s="166"/>
      <c r="AB1327" s="166"/>
      <c r="AC1327" s="166"/>
      <c r="AD1327" s="166"/>
      <c r="AE1327" s="166"/>
      <c r="AF1327" s="166"/>
      <c r="AG1327" s="166"/>
      <c r="AH1327" s="166"/>
    </row>
    <row r="1328" spans="1:34" ht="15.750000" customHeight="1">
      <c r="B1328" s="1"/>
      <c r="H1328" s="65"/>
      <c r="I1328" s="65"/>
      <c r="J1328" s="65"/>
      <c r="K1328" s="65"/>
      <c r="L1328" s="65"/>
      <c r="O1328" s="164"/>
      <c r="P1328" s="13"/>
      <c r="Q1328" s="13"/>
      <c r="R1328" s="13"/>
      <c r="S1328" s="65"/>
      <c r="T1328" s="13"/>
      <c r="U1328" s="13"/>
      <c r="V1328" s="165"/>
      <c r="W1328" s="165"/>
      <c r="X1328" s="165"/>
      <c r="Y1328" s="165"/>
      <c r="Z1328" s="166"/>
      <c r="AA1328" s="166"/>
      <c r="AB1328" s="166"/>
      <c r="AC1328" s="166"/>
      <c r="AD1328" s="166"/>
      <c r="AE1328" s="166"/>
      <c r="AF1328" s="166"/>
      <c r="AG1328" s="166"/>
      <c r="AH1328" s="166"/>
    </row>
    <row r="1329" spans="1:34" ht="15.750000" customHeight="1">
      <c r="B1329" s="1"/>
      <c r="H1329" s="65"/>
      <c r="I1329" s="65"/>
      <c r="J1329" s="65"/>
      <c r="K1329" s="65"/>
      <c r="L1329" s="65"/>
      <c r="O1329" s="164"/>
      <c r="P1329" s="13"/>
      <c r="Q1329" s="13"/>
      <c r="R1329" s="13"/>
      <c r="S1329" s="65"/>
      <c r="T1329" s="13"/>
      <c r="U1329" s="13"/>
      <c r="V1329" s="165"/>
      <c r="W1329" s="165"/>
      <c r="X1329" s="165"/>
      <c r="Y1329" s="165"/>
      <c r="Z1329" s="166"/>
      <c r="AA1329" s="166"/>
      <c r="AB1329" s="166"/>
      <c r="AC1329" s="166"/>
      <c r="AD1329" s="166"/>
      <c r="AE1329" s="166"/>
      <c r="AF1329" s="166"/>
      <c r="AG1329" s="166"/>
      <c r="AH1329" s="166"/>
    </row>
    <row r="1330" spans="1:34" ht="15.750000" customHeight="1">
      <c r="B1330" s="1"/>
      <c r="H1330" s="65"/>
      <c r="I1330" s="65"/>
      <c r="J1330" s="65"/>
      <c r="K1330" s="65"/>
      <c r="L1330" s="65"/>
      <c r="O1330" s="164"/>
      <c r="P1330" s="13"/>
      <c r="Q1330" s="13"/>
      <c r="R1330" s="13"/>
      <c r="S1330" s="65"/>
      <c r="T1330" s="13"/>
      <c r="U1330" s="13"/>
      <c r="V1330" s="165"/>
      <c r="W1330" s="165"/>
      <c r="X1330" s="165"/>
      <c r="Y1330" s="165"/>
      <c r="Z1330" s="166"/>
      <c r="AA1330" s="166"/>
      <c r="AB1330" s="166"/>
      <c r="AC1330" s="166"/>
      <c r="AD1330" s="166"/>
      <c r="AE1330" s="166"/>
      <c r="AF1330" s="166"/>
      <c r="AG1330" s="166"/>
      <c r="AH1330" s="166"/>
    </row>
    <row r="1331" spans="1:34" ht="15.750000" customHeight="1">
      <c r="B1331" s="1"/>
      <c r="H1331" s="169"/>
      <c r="I1331" s="65"/>
      <c r="J1331" s="65"/>
      <c r="K1331" s="65"/>
      <c r="L1331" s="65"/>
      <c r="O1331" s="164"/>
      <c r="P1331" s="13"/>
      <c r="Q1331" s="13"/>
      <c r="R1331" s="13"/>
      <c r="S1331" s="65"/>
      <c r="T1331" s="13"/>
      <c r="U1331" s="13"/>
      <c r="V1331" s="165"/>
      <c r="W1331" s="165"/>
      <c r="X1331" s="165"/>
      <c r="Y1331" s="165"/>
      <c r="Z1331" s="166"/>
      <c r="AA1331" s="166"/>
      <c r="AB1331" s="166"/>
      <c r="AC1331" s="166"/>
      <c r="AD1331" s="166"/>
      <c r="AE1331" s="166"/>
      <c r="AF1331" s="166"/>
      <c r="AG1331" s="166"/>
      <c r="AH1331" s="166"/>
    </row>
    <row r="1332" spans="1:34" ht="15.750000" customHeight="1">
      <c r="A1332" s="156" t="s">
        <v>116</v>
      </c>
      <c r="B1332" s="88"/>
      <c r="C1332" s="177"/>
      <c r="D1332" s="177"/>
      <c r="E1332" s="158">
        <f>F1332*120%</f>
        <v>0</v>
      </c>
      <c r="F1332" s="158">
        <f>(D1332-C1332+1)*G1332</f>
        <v>0</v>
      </c>
      <c r="G1332" s="159">
        <f>M1332*40</f>
        <v>0</v>
      </c>
      <c r="H1332" s="161"/>
      <c r="I1332" s="65"/>
      <c r="J1332" s="162"/>
      <c r="K1332" s="65"/>
      <c r="L1332" s="162"/>
      <c r="M1332" s="162"/>
      <c r="N1332" s="163"/>
      <c r="O1332" s="164"/>
      <c r="P1332" s="13"/>
      <c r="Q1332" s="13"/>
      <c r="R1332" s="13"/>
      <c r="S1332" s="65"/>
      <c r="T1332" s="13"/>
      <c r="U1332" s="13"/>
      <c r="V1332" s="165"/>
      <c r="W1332" s="165"/>
      <c r="X1332" s="165"/>
      <c r="Y1332" s="165"/>
      <c r="Z1332" s="166"/>
      <c r="AA1332" s="166"/>
      <c r="AB1332" s="166"/>
      <c r="AC1332" s="166"/>
      <c r="AD1332" s="166"/>
      <c r="AE1332" s="166"/>
      <c r="AF1332" s="166"/>
      <c r="AG1332" s="166"/>
      <c r="AH1332" s="166"/>
    </row>
    <row r="1333" spans="1:34" ht="15.750000" customHeight="1">
      <c r="B1333" s="1"/>
      <c r="H1333" s="65"/>
      <c r="I1333" s="65"/>
      <c r="J1333" s="65"/>
      <c r="K1333" s="65"/>
      <c r="L1333" s="65"/>
      <c r="O1333" s="164"/>
      <c r="P1333" s="13"/>
      <c r="Q1333" s="13"/>
      <c r="R1333" s="13"/>
      <c r="S1333" s="65"/>
      <c r="T1333" s="13"/>
      <c r="U1333" s="13"/>
      <c r="V1333" s="165"/>
      <c r="W1333" s="165"/>
      <c r="X1333" s="165"/>
      <c r="Y1333" s="165"/>
      <c r="Z1333" s="166"/>
      <c r="AA1333" s="166"/>
      <c r="AB1333" s="166"/>
      <c r="AC1333" s="166"/>
      <c r="AD1333" s="166"/>
      <c r="AE1333" s="166"/>
      <c r="AF1333" s="166"/>
      <c r="AG1333" s="166"/>
      <c r="AH1333" s="166"/>
    </row>
    <row r="1334" spans="1:34" ht="15.750000" customHeight="1">
      <c r="B1334" s="1"/>
      <c r="H1334" s="65"/>
      <c r="I1334" s="65"/>
      <c r="J1334" s="65"/>
      <c r="K1334" s="65"/>
      <c r="L1334" s="65"/>
      <c r="O1334" s="164"/>
      <c r="P1334" s="13"/>
      <c r="Q1334" s="13"/>
      <c r="R1334" s="13"/>
      <c r="S1334" s="65"/>
      <c r="T1334" s="13"/>
      <c r="U1334" s="13"/>
      <c r="V1334" s="165"/>
      <c r="W1334" s="165"/>
      <c r="X1334" s="165"/>
      <c r="Y1334" s="165"/>
      <c r="Z1334" s="166"/>
      <c r="AA1334" s="166"/>
      <c r="AB1334" s="166"/>
      <c r="AC1334" s="166"/>
      <c r="AD1334" s="166"/>
      <c r="AE1334" s="166"/>
      <c r="AF1334" s="166"/>
      <c r="AG1334" s="166"/>
      <c r="AH1334" s="166"/>
    </row>
    <row r="1335" spans="1:34" ht="15.750000" customHeight="1">
      <c r="B1335" s="1"/>
      <c r="H1335" s="65"/>
      <c r="I1335" s="65"/>
      <c r="J1335" s="65"/>
      <c r="K1335" s="65"/>
      <c r="L1335" s="65"/>
      <c r="O1335" s="164"/>
      <c r="P1335" s="13"/>
      <c r="Q1335" s="13"/>
      <c r="R1335" s="13"/>
      <c r="S1335" s="65"/>
      <c r="T1335" s="13"/>
      <c r="U1335" s="13"/>
      <c r="V1335" s="165"/>
      <c r="W1335" s="165"/>
      <c r="X1335" s="165"/>
      <c r="Y1335" s="165"/>
      <c r="Z1335" s="166"/>
      <c r="AA1335" s="166"/>
      <c r="AB1335" s="166"/>
      <c r="AC1335" s="166"/>
      <c r="AD1335" s="166"/>
      <c r="AE1335" s="166"/>
      <c r="AF1335" s="166"/>
      <c r="AG1335" s="166"/>
      <c r="AH1335" s="166"/>
    </row>
    <row r="1336" spans="1:34" ht="15.750000" customHeight="1">
      <c r="B1336" s="1"/>
      <c r="H1336" s="169"/>
      <c r="I1336" s="65"/>
      <c r="J1336" s="65"/>
      <c r="K1336" s="65"/>
      <c r="L1336" s="65"/>
      <c r="O1336" s="164"/>
      <c r="P1336" s="13"/>
      <c r="Q1336" s="13"/>
      <c r="R1336" s="13"/>
      <c r="S1336" s="65"/>
      <c r="T1336" s="13"/>
      <c r="U1336" s="13"/>
      <c r="V1336" s="165"/>
      <c r="W1336" s="165"/>
      <c r="X1336" s="165"/>
      <c r="Y1336" s="165"/>
      <c r="Z1336" s="166"/>
      <c r="AA1336" s="166"/>
      <c r="AB1336" s="166"/>
      <c r="AC1336" s="166"/>
      <c r="AD1336" s="166"/>
      <c r="AE1336" s="166"/>
      <c r="AF1336" s="166"/>
      <c r="AG1336" s="166"/>
      <c r="AH1336" s="166"/>
    </row>
    <row r="1337" spans="1:34" ht="15.750000" customHeight="1">
      <c r="A1337" s="156" t="s">
        <v>116</v>
      </c>
      <c r="B1337" s="88"/>
      <c r="C1337" s="177"/>
      <c r="D1337" s="177"/>
      <c r="E1337" s="158">
        <f>F1337*120%</f>
        <v>0</v>
      </c>
      <c r="F1337" s="158">
        <f>(D1337-C1337+1)*G1337</f>
        <v>0</v>
      </c>
      <c r="G1337" s="159">
        <f>M1337*40</f>
        <v>0</v>
      </c>
      <c r="H1337" s="161"/>
      <c r="I1337" s="65"/>
      <c r="J1337" s="162"/>
      <c r="K1337" s="65"/>
      <c r="L1337" s="162"/>
      <c r="M1337" s="162"/>
      <c r="N1337" s="163"/>
      <c r="O1337" s="164"/>
      <c r="P1337" s="13"/>
      <c r="Q1337" s="13"/>
      <c r="R1337" s="13"/>
      <c r="S1337" s="65"/>
      <c r="T1337" s="13"/>
      <c r="U1337" s="13"/>
      <c r="V1337" s="165"/>
      <c r="W1337" s="165"/>
      <c r="X1337" s="165"/>
      <c r="Y1337" s="165"/>
      <c r="Z1337" s="166"/>
      <c r="AA1337" s="166"/>
      <c r="AB1337" s="166"/>
      <c r="AC1337" s="166"/>
      <c r="AD1337" s="166"/>
      <c r="AE1337" s="166"/>
      <c r="AF1337" s="166"/>
      <c r="AG1337" s="166"/>
      <c r="AH1337" s="166"/>
    </row>
    <row r="1338" spans="1:34" ht="15.750000" customHeight="1">
      <c r="B1338" s="1"/>
      <c r="H1338" s="65"/>
      <c r="I1338" s="65"/>
      <c r="J1338" s="65"/>
      <c r="K1338" s="65"/>
      <c r="L1338" s="65"/>
      <c r="O1338" s="164"/>
      <c r="P1338" s="13"/>
      <c r="Q1338" s="13"/>
      <c r="R1338" s="13"/>
      <c r="S1338" s="65"/>
      <c r="T1338" s="13"/>
      <c r="U1338" s="13"/>
      <c r="V1338" s="165"/>
      <c r="W1338" s="165"/>
      <c r="X1338" s="165"/>
      <c r="Y1338" s="165"/>
      <c r="Z1338" s="166"/>
      <c r="AA1338" s="166"/>
      <c r="AB1338" s="166"/>
      <c r="AC1338" s="166"/>
      <c r="AD1338" s="166"/>
      <c r="AE1338" s="166"/>
      <c r="AF1338" s="166"/>
      <c r="AG1338" s="166"/>
      <c r="AH1338" s="166"/>
    </row>
    <row r="1339" spans="1:34" ht="15.750000" customHeight="1">
      <c r="B1339" s="1"/>
      <c r="H1339" s="65"/>
      <c r="I1339" s="65"/>
      <c r="J1339" s="65"/>
      <c r="K1339" s="65"/>
      <c r="L1339" s="65"/>
      <c r="O1339" s="164"/>
      <c r="P1339" s="13"/>
      <c r="Q1339" s="13"/>
      <c r="R1339" s="13"/>
      <c r="S1339" s="65"/>
      <c r="T1339" s="13"/>
      <c r="U1339" s="13"/>
      <c r="V1339" s="165"/>
      <c r="W1339" s="165"/>
      <c r="X1339" s="165"/>
      <c r="Y1339" s="165"/>
      <c r="Z1339" s="166"/>
      <c r="AA1339" s="166"/>
      <c r="AB1339" s="166"/>
      <c r="AC1339" s="166"/>
      <c r="AD1339" s="166"/>
      <c r="AE1339" s="166"/>
      <c r="AF1339" s="166"/>
      <c r="AG1339" s="166"/>
      <c r="AH1339" s="166"/>
    </row>
    <row r="1340" spans="1:34" ht="15.750000" customHeight="1">
      <c r="B1340" s="1"/>
      <c r="H1340" s="65"/>
      <c r="I1340" s="65"/>
      <c r="J1340" s="65"/>
      <c r="K1340" s="65"/>
      <c r="L1340" s="65"/>
      <c r="O1340" s="164"/>
      <c r="P1340" s="13"/>
      <c r="Q1340" s="13"/>
      <c r="R1340" s="13"/>
      <c r="S1340" s="65"/>
      <c r="T1340" s="13"/>
      <c r="U1340" s="13"/>
      <c r="V1340" s="165"/>
      <c r="W1340" s="165"/>
      <c r="X1340" s="165"/>
      <c r="Y1340" s="165"/>
      <c r="Z1340" s="166"/>
      <c r="AA1340" s="166"/>
      <c r="AB1340" s="166"/>
      <c r="AC1340" s="166"/>
      <c r="AD1340" s="166"/>
      <c r="AE1340" s="166"/>
      <c r="AF1340" s="166"/>
      <c r="AG1340" s="166"/>
      <c r="AH1340" s="166"/>
    </row>
    <row r="1341" spans="1:34" ht="15.750000" customHeight="1">
      <c r="B1341" s="1"/>
      <c r="H1341" s="169"/>
      <c r="I1341" s="65"/>
      <c r="J1341" s="65"/>
      <c r="K1341" s="65"/>
      <c r="L1341" s="65"/>
      <c r="O1341" s="164"/>
      <c r="P1341" s="13"/>
      <c r="Q1341" s="13"/>
      <c r="R1341" s="13"/>
      <c r="S1341" s="65"/>
      <c r="T1341" s="13"/>
      <c r="U1341" s="13"/>
      <c r="V1341" s="165"/>
      <c r="W1341" s="165"/>
      <c r="X1341" s="165"/>
      <c r="Y1341" s="165"/>
      <c r="Z1341" s="166"/>
      <c r="AA1341" s="166"/>
      <c r="AB1341" s="166"/>
      <c r="AC1341" s="166"/>
      <c r="AD1341" s="166"/>
      <c r="AE1341" s="166"/>
      <c r="AF1341" s="166"/>
      <c r="AG1341" s="166"/>
      <c r="AH1341" s="166"/>
    </row>
    <row r="1342" spans="1:34" ht="15.750000" customHeight="1">
      <c r="A1342" s="156" t="s">
        <v>116</v>
      </c>
      <c r="B1342" s="88"/>
      <c r="C1342" s="204"/>
      <c r="D1342" s="204"/>
      <c r="E1342" s="158">
        <f>F1342*120%</f>
        <v>0</v>
      </c>
      <c r="F1342" s="158">
        <f>(D1342-C1342+1)*G1342</f>
        <v>0</v>
      </c>
      <c r="G1342" s="159">
        <f>M1342*40</f>
        <v>0</v>
      </c>
      <c r="H1342" s="161"/>
      <c r="I1342" s="65"/>
      <c r="J1342" s="162"/>
      <c r="K1342" s="65"/>
      <c r="L1342" s="162"/>
      <c r="M1342" s="162"/>
      <c r="N1342" s="163"/>
      <c r="O1342" s="164"/>
      <c r="P1342" s="13"/>
      <c r="Q1342" s="13"/>
      <c r="R1342" s="13"/>
      <c r="S1342" s="65"/>
      <c r="T1342" s="13"/>
      <c r="U1342" s="13"/>
      <c r="V1342" s="165"/>
      <c r="W1342" s="165"/>
      <c r="X1342" s="165"/>
      <c r="Y1342" s="165"/>
      <c r="Z1342" s="166"/>
      <c r="AA1342" s="166"/>
      <c r="AB1342" s="166"/>
      <c r="AC1342" s="166"/>
      <c r="AD1342" s="166"/>
      <c r="AE1342" s="166"/>
      <c r="AF1342" s="166"/>
      <c r="AG1342" s="166"/>
      <c r="AH1342" s="166"/>
    </row>
    <row r="1343" spans="1:34" ht="15.750000" customHeight="1">
      <c r="B1343" s="1"/>
      <c r="H1343" s="65"/>
      <c r="I1343" s="65"/>
      <c r="J1343" s="65"/>
      <c r="K1343" s="65"/>
      <c r="L1343" s="65"/>
      <c r="O1343" s="164"/>
      <c r="P1343" s="13"/>
      <c r="Q1343" s="13"/>
      <c r="R1343" s="13"/>
      <c r="S1343" s="65"/>
      <c r="T1343" s="13"/>
      <c r="U1343" s="13"/>
      <c r="V1343" s="165"/>
      <c r="W1343" s="165"/>
      <c r="X1343" s="165"/>
      <c r="Y1343" s="165"/>
      <c r="Z1343" s="166"/>
      <c r="AA1343" s="166"/>
      <c r="AB1343" s="166"/>
      <c r="AC1343" s="166"/>
      <c r="AD1343" s="166"/>
      <c r="AE1343" s="166"/>
      <c r="AF1343" s="166"/>
      <c r="AG1343" s="166"/>
      <c r="AH1343" s="166"/>
    </row>
    <row r="1344" spans="1:34" ht="15.750000" customHeight="1">
      <c r="B1344" s="1"/>
      <c r="H1344" s="65"/>
      <c r="I1344" s="65"/>
      <c r="J1344" s="65"/>
      <c r="K1344" s="65"/>
      <c r="L1344" s="65"/>
      <c r="O1344" s="164"/>
      <c r="P1344" s="13"/>
      <c r="Q1344" s="13"/>
      <c r="R1344" s="13"/>
      <c r="S1344" s="65"/>
      <c r="T1344" s="13"/>
      <c r="U1344" s="13"/>
      <c r="V1344" s="165"/>
      <c r="W1344" s="165"/>
      <c r="X1344" s="165"/>
      <c r="Y1344" s="165"/>
      <c r="Z1344" s="166"/>
      <c r="AA1344" s="166"/>
      <c r="AB1344" s="166"/>
      <c r="AC1344" s="166"/>
      <c r="AD1344" s="166"/>
      <c r="AE1344" s="166"/>
      <c r="AF1344" s="166"/>
      <c r="AG1344" s="166"/>
      <c r="AH1344" s="166"/>
    </row>
    <row r="1345" spans="1:34" ht="15.750000" customHeight="1">
      <c r="B1345" s="1"/>
      <c r="H1345" s="65"/>
      <c r="I1345" s="65"/>
      <c r="J1345" s="65"/>
      <c r="K1345" s="65"/>
      <c r="L1345" s="65"/>
      <c r="O1345" s="164"/>
      <c r="P1345" s="13"/>
      <c r="Q1345" s="13"/>
      <c r="R1345" s="13"/>
      <c r="S1345" s="65"/>
      <c r="T1345" s="13"/>
      <c r="U1345" s="13"/>
      <c r="V1345" s="165"/>
      <c r="W1345" s="165"/>
      <c r="X1345" s="165"/>
      <c r="Y1345" s="165"/>
      <c r="Z1345" s="166"/>
      <c r="AA1345" s="166"/>
      <c r="AB1345" s="166"/>
      <c r="AC1345" s="166"/>
      <c r="AD1345" s="166"/>
      <c r="AE1345" s="166"/>
      <c r="AF1345" s="166"/>
      <c r="AG1345" s="166"/>
      <c r="AH1345" s="166"/>
    </row>
    <row r="1346" spans="1:34" ht="15.750000" customHeight="1">
      <c r="B1346" s="1"/>
      <c r="H1346" s="169"/>
      <c r="I1346" s="65"/>
      <c r="J1346" s="65"/>
      <c r="K1346" s="65"/>
      <c r="L1346" s="65"/>
      <c r="O1346" s="164"/>
      <c r="P1346" s="13"/>
      <c r="Q1346" s="13"/>
      <c r="R1346" s="13"/>
      <c r="S1346" s="65"/>
      <c r="T1346" s="13"/>
      <c r="U1346" s="13"/>
      <c r="V1346" s="165"/>
      <c r="W1346" s="165"/>
      <c r="X1346" s="165"/>
      <c r="Y1346" s="165"/>
      <c r="Z1346" s="166"/>
      <c r="AA1346" s="166"/>
      <c r="AB1346" s="166"/>
      <c r="AC1346" s="166"/>
      <c r="AD1346" s="166"/>
      <c r="AE1346" s="166"/>
      <c r="AF1346" s="166"/>
      <c r="AG1346" s="166"/>
      <c r="AH1346" s="166"/>
    </row>
    <row r="1347" spans="1:34" ht="15.750000" customHeight="1">
      <c r="A1347" s="156" t="s">
        <v>116</v>
      </c>
      <c r="B1347" s="88"/>
      <c r="C1347" s="177"/>
      <c r="D1347" s="177"/>
      <c r="E1347" s="158">
        <f>F1347*120%</f>
        <v>0</v>
      </c>
      <c r="F1347" s="158">
        <f>(D1347-C1347+1)*G1347</f>
        <v>0</v>
      </c>
      <c r="G1347" s="159">
        <f>M1347*40</f>
        <v>0</v>
      </c>
      <c r="H1347" s="161"/>
      <c r="I1347" s="65"/>
      <c r="J1347" s="162"/>
      <c r="K1347" s="65"/>
      <c r="L1347" s="162"/>
      <c r="M1347" s="162"/>
      <c r="N1347" s="163"/>
      <c r="O1347" s="164"/>
      <c r="P1347" s="13"/>
      <c r="Q1347" s="13"/>
      <c r="R1347" s="13"/>
      <c r="S1347" s="65"/>
      <c r="T1347" s="13"/>
      <c r="U1347" s="13"/>
      <c r="V1347" s="165"/>
      <c r="W1347" s="165"/>
      <c r="X1347" s="165"/>
      <c r="Y1347" s="165"/>
      <c r="Z1347" s="166"/>
      <c r="AA1347" s="166"/>
      <c r="AB1347" s="166"/>
      <c r="AC1347" s="166"/>
      <c r="AD1347" s="166"/>
      <c r="AE1347" s="166"/>
      <c r="AF1347" s="166"/>
      <c r="AG1347" s="166"/>
      <c r="AH1347" s="166"/>
    </row>
    <row r="1348" spans="1:34" ht="15.750000" customHeight="1">
      <c r="B1348" s="1"/>
      <c r="H1348" s="65"/>
      <c r="I1348" s="65"/>
      <c r="J1348" s="65"/>
      <c r="K1348" s="65"/>
      <c r="L1348" s="65"/>
      <c r="O1348" s="164"/>
      <c r="P1348" s="13"/>
      <c r="Q1348" s="13"/>
      <c r="R1348" s="13"/>
      <c r="S1348" s="65"/>
      <c r="T1348" s="13"/>
      <c r="U1348" s="13"/>
      <c r="V1348" s="165"/>
      <c r="W1348" s="165"/>
      <c r="X1348" s="165"/>
      <c r="Y1348" s="165"/>
      <c r="Z1348" s="166"/>
      <c r="AA1348" s="166"/>
      <c r="AB1348" s="166"/>
      <c r="AC1348" s="166"/>
      <c r="AD1348" s="166"/>
      <c r="AE1348" s="166"/>
      <c r="AF1348" s="166"/>
      <c r="AG1348" s="166"/>
      <c r="AH1348" s="166"/>
    </row>
    <row r="1349" spans="1:34" ht="15.750000" customHeight="1">
      <c r="B1349" s="1"/>
      <c r="H1349" s="65"/>
      <c r="I1349" s="65"/>
      <c r="J1349" s="65"/>
      <c r="K1349" s="65"/>
      <c r="L1349" s="65"/>
      <c r="O1349" s="164"/>
      <c r="P1349" s="13"/>
      <c r="Q1349" s="13"/>
      <c r="R1349" s="13"/>
      <c r="S1349" s="65"/>
      <c r="T1349" s="13"/>
      <c r="U1349" s="13"/>
      <c r="V1349" s="165"/>
      <c r="W1349" s="165"/>
      <c r="X1349" s="165"/>
      <c r="Y1349" s="165"/>
      <c r="Z1349" s="166"/>
      <c r="AA1349" s="166"/>
      <c r="AB1349" s="166"/>
      <c r="AC1349" s="166"/>
      <c r="AD1349" s="166"/>
      <c r="AE1349" s="166"/>
      <c r="AF1349" s="166"/>
      <c r="AG1349" s="166"/>
      <c r="AH1349" s="166"/>
    </row>
    <row r="1350" spans="1:34" ht="15.750000" customHeight="1">
      <c r="B1350" s="1"/>
      <c r="H1350" s="65"/>
      <c r="I1350" s="65"/>
      <c r="J1350" s="65"/>
      <c r="K1350" s="65"/>
      <c r="L1350" s="65"/>
      <c r="O1350" s="164"/>
      <c r="P1350" s="13"/>
      <c r="Q1350" s="13"/>
      <c r="R1350" s="13"/>
      <c r="S1350" s="65"/>
      <c r="T1350" s="13"/>
      <c r="U1350" s="13"/>
      <c r="V1350" s="165"/>
      <c r="W1350" s="165"/>
      <c r="X1350" s="165"/>
      <c r="Y1350" s="165"/>
      <c r="Z1350" s="166"/>
      <c r="AA1350" s="166"/>
      <c r="AB1350" s="166"/>
      <c r="AC1350" s="166"/>
      <c r="AD1350" s="166"/>
      <c r="AE1350" s="166"/>
      <c r="AF1350" s="166"/>
      <c r="AG1350" s="166"/>
      <c r="AH1350" s="166"/>
    </row>
    <row r="1351" spans="1:34" ht="15.750000" customHeight="1">
      <c r="B1351" s="1"/>
      <c r="H1351" s="169"/>
      <c r="I1351" s="65"/>
      <c r="J1351" s="65"/>
      <c r="K1351" s="65"/>
      <c r="L1351" s="65"/>
      <c r="O1351" s="164"/>
      <c r="P1351" s="13"/>
      <c r="Q1351" s="13"/>
      <c r="R1351" s="13"/>
      <c r="S1351" s="65"/>
      <c r="T1351" s="13"/>
      <c r="U1351" s="13"/>
      <c r="V1351" s="165"/>
      <c r="W1351" s="165"/>
      <c r="X1351" s="165"/>
      <c r="Y1351" s="165"/>
      <c r="Z1351" s="166"/>
      <c r="AA1351" s="166"/>
      <c r="AB1351" s="166"/>
      <c r="AC1351" s="166"/>
      <c r="AD1351" s="166"/>
      <c r="AE1351" s="166"/>
      <c r="AF1351" s="166"/>
      <c r="AG1351" s="166"/>
      <c r="AH1351" s="166"/>
    </row>
    <row r="1352" spans="1:34" ht="15.750000" customHeight="1">
      <c r="A1352" s="156" t="s">
        <v>116</v>
      </c>
      <c r="B1352" s="88"/>
      <c r="C1352" s="204"/>
      <c r="D1352" s="204"/>
      <c r="E1352" s="158">
        <f>F1352*120%</f>
        <v>0</v>
      </c>
      <c r="F1352" s="158">
        <f>(D1352-C1352+1)*G1352</f>
        <v>0</v>
      </c>
      <c r="G1352" s="159">
        <f>M1352*40</f>
        <v>0</v>
      </c>
      <c r="H1352" s="161"/>
      <c r="I1352" s="65"/>
      <c r="J1352" s="162"/>
      <c r="K1352" s="65"/>
      <c r="L1352" s="162"/>
      <c r="M1352" s="162"/>
      <c r="N1352" s="163"/>
      <c r="O1352" s="164"/>
      <c r="P1352" s="13"/>
      <c r="Q1352" s="13"/>
      <c r="R1352" s="13"/>
      <c r="S1352" s="65"/>
      <c r="T1352" s="13"/>
      <c r="U1352" s="13"/>
      <c r="V1352" s="165"/>
      <c r="W1352" s="165"/>
      <c r="X1352" s="165"/>
      <c r="Y1352" s="165"/>
      <c r="Z1352" s="166"/>
      <c r="AA1352" s="166"/>
      <c r="AB1352" s="166"/>
      <c r="AC1352" s="166"/>
      <c r="AD1352" s="166"/>
      <c r="AE1352" s="166"/>
      <c r="AF1352" s="166"/>
      <c r="AG1352" s="166"/>
      <c r="AH1352" s="166"/>
    </row>
    <row r="1353" spans="1:34" ht="15.750000" customHeight="1">
      <c r="B1353" s="1"/>
      <c r="H1353" s="65"/>
      <c r="I1353" s="65"/>
      <c r="J1353" s="65"/>
      <c r="K1353" s="65"/>
      <c r="L1353" s="65"/>
      <c r="O1353" s="164"/>
      <c r="P1353" s="13"/>
      <c r="Q1353" s="13"/>
      <c r="R1353" s="13"/>
      <c r="S1353" s="65"/>
      <c r="T1353" s="13"/>
      <c r="U1353" s="13"/>
      <c r="V1353" s="165"/>
      <c r="W1353" s="165"/>
      <c r="X1353" s="165"/>
      <c r="Y1353" s="165"/>
      <c r="Z1353" s="166"/>
      <c r="AA1353" s="166"/>
      <c r="AB1353" s="166"/>
      <c r="AC1353" s="166"/>
      <c r="AD1353" s="166"/>
      <c r="AE1353" s="166"/>
      <c r="AF1353" s="166"/>
      <c r="AG1353" s="166"/>
      <c r="AH1353" s="166"/>
    </row>
    <row r="1354" spans="1:34" ht="15.750000" customHeight="1">
      <c r="B1354" s="1"/>
      <c r="H1354" s="65"/>
      <c r="I1354" s="65"/>
      <c r="J1354" s="65"/>
      <c r="K1354" s="65"/>
      <c r="L1354" s="65"/>
      <c r="O1354" s="164"/>
      <c r="P1354" s="13"/>
      <c r="Q1354" s="13"/>
      <c r="R1354" s="13"/>
      <c r="S1354" s="65"/>
      <c r="T1354" s="13"/>
      <c r="U1354" s="13"/>
      <c r="V1354" s="165"/>
      <c r="W1354" s="165"/>
      <c r="X1354" s="165"/>
      <c r="Y1354" s="165"/>
      <c r="Z1354" s="166"/>
      <c r="AA1354" s="166"/>
      <c r="AB1354" s="166"/>
      <c r="AC1354" s="166"/>
      <c r="AD1354" s="166"/>
      <c r="AE1354" s="166"/>
      <c r="AF1354" s="166"/>
      <c r="AG1354" s="166"/>
      <c r="AH1354" s="166"/>
    </row>
    <row r="1355" spans="1:34" ht="15.750000" customHeight="1">
      <c r="B1355" s="1"/>
      <c r="H1355" s="65"/>
      <c r="I1355" s="65"/>
      <c r="J1355" s="65"/>
      <c r="K1355" s="65"/>
      <c r="L1355" s="65"/>
      <c r="O1355" s="164"/>
      <c r="P1355" s="13"/>
      <c r="Q1355" s="13"/>
      <c r="R1355" s="13"/>
      <c r="S1355" s="65"/>
      <c r="T1355" s="13"/>
      <c r="U1355" s="13"/>
      <c r="V1355" s="165"/>
      <c r="W1355" s="165"/>
      <c r="X1355" s="165"/>
      <c r="Y1355" s="165"/>
      <c r="Z1355" s="166"/>
      <c r="AA1355" s="166"/>
      <c r="AB1355" s="166"/>
      <c r="AC1355" s="166"/>
      <c r="AD1355" s="166"/>
      <c r="AE1355" s="166"/>
      <c r="AF1355" s="166"/>
      <c r="AG1355" s="166"/>
      <c r="AH1355" s="166"/>
    </row>
    <row r="1356" spans="1:34" ht="15.750000" customHeight="1">
      <c r="B1356" s="1"/>
      <c r="H1356" s="169"/>
      <c r="I1356" s="65"/>
      <c r="J1356" s="65"/>
      <c r="K1356" s="65"/>
      <c r="L1356" s="65"/>
      <c r="O1356" s="164"/>
      <c r="P1356" s="13"/>
      <c r="Q1356" s="13"/>
      <c r="R1356" s="13"/>
      <c r="S1356" s="65"/>
      <c r="T1356" s="13"/>
      <c r="U1356" s="13"/>
      <c r="V1356" s="165"/>
      <c r="W1356" s="165"/>
      <c r="X1356" s="165"/>
      <c r="Y1356" s="165"/>
      <c r="Z1356" s="166"/>
      <c r="AA1356" s="166"/>
      <c r="AB1356" s="166"/>
      <c r="AC1356" s="166"/>
      <c r="AD1356" s="166"/>
      <c r="AE1356" s="166"/>
      <c r="AF1356" s="166"/>
      <c r="AG1356" s="166"/>
      <c r="AH1356" s="166"/>
    </row>
    <row r="1357" spans="1:34" ht="15.750000" customHeight="1">
      <c r="A1357" s="156" t="s">
        <v>116</v>
      </c>
      <c r="B1357" s="88"/>
      <c r="C1357" s="177"/>
      <c r="D1357" s="177"/>
      <c r="E1357" s="158">
        <f>F1357*120%</f>
        <v>0</v>
      </c>
      <c r="F1357" s="158">
        <f>(D1357-C1357+1)*G1357</f>
        <v>0</v>
      </c>
      <c r="G1357" s="159">
        <f>M1357*40</f>
        <v>0</v>
      </c>
      <c r="H1357" s="161"/>
      <c r="I1357" s="65"/>
      <c r="J1357" s="162"/>
      <c r="K1357" s="65"/>
      <c r="L1357" s="162"/>
      <c r="M1357" s="162"/>
      <c r="N1357" s="163"/>
      <c r="O1357" s="164"/>
      <c r="P1357" s="13"/>
      <c r="Q1357" s="13"/>
      <c r="R1357" s="13"/>
      <c r="S1357" s="65"/>
      <c r="T1357" s="13"/>
      <c r="U1357" s="13"/>
      <c r="V1357" s="165"/>
      <c r="W1357" s="165"/>
      <c r="X1357" s="165"/>
      <c r="Y1357" s="165"/>
      <c r="Z1357" s="166"/>
      <c r="AA1357" s="166"/>
      <c r="AB1357" s="166"/>
      <c r="AC1357" s="166"/>
      <c r="AD1357" s="166"/>
      <c r="AE1357" s="166"/>
      <c r="AF1357" s="166"/>
      <c r="AG1357" s="166"/>
      <c r="AH1357" s="166"/>
    </row>
    <row r="1358" spans="1:34" ht="15.750000" customHeight="1">
      <c r="B1358" s="1"/>
      <c r="H1358" s="65"/>
      <c r="I1358" s="65"/>
      <c r="J1358" s="65"/>
      <c r="K1358" s="65"/>
      <c r="L1358" s="65"/>
      <c r="O1358" s="164"/>
      <c r="P1358" s="13"/>
      <c r="Q1358" s="13"/>
      <c r="R1358" s="13"/>
      <c r="S1358" s="65"/>
      <c r="T1358" s="13"/>
      <c r="U1358" s="13"/>
      <c r="V1358" s="165"/>
      <c r="W1358" s="165"/>
      <c r="X1358" s="165"/>
      <c r="Y1358" s="165"/>
      <c r="Z1358" s="166"/>
      <c r="AA1358" s="166"/>
      <c r="AB1358" s="166"/>
      <c r="AC1358" s="166"/>
      <c r="AD1358" s="166"/>
      <c r="AE1358" s="166"/>
      <c r="AF1358" s="166"/>
      <c r="AG1358" s="166"/>
      <c r="AH1358" s="166"/>
    </row>
    <row r="1359" spans="1:34" ht="15.750000" customHeight="1">
      <c r="B1359" s="1"/>
      <c r="H1359" s="65"/>
      <c r="I1359" s="65"/>
      <c r="J1359" s="65"/>
      <c r="K1359" s="65"/>
      <c r="L1359" s="65"/>
      <c r="O1359" s="164"/>
      <c r="P1359" s="13"/>
      <c r="Q1359" s="13"/>
      <c r="R1359" s="13"/>
      <c r="S1359" s="65"/>
      <c r="T1359" s="13"/>
      <c r="U1359" s="13"/>
      <c r="V1359" s="165"/>
      <c r="W1359" s="165"/>
      <c r="X1359" s="165"/>
      <c r="Y1359" s="165"/>
      <c r="Z1359" s="166"/>
      <c r="AA1359" s="166"/>
      <c r="AB1359" s="166"/>
      <c r="AC1359" s="166"/>
      <c r="AD1359" s="166"/>
      <c r="AE1359" s="166"/>
      <c r="AF1359" s="166"/>
      <c r="AG1359" s="166"/>
      <c r="AH1359" s="166"/>
    </row>
    <row r="1360" spans="1:34" ht="15.750000" customHeight="1">
      <c r="B1360" s="1"/>
      <c r="H1360" s="65"/>
      <c r="I1360" s="65"/>
      <c r="J1360" s="65"/>
      <c r="K1360" s="65"/>
      <c r="L1360" s="65"/>
      <c r="O1360" s="164"/>
      <c r="P1360" s="13"/>
      <c r="Q1360" s="13"/>
      <c r="R1360" s="13"/>
      <c r="S1360" s="65"/>
      <c r="T1360" s="13"/>
      <c r="U1360" s="13"/>
      <c r="V1360" s="165"/>
      <c r="W1360" s="165"/>
      <c r="X1360" s="165"/>
      <c r="Y1360" s="165"/>
      <c r="Z1360" s="166"/>
      <c r="AA1360" s="166"/>
      <c r="AB1360" s="166"/>
      <c r="AC1360" s="166"/>
      <c r="AD1360" s="166"/>
      <c r="AE1360" s="166"/>
      <c r="AF1360" s="166"/>
      <c r="AG1360" s="166"/>
      <c r="AH1360" s="166"/>
    </row>
    <row r="1361" spans="1:34" ht="15.750000" customHeight="1">
      <c r="B1361" s="1"/>
      <c r="H1361" s="169"/>
      <c r="I1361" s="65"/>
      <c r="J1361" s="65"/>
      <c r="K1361" s="65"/>
      <c r="L1361" s="65"/>
      <c r="O1361" s="164"/>
      <c r="P1361" s="13"/>
      <c r="Q1361" s="13"/>
      <c r="R1361" s="13"/>
      <c r="S1361" s="65"/>
      <c r="T1361" s="13"/>
      <c r="U1361" s="13"/>
      <c r="V1361" s="165"/>
      <c r="W1361" s="165"/>
      <c r="X1361" s="165"/>
      <c r="Y1361" s="165"/>
      <c r="Z1361" s="166"/>
      <c r="AA1361" s="166"/>
      <c r="AB1361" s="166"/>
      <c r="AC1361" s="166"/>
      <c r="AD1361" s="166"/>
      <c r="AE1361" s="166"/>
      <c r="AF1361" s="166"/>
      <c r="AG1361" s="166"/>
      <c r="AH1361" s="166"/>
    </row>
    <row r="1362" spans="1:34" ht="15.750000" customHeight="1">
      <c r="A1362" s="156" t="s">
        <v>116</v>
      </c>
      <c r="B1362" s="88"/>
      <c r="C1362" s="204"/>
      <c r="D1362" s="204"/>
      <c r="E1362" s="158">
        <f>F1362*120%</f>
        <v>0</v>
      </c>
      <c r="F1362" s="158">
        <f>(D1362-C1362+1)*G1362</f>
        <v>0</v>
      </c>
      <c r="G1362" s="159">
        <f>M1362*40</f>
        <v>0</v>
      </c>
      <c r="H1362" s="161"/>
      <c r="I1362" s="65"/>
      <c r="J1362" s="162"/>
      <c r="K1362" s="65"/>
      <c r="L1362" s="162"/>
      <c r="M1362" s="162"/>
      <c r="N1362" s="163"/>
      <c r="O1362" s="164"/>
      <c r="P1362" s="13"/>
      <c r="Q1362" s="13"/>
      <c r="R1362" s="13"/>
      <c r="S1362" s="65"/>
      <c r="T1362" s="13"/>
      <c r="U1362" s="13"/>
      <c r="V1362" s="165"/>
      <c r="W1362" s="165"/>
      <c r="X1362" s="165"/>
      <c r="Y1362" s="165"/>
      <c r="Z1362" s="166"/>
      <c r="AA1362" s="166"/>
      <c r="AB1362" s="166"/>
      <c r="AC1362" s="166"/>
      <c r="AD1362" s="166"/>
      <c r="AE1362" s="166"/>
      <c r="AF1362" s="166"/>
      <c r="AG1362" s="166"/>
      <c r="AH1362" s="166"/>
    </row>
    <row r="1363" spans="1:34" ht="15.750000" customHeight="1">
      <c r="B1363" s="1"/>
      <c r="H1363" s="65"/>
      <c r="I1363" s="65"/>
      <c r="J1363" s="65"/>
      <c r="K1363" s="65"/>
      <c r="L1363" s="65"/>
      <c r="O1363" s="164"/>
      <c r="P1363" s="13"/>
      <c r="Q1363" s="13"/>
      <c r="R1363" s="13"/>
      <c r="S1363" s="65"/>
      <c r="T1363" s="13"/>
      <c r="U1363" s="13"/>
      <c r="V1363" s="165"/>
      <c r="W1363" s="165"/>
      <c r="X1363" s="165"/>
      <c r="Y1363" s="165"/>
      <c r="Z1363" s="166"/>
      <c r="AA1363" s="166"/>
      <c r="AB1363" s="166"/>
      <c r="AC1363" s="166"/>
      <c r="AD1363" s="166"/>
      <c r="AE1363" s="166"/>
      <c r="AF1363" s="166"/>
      <c r="AG1363" s="166"/>
      <c r="AH1363" s="166"/>
    </row>
    <row r="1364" spans="1:34" ht="15.750000" customHeight="1">
      <c r="B1364" s="1"/>
      <c r="H1364" s="65"/>
      <c r="I1364" s="65"/>
      <c r="J1364" s="65"/>
      <c r="K1364" s="65"/>
      <c r="L1364" s="65"/>
      <c r="O1364" s="164"/>
      <c r="P1364" s="13"/>
      <c r="Q1364" s="13"/>
      <c r="R1364" s="13"/>
      <c r="S1364" s="65"/>
      <c r="T1364" s="13"/>
      <c r="U1364" s="13"/>
      <c r="V1364" s="165"/>
      <c r="W1364" s="165"/>
      <c r="X1364" s="165"/>
      <c r="Y1364" s="165"/>
      <c r="Z1364" s="166"/>
      <c r="AA1364" s="166"/>
      <c r="AB1364" s="166"/>
      <c r="AC1364" s="166"/>
      <c r="AD1364" s="166"/>
      <c r="AE1364" s="166"/>
      <c r="AF1364" s="166"/>
      <c r="AG1364" s="166"/>
      <c r="AH1364" s="166"/>
    </row>
    <row r="1365" spans="1:34" ht="15.750000" customHeight="1">
      <c r="B1365" s="1"/>
      <c r="H1365" s="65"/>
      <c r="I1365" s="65"/>
      <c r="J1365" s="65"/>
      <c r="K1365" s="65"/>
      <c r="L1365" s="65"/>
      <c r="O1365" s="164"/>
      <c r="P1365" s="13"/>
      <c r="Q1365" s="13"/>
      <c r="R1365" s="13"/>
      <c r="S1365" s="65"/>
      <c r="T1365" s="13"/>
      <c r="U1365" s="13"/>
      <c r="V1365" s="165"/>
      <c r="W1365" s="165"/>
      <c r="X1365" s="165"/>
      <c r="Y1365" s="165"/>
      <c r="Z1365" s="166"/>
      <c r="AA1365" s="166"/>
      <c r="AB1365" s="166"/>
      <c r="AC1365" s="166"/>
      <c r="AD1365" s="166"/>
      <c r="AE1365" s="166"/>
      <c r="AF1365" s="166"/>
      <c r="AG1365" s="166"/>
      <c r="AH1365" s="166"/>
    </row>
    <row r="1366" spans="1:34" ht="15.750000" customHeight="1">
      <c r="B1366" s="1"/>
      <c r="H1366" s="169"/>
      <c r="I1366" s="65"/>
      <c r="J1366" s="65"/>
      <c r="K1366" s="65"/>
      <c r="L1366" s="65"/>
      <c r="O1366" s="164"/>
      <c r="P1366" s="13"/>
      <c r="Q1366" s="13"/>
      <c r="R1366" s="13"/>
      <c r="S1366" s="65"/>
      <c r="T1366" s="13"/>
      <c r="U1366" s="13"/>
      <c r="V1366" s="165"/>
      <c r="W1366" s="165"/>
      <c r="X1366" s="165"/>
      <c r="Y1366" s="165"/>
      <c r="Z1366" s="166"/>
      <c r="AA1366" s="166"/>
      <c r="AB1366" s="166"/>
      <c r="AC1366" s="166"/>
      <c r="AD1366" s="166"/>
      <c r="AE1366" s="166"/>
      <c r="AF1366" s="166"/>
      <c r="AG1366" s="166"/>
      <c r="AH1366" s="166"/>
    </row>
    <row r="1367" spans="1:34" ht="15.750000" customHeight="1">
      <c r="A1367" s="156" t="s">
        <v>116</v>
      </c>
      <c r="B1367" s="88"/>
      <c r="C1367" s="177"/>
      <c r="D1367" s="177"/>
      <c r="E1367" s="158">
        <f>F1367*120%</f>
        <v>0</v>
      </c>
      <c r="F1367" s="158">
        <f>(D1367-C1367+1)*G1367</f>
        <v>0</v>
      </c>
      <c r="G1367" s="159">
        <f>M1367*40</f>
        <v>0</v>
      </c>
      <c r="H1367" s="161"/>
      <c r="I1367" s="65"/>
      <c r="J1367" s="162"/>
      <c r="K1367" s="65"/>
      <c r="L1367" s="162"/>
      <c r="M1367" s="162"/>
      <c r="N1367" s="163"/>
      <c r="O1367" s="164"/>
      <c r="P1367" s="13"/>
      <c r="Q1367" s="13"/>
      <c r="R1367" s="13"/>
      <c r="S1367" s="65"/>
      <c r="T1367" s="13"/>
      <c r="U1367" s="13"/>
      <c r="V1367" s="165"/>
      <c r="W1367" s="165"/>
      <c r="X1367" s="165"/>
      <c r="Y1367" s="165"/>
      <c r="Z1367" s="166"/>
      <c r="AA1367" s="166"/>
      <c r="AB1367" s="166"/>
      <c r="AC1367" s="166"/>
      <c r="AD1367" s="166"/>
      <c r="AE1367" s="166"/>
      <c r="AF1367" s="166"/>
      <c r="AG1367" s="166"/>
      <c r="AH1367" s="166"/>
    </row>
    <row r="1368" spans="1:34" ht="15.750000" customHeight="1">
      <c r="B1368" s="1"/>
      <c r="H1368" s="65"/>
      <c r="I1368" s="65"/>
      <c r="J1368" s="65"/>
      <c r="K1368" s="65"/>
      <c r="L1368" s="65"/>
      <c r="O1368" s="164"/>
      <c r="P1368" s="13"/>
      <c r="Q1368" s="13"/>
      <c r="R1368" s="13"/>
      <c r="S1368" s="65"/>
      <c r="T1368" s="13"/>
      <c r="U1368" s="13"/>
      <c r="V1368" s="165"/>
      <c r="W1368" s="165"/>
      <c r="X1368" s="165"/>
      <c r="Y1368" s="165"/>
      <c r="Z1368" s="166"/>
      <c r="AA1368" s="166"/>
      <c r="AB1368" s="166"/>
      <c r="AC1368" s="166"/>
      <c r="AD1368" s="166"/>
      <c r="AE1368" s="166"/>
      <c r="AF1368" s="166"/>
      <c r="AG1368" s="166"/>
      <c r="AH1368" s="166"/>
    </row>
    <row r="1369" spans="1:34" ht="15.750000" customHeight="1">
      <c r="B1369" s="1"/>
      <c r="H1369" s="65"/>
      <c r="I1369" s="65"/>
      <c r="J1369" s="65"/>
      <c r="K1369" s="65"/>
      <c r="L1369" s="65"/>
      <c r="O1369" s="164"/>
      <c r="P1369" s="13"/>
      <c r="Q1369" s="13"/>
      <c r="R1369" s="13"/>
      <c r="S1369" s="65"/>
      <c r="T1369" s="13"/>
      <c r="U1369" s="13"/>
      <c r="V1369" s="165"/>
      <c r="W1369" s="165"/>
      <c r="X1369" s="165"/>
      <c r="Y1369" s="165"/>
      <c r="Z1369" s="166"/>
      <c r="AA1369" s="166"/>
      <c r="AB1369" s="166"/>
      <c r="AC1369" s="166"/>
      <c r="AD1369" s="166"/>
      <c r="AE1369" s="166"/>
      <c r="AF1369" s="166"/>
      <c r="AG1369" s="166"/>
      <c r="AH1369" s="166"/>
    </row>
    <row r="1370" spans="1:34" ht="15.750000" customHeight="1">
      <c r="B1370" s="1"/>
      <c r="H1370" s="65"/>
      <c r="I1370" s="65"/>
      <c r="J1370" s="65"/>
      <c r="K1370" s="65"/>
      <c r="L1370" s="65"/>
      <c r="O1370" s="164"/>
      <c r="P1370" s="13"/>
      <c r="Q1370" s="13"/>
      <c r="R1370" s="13"/>
      <c r="S1370" s="65"/>
      <c r="T1370" s="13"/>
      <c r="U1370" s="13"/>
      <c r="V1370" s="165"/>
      <c r="W1370" s="165"/>
      <c r="X1370" s="165"/>
      <c r="Y1370" s="165"/>
      <c r="Z1370" s="166"/>
      <c r="AA1370" s="166"/>
      <c r="AB1370" s="166"/>
      <c r="AC1370" s="166"/>
      <c r="AD1370" s="166"/>
      <c r="AE1370" s="166"/>
      <c r="AF1370" s="166"/>
      <c r="AG1370" s="166"/>
      <c r="AH1370" s="166"/>
    </row>
    <row r="1371" spans="1:34" ht="15.750000" customHeight="1">
      <c r="B1371" s="1"/>
      <c r="H1371" s="169"/>
      <c r="I1371" s="65"/>
      <c r="J1371" s="65"/>
      <c r="K1371" s="65"/>
      <c r="L1371" s="65"/>
      <c r="O1371" s="164"/>
      <c r="P1371" s="13"/>
      <c r="Q1371" s="13"/>
      <c r="R1371" s="13"/>
      <c r="S1371" s="65"/>
      <c r="T1371" s="13"/>
      <c r="U1371" s="13"/>
      <c r="V1371" s="165"/>
      <c r="W1371" s="165"/>
      <c r="X1371" s="165"/>
      <c r="Y1371" s="165"/>
      <c r="Z1371" s="166"/>
      <c r="AA1371" s="166"/>
      <c r="AB1371" s="166"/>
      <c r="AC1371" s="166"/>
      <c r="AD1371" s="166"/>
      <c r="AE1371" s="166"/>
      <c r="AF1371" s="166"/>
      <c r="AG1371" s="166"/>
      <c r="AH1371" s="166"/>
    </row>
    <row r="1372" spans="1:34" ht="15.750000" customHeight="1">
      <c r="A1372" s="156" t="s">
        <v>116</v>
      </c>
      <c r="B1372" s="88"/>
      <c r="C1372" s="204"/>
      <c r="D1372" s="204"/>
      <c r="E1372" s="158">
        <f>F1372*120%</f>
        <v>0</v>
      </c>
      <c r="F1372" s="158">
        <f>(D1372-C1372+1)*G1372</f>
        <v>0</v>
      </c>
      <c r="G1372" s="159">
        <f>M1372*40</f>
        <v>0</v>
      </c>
      <c r="H1372" s="162"/>
      <c r="I1372" s="65"/>
      <c r="J1372" s="162"/>
      <c r="K1372" s="65"/>
      <c r="L1372" s="162"/>
      <c r="M1372" s="162"/>
      <c r="N1372" s="163"/>
      <c r="O1372" s="164"/>
      <c r="P1372" s="13"/>
      <c r="Q1372" s="13"/>
      <c r="R1372" s="13"/>
      <c r="S1372" s="65"/>
      <c r="T1372" s="13"/>
      <c r="U1372" s="13"/>
      <c r="V1372" s="165"/>
      <c r="W1372" s="165"/>
      <c r="X1372" s="165"/>
      <c r="Y1372" s="165"/>
      <c r="Z1372" s="166"/>
      <c r="AA1372" s="166"/>
      <c r="AB1372" s="166"/>
      <c r="AC1372" s="166"/>
      <c r="AD1372" s="166"/>
      <c r="AE1372" s="166"/>
      <c r="AF1372" s="166"/>
      <c r="AG1372" s="166"/>
      <c r="AH1372" s="166"/>
    </row>
    <row r="1373" spans="1:34" ht="15.750000" customHeight="1">
      <c r="B1373" s="1"/>
      <c r="H1373" s="65"/>
      <c r="I1373" s="65"/>
      <c r="J1373" s="65"/>
      <c r="K1373" s="65"/>
      <c r="L1373" s="65"/>
      <c r="O1373" s="164"/>
      <c r="P1373" s="13"/>
      <c r="Q1373" s="13"/>
      <c r="R1373" s="13"/>
      <c r="S1373" s="65"/>
      <c r="T1373" s="13"/>
      <c r="U1373" s="13"/>
      <c r="V1373" s="165"/>
      <c r="W1373" s="165"/>
      <c r="X1373" s="165"/>
      <c r="Y1373" s="165"/>
      <c r="Z1373" s="166"/>
      <c r="AA1373" s="166"/>
      <c r="AB1373" s="166"/>
      <c r="AC1373" s="166"/>
      <c r="AD1373" s="166"/>
      <c r="AE1373" s="166"/>
      <c r="AF1373" s="166"/>
      <c r="AG1373" s="166"/>
      <c r="AH1373" s="166"/>
    </row>
    <row r="1374" spans="1:34" ht="15.750000" customHeight="1">
      <c r="B1374" s="1"/>
      <c r="H1374" s="65"/>
      <c r="I1374" s="65"/>
      <c r="J1374" s="65"/>
      <c r="K1374" s="65"/>
      <c r="L1374" s="65"/>
      <c r="O1374" s="164"/>
      <c r="P1374" s="13"/>
      <c r="Q1374" s="13"/>
      <c r="R1374" s="13"/>
      <c r="S1374" s="65"/>
      <c r="T1374" s="13"/>
      <c r="U1374" s="13"/>
      <c r="V1374" s="165"/>
      <c r="W1374" s="165"/>
      <c r="X1374" s="165"/>
      <c r="Y1374" s="165"/>
      <c r="Z1374" s="166"/>
      <c r="AA1374" s="166"/>
      <c r="AB1374" s="166"/>
      <c r="AC1374" s="166"/>
      <c r="AD1374" s="166"/>
      <c r="AE1374" s="166"/>
      <c r="AF1374" s="166"/>
      <c r="AG1374" s="166"/>
      <c r="AH1374" s="166"/>
    </row>
    <row r="1375" spans="1:34" ht="15.750000" customHeight="1">
      <c r="B1375" s="1"/>
      <c r="H1375" s="65"/>
      <c r="I1375" s="65"/>
      <c r="J1375" s="65"/>
      <c r="K1375" s="65"/>
      <c r="L1375" s="65"/>
      <c r="O1375" s="164"/>
      <c r="P1375" s="13"/>
      <c r="Q1375" s="13"/>
      <c r="R1375" s="13"/>
      <c r="S1375" s="65"/>
      <c r="T1375" s="13"/>
      <c r="U1375" s="13"/>
      <c r="V1375" s="165"/>
      <c r="W1375" s="165"/>
      <c r="X1375" s="165"/>
      <c r="Y1375" s="165"/>
      <c r="Z1375" s="166"/>
      <c r="AA1375" s="166"/>
      <c r="AB1375" s="166"/>
      <c r="AC1375" s="166"/>
      <c r="AD1375" s="166"/>
      <c r="AE1375" s="166"/>
      <c r="AF1375" s="166"/>
      <c r="AG1375" s="166"/>
      <c r="AH1375" s="166"/>
    </row>
    <row r="1376" spans="1:34" ht="15.750000" customHeight="1">
      <c r="B1376" s="1"/>
      <c r="H1376" s="65"/>
      <c r="I1376" s="65"/>
      <c r="J1376" s="65"/>
      <c r="K1376" s="65"/>
      <c r="L1376" s="65"/>
      <c r="O1376" s="164"/>
      <c r="P1376" s="13"/>
      <c r="Q1376" s="13"/>
      <c r="R1376" s="13"/>
      <c r="S1376" s="65"/>
      <c r="T1376" s="13"/>
      <c r="U1376" s="13"/>
      <c r="V1376" s="165"/>
      <c r="W1376" s="165"/>
      <c r="X1376" s="165"/>
      <c r="Y1376" s="165"/>
      <c r="Z1376" s="166"/>
      <c r="AA1376" s="166"/>
      <c r="AB1376" s="166"/>
      <c r="AC1376" s="166"/>
      <c r="AD1376" s="166"/>
      <c r="AE1376" s="166"/>
      <c r="AF1376" s="166"/>
      <c r="AG1376" s="166"/>
      <c r="AH1376" s="166"/>
    </row>
    <row r="1377" spans="1:34" ht="15.750000" customHeight="1">
      <c r="A1377" s="156" t="s">
        <v>116</v>
      </c>
      <c r="B1377" s="88"/>
      <c r="C1377" s="177"/>
      <c r="D1377" s="177"/>
      <c r="E1377" s="158">
        <f>F1377*120%</f>
        <v>0</v>
      </c>
      <c r="F1377" s="158">
        <f>(D1377-C1377+1)*G1377</f>
        <v>0</v>
      </c>
      <c r="G1377" s="159">
        <f>M1377*40</f>
        <v>0</v>
      </c>
      <c r="H1377" s="161"/>
      <c r="I1377" s="65"/>
      <c r="J1377" s="162"/>
      <c r="K1377" s="65"/>
      <c r="L1377" s="162"/>
      <c r="M1377" s="162"/>
      <c r="N1377" s="163"/>
      <c r="O1377" s="164"/>
      <c r="P1377" s="13"/>
      <c r="Q1377" s="13"/>
      <c r="R1377" s="13"/>
      <c r="S1377" s="188"/>
      <c r="T1377" s="13"/>
      <c r="U1377" s="13"/>
      <c r="V1377" s="165"/>
      <c r="W1377" s="165"/>
      <c r="X1377" s="165"/>
      <c r="Y1377" s="165"/>
      <c r="Z1377" s="166"/>
      <c r="AA1377" s="166"/>
      <c r="AB1377" s="166"/>
      <c r="AC1377" s="166"/>
      <c r="AD1377" s="166"/>
      <c r="AE1377" s="166"/>
      <c r="AF1377" s="166"/>
      <c r="AG1377" s="166"/>
      <c r="AH1377" s="166"/>
    </row>
    <row r="1378" spans="1:34" ht="15.750000" customHeight="1">
      <c r="B1378" s="88"/>
      <c r="H1378" s="162"/>
      <c r="I1378" s="65"/>
      <c r="J1378" s="162"/>
      <c r="K1378" s="188"/>
      <c r="L1378" s="162"/>
      <c r="O1378" s="164"/>
      <c r="P1378" s="13"/>
      <c r="Q1378" s="13"/>
      <c r="R1378" s="13"/>
      <c r="S1378" s="65"/>
      <c r="T1378" s="13"/>
      <c r="U1378" s="13"/>
      <c r="V1378" s="165"/>
      <c r="W1378" s="165"/>
      <c r="X1378" s="165"/>
      <c r="Y1378" s="165"/>
      <c r="Z1378" s="166"/>
      <c r="AA1378" s="166"/>
      <c r="AB1378" s="166"/>
      <c r="AC1378" s="166"/>
      <c r="AD1378" s="166"/>
      <c r="AE1378" s="166"/>
      <c r="AF1378" s="166"/>
      <c r="AG1378" s="166"/>
      <c r="AH1378" s="166"/>
    </row>
    <row r="1379" spans="1:34" ht="15.750000" customHeight="1">
      <c r="B1379" s="88"/>
      <c r="H1379" s="162"/>
      <c r="I1379" s="65"/>
      <c r="J1379" s="162"/>
      <c r="K1379" s="65"/>
      <c r="L1379" s="162"/>
      <c r="O1379" s="164"/>
      <c r="P1379" s="13"/>
      <c r="Q1379" s="13"/>
      <c r="R1379" s="13"/>
      <c r="S1379" s="65"/>
      <c r="T1379" s="13"/>
      <c r="U1379" s="13"/>
      <c r="V1379" s="165"/>
      <c r="W1379" s="165"/>
      <c r="X1379" s="165"/>
      <c r="Y1379" s="165"/>
      <c r="Z1379" s="166"/>
      <c r="AA1379" s="166"/>
      <c r="AB1379" s="166"/>
      <c r="AC1379" s="166"/>
      <c r="AD1379" s="166"/>
      <c r="AE1379" s="166"/>
      <c r="AF1379" s="166"/>
      <c r="AG1379" s="166"/>
      <c r="AH1379" s="166"/>
    </row>
    <row r="1380" spans="1:34" ht="15.750000" customHeight="1">
      <c r="B1380" s="88"/>
      <c r="H1380" s="162"/>
      <c r="I1380" s="65"/>
      <c r="J1380" s="162"/>
      <c r="K1380" s="188"/>
      <c r="L1380" s="162"/>
      <c r="O1380" s="164"/>
      <c r="P1380" s="13"/>
      <c r="Q1380" s="13"/>
      <c r="R1380" s="13"/>
      <c r="S1380" s="65"/>
      <c r="T1380" s="13"/>
      <c r="U1380" s="13"/>
      <c r="V1380" s="165"/>
      <c r="W1380" s="165"/>
      <c r="X1380" s="165"/>
      <c r="Y1380" s="165"/>
      <c r="Z1380" s="166"/>
      <c r="AA1380" s="166"/>
      <c r="AB1380" s="166"/>
      <c r="AC1380" s="166"/>
      <c r="AD1380" s="166"/>
      <c r="AE1380" s="166"/>
      <c r="AF1380" s="166"/>
      <c r="AG1380" s="166"/>
      <c r="AH1380" s="166"/>
    </row>
    <row r="1381" spans="1:34" ht="15.750000" customHeight="1">
      <c r="B1381" s="88"/>
      <c r="H1381" s="220"/>
      <c r="I1381" s="65"/>
      <c r="J1381" s="162"/>
      <c r="K1381" s="188"/>
      <c r="L1381" s="162"/>
      <c r="O1381" s="164"/>
      <c r="P1381" s="13"/>
      <c r="Q1381" s="13"/>
      <c r="R1381" s="13"/>
      <c r="S1381" s="65"/>
      <c r="T1381" s="13"/>
      <c r="U1381" s="13"/>
      <c r="V1381" s="165"/>
      <c r="W1381" s="165"/>
      <c r="X1381" s="165"/>
      <c r="Y1381" s="165"/>
      <c r="Z1381" s="166"/>
      <c r="AA1381" s="166"/>
      <c r="AB1381" s="166"/>
      <c r="AC1381" s="166"/>
      <c r="AD1381" s="166"/>
      <c r="AE1381" s="166"/>
      <c r="AF1381" s="166"/>
      <c r="AG1381" s="166"/>
      <c r="AH1381" s="166"/>
    </row>
    <row r="1382" spans="1:34" ht="15.750000" customHeight="1">
      <c r="A1382" s="156" t="s">
        <v>116</v>
      </c>
      <c r="B1382" s="88"/>
      <c r="C1382" s="204"/>
      <c r="D1382" s="204"/>
      <c r="E1382" s="158">
        <f>F1382*120%</f>
        <v>0</v>
      </c>
      <c r="F1382" s="158">
        <f>(D1382-C1382+1)*G1382</f>
        <v>0</v>
      </c>
      <c r="G1382" s="159">
        <f>M1382*40</f>
        <v>0</v>
      </c>
      <c r="H1382" s="162"/>
      <c r="I1382" s="65"/>
      <c r="J1382" s="162"/>
      <c r="K1382" s="65"/>
      <c r="L1382" s="162"/>
      <c r="M1382" s="162"/>
      <c r="N1382" s="163"/>
      <c r="O1382" s="164"/>
      <c r="P1382" s="13"/>
      <c r="Q1382" s="13"/>
      <c r="R1382" s="13"/>
      <c r="S1382" s="188"/>
      <c r="T1382" s="13"/>
      <c r="U1382" s="13"/>
      <c r="V1382" s="165"/>
      <c r="W1382" s="165"/>
      <c r="X1382" s="165"/>
      <c r="Y1382" s="165"/>
      <c r="Z1382" s="166"/>
      <c r="AA1382" s="166"/>
      <c r="AB1382" s="166"/>
      <c r="AC1382" s="166"/>
      <c r="AD1382" s="166"/>
      <c r="AE1382" s="166"/>
      <c r="AF1382" s="166"/>
      <c r="AG1382" s="166"/>
      <c r="AH1382" s="166"/>
    </row>
    <row r="1383" spans="1:34" ht="15.750000" customHeight="1">
      <c r="B1383" s="88"/>
      <c r="H1383" s="162"/>
      <c r="I1383" s="65"/>
      <c r="J1383" s="162"/>
      <c r="K1383" s="188"/>
      <c r="L1383" s="162"/>
      <c r="O1383" s="164"/>
      <c r="P1383" s="13"/>
      <c r="Q1383" s="13"/>
      <c r="R1383" s="13"/>
      <c r="S1383" s="65"/>
      <c r="T1383" s="13"/>
      <c r="U1383" s="13"/>
      <c r="V1383" s="165"/>
      <c r="W1383" s="165"/>
      <c r="X1383" s="165"/>
      <c r="Y1383" s="165"/>
      <c r="Z1383" s="166"/>
      <c r="AA1383" s="166"/>
      <c r="AB1383" s="166"/>
      <c r="AC1383" s="166"/>
      <c r="AD1383" s="166"/>
      <c r="AE1383" s="166"/>
      <c r="AF1383" s="166"/>
      <c r="AG1383" s="166"/>
      <c r="AH1383" s="166"/>
    </row>
    <row r="1384" spans="1:34" ht="15.750000" customHeight="1">
      <c r="B1384" s="88"/>
      <c r="H1384" s="162"/>
      <c r="I1384" s="65"/>
      <c r="J1384" s="162"/>
      <c r="K1384" s="188"/>
      <c r="L1384" s="162"/>
      <c r="O1384" s="164"/>
      <c r="P1384" s="13"/>
      <c r="Q1384" s="13"/>
      <c r="R1384" s="13"/>
      <c r="S1384" s="65"/>
      <c r="T1384" s="13"/>
      <c r="U1384" s="13"/>
      <c r="V1384" s="165"/>
      <c r="W1384" s="165"/>
      <c r="X1384" s="165"/>
      <c r="Y1384" s="165"/>
      <c r="Z1384" s="166"/>
      <c r="AA1384" s="166"/>
      <c r="AB1384" s="166"/>
      <c r="AC1384" s="166"/>
      <c r="AD1384" s="166"/>
      <c r="AE1384" s="166"/>
      <c r="AF1384" s="166"/>
      <c r="AG1384" s="166"/>
      <c r="AH1384" s="166"/>
    </row>
    <row r="1385" spans="1:34" ht="15.750000" customHeight="1">
      <c r="B1385" s="88"/>
      <c r="H1385" s="162"/>
      <c r="I1385" s="65"/>
      <c r="J1385" s="162"/>
      <c r="K1385" s="65"/>
      <c r="L1385" s="162"/>
      <c r="O1385" s="164"/>
      <c r="P1385" s="13"/>
      <c r="Q1385" s="13"/>
      <c r="R1385" s="13"/>
      <c r="S1385" s="65"/>
      <c r="T1385" s="13"/>
      <c r="U1385" s="13"/>
      <c r="V1385" s="165"/>
      <c r="W1385" s="165"/>
      <c r="X1385" s="165"/>
      <c r="Y1385" s="165"/>
      <c r="Z1385" s="166"/>
      <c r="AA1385" s="166"/>
      <c r="AB1385" s="166"/>
      <c r="AC1385" s="166"/>
      <c r="AD1385" s="166"/>
      <c r="AE1385" s="166"/>
      <c r="AF1385" s="166"/>
      <c r="AG1385" s="166"/>
      <c r="AH1385" s="166"/>
    </row>
    <row r="1386" spans="1:34" ht="15.750000" customHeight="1">
      <c r="B1386" s="88"/>
      <c r="H1386" s="220"/>
      <c r="I1386" s="65"/>
      <c r="J1386" s="162"/>
      <c r="K1386" s="65"/>
      <c r="L1386" s="162"/>
      <c r="O1386" s="164"/>
      <c r="P1386" s="13"/>
      <c r="Q1386" s="13"/>
      <c r="R1386" s="13"/>
      <c r="S1386" s="65"/>
      <c r="T1386" s="13"/>
      <c r="U1386" s="13"/>
      <c r="V1386" s="165"/>
      <c r="W1386" s="165"/>
      <c r="X1386" s="165"/>
      <c r="Y1386" s="165"/>
      <c r="Z1386" s="166"/>
      <c r="AA1386" s="166"/>
      <c r="AB1386" s="166"/>
      <c r="AC1386" s="166"/>
      <c r="AD1386" s="166"/>
      <c r="AE1386" s="166"/>
      <c r="AF1386" s="166"/>
      <c r="AG1386" s="166"/>
      <c r="AH1386" s="166"/>
    </row>
    <row r="1387" spans="1:34" ht="15.750000" customHeight="1">
      <c r="A1387" s="156" t="s">
        <v>116</v>
      </c>
      <c r="B1387" s="88"/>
      <c r="C1387" s="177"/>
      <c r="D1387" s="177"/>
      <c r="E1387" s="158">
        <f>F1387*120%</f>
        <v>0</v>
      </c>
      <c r="F1387" s="158">
        <f>(D1387-C1387+1)*G1387</f>
        <v>0</v>
      </c>
      <c r="G1387" s="159">
        <f>M1387*40</f>
        <v>0</v>
      </c>
      <c r="H1387" s="162"/>
      <c r="I1387" s="65"/>
      <c r="J1387" s="162"/>
      <c r="K1387" s="65"/>
      <c r="L1387" s="162"/>
      <c r="M1387" s="162"/>
      <c r="N1387" s="163"/>
      <c r="O1387" s="164"/>
      <c r="P1387" s="13"/>
      <c r="Q1387" s="13"/>
      <c r="R1387" s="13"/>
      <c r="S1387" s="188"/>
      <c r="T1387" s="13"/>
      <c r="U1387" s="13"/>
      <c r="V1387" s="165"/>
      <c r="W1387" s="165"/>
      <c r="X1387" s="165"/>
      <c r="Y1387" s="165"/>
      <c r="Z1387" s="166"/>
      <c r="AA1387" s="166"/>
      <c r="AB1387" s="166"/>
      <c r="AC1387" s="166"/>
      <c r="AD1387" s="166"/>
      <c r="AE1387" s="166"/>
      <c r="AF1387" s="166"/>
      <c r="AG1387" s="166"/>
      <c r="AH1387" s="166"/>
    </row>
    <row r="1388" spans="1:34" ht="15.750000" customHeight="1">
      <c r="B1388" s="88"/>
      <c r="H1388" s="162"/>
      <c r="I1388" s="65"/>
      <c r="J1388" s="162"/>
      <c r="K1388" s="188"/>
      <c r="L1388" s="162"/>
      <c r="O1388" s="164"/>
      <c r="P1388" s="13"/>
      <c r="Q1388" s="13"/>
      <c r="R1388" s="13"/>
      <c r="S1388" s="65"/>
      <c r="T1388" s="13"/>
      <c r="U1388" s="13"/>
      <c r="V1388" s="165"/>
      <c r="W1388" s="165"/>
      <c r="X1388" s="165"/>
      <c r="Y1388" s="165"/>
      <c r="Z1388" s="166"/>
      <c r="AA1388" s="166"/>
      <c r="AB1388" s="166"/>
      <c r="AC1388" s="166"/>
      <c r="AD1388" s="166"/>
      <c r="AE1388" s="166"/>
      <c r="AF1388" s="166"/>
      <c r="AG1388" s="166"/>
      <c r="AH1388" s="166"/>
    </row>
    <row r="1389" spans="1:34" ht="15.750000" customHeight="1">
      <c r="B1389" s="1"/>
      <c r="H1389" s="65"/>
      <c r="I1389" s="65"/>
      <c r="J1389" s="65"/>
      <c r="K1389" s="65"/>
      <c r="L1389" s="65"/>
      <c r="O1389" s="164"/>
      <c r="P1389" s="13"/>
      <c r="Q1389" s="13"/>
      <c r="R1389" s="13"/>
      <c r="S1389" s="65"/>
      <c r="T1389" s="13"/>
      <c r="U1389" s="13"/>
      <c r="V1389" s="165"/>
      <c r="W1389" s="165"/>
      <c r="X1389" s="165"/>
      <c r="Y1389" s="165"/>
      <c r="Z1389" s="166"/>
      <c r="AA1389" s="166"/>
      <c r="AB1389" s="166"/>
      <c r="AC1389" s="166"/>
      <c r="AD1389" s="166"/>
      <c r="AE1389" s="166"/>
      <c r="AF1389" s="166"/>
      <c r="AG1389" s="166"/>
      <c r="AH1389" s="166"/>
    </row>
    <row r="1390" spans="1:34" ht="15.750000" customHeight="1">
      <c r="B1390" s="1"/>
      <c r="H1390" s="65"/>
      <c r="I1390" s="65"/>
      <c r="J1390" s="65"/>
      <c r="K1390" s="65"/>
      <c r="L1390" s="65"/>
      <c r="O1390" s="164"/>
      <c r="P1390" s="13"/>
      <c r="Q1390" s="13"/>
      <c r="R1390" s="13"/>
      <c r="S1390" s="65"/>
      <c r="T1390" s="13"/>
      <c r="U1390" s="13"/>
      <c r="V1390" s="165"/>
      <c r="W1390" s="165"/>
      <c r="X1390" s="165"/>
      <c r="Y1390" s="165"/>
      <c r="Z1390" s="166"/>
      <c r="AA1390" s="166"/>
      <c r="AB1390" s="166"/>
      <c r="AC1390" s="166"/>
      <c r="AD1390" s="166"/>
      <c r="AE1390" s="166"/>
      <c r="AF1390" s="166"/>
      <c r="AG1390" s="166"/>
      <c r="AH1390" s="166"/>
    </row>
    <row r="1391" spans="1:34" ht="15.750000" customHeight="1">
      <c r="B1391" s="1"/>
      <c r="H1391" s="169"/>
      <c r="I1391" s="65"/>
      <c r="J1391" s="65"/>
      <c r="K1391" s="65"/>
      <c r="L1391" s="65"/>
      <c r="O1391" s="164"/>
      <c r="P1391" s="13"/>
      <c r="Q1391" s="13"/>
      <c r="R1391" s="13"/>
      <c r="S1391" s="65"/>
      <c r="T1391" s="13"/>
      <c r="U1391" s="13"/>
      <c r="V1391" s="165"/>
      <c r="W1391" s="165"/>
      <c r="X1391" s="165"/>
      <c r="Y1391" s="165"/>
      <c r="Z1391" s="166"/>
      <c r="AA1391" s="166"/>
      <c r="AB1391" s="166"/>
      <c r="AC1391" s="166"/>
      <c r="AD1391" s="166"/>
      <c r="AE1391" s="166"/>
      <c r="AF1391" s="166"/>
      <c r="AG1391" s="166"/>
      <c r="AH1391" s="166"/>
    </row>
    <row r="1392" spans="1:34" ht="15.750000" customHeight="1">
      <c r="A1392" s="156" t="s">
        <v>116</v>
      </c>
      <c r="B1392" s="88"/>
      <c r="C1392" s="204"/>
      <c r="D1392" s="204"/>
      <c r="E1392" s="158">
        <f>F1392*120%</f>
        <v>0</v>
      </c>
      <c r="F1392" s="158">
        <f>(D1392-C1392+1)*G1392</f>
        <v>0</v>
      </c>
      <c r="G1392" s="159">
        <f>M1392*40</f>
        <v>0</v>
      </c>
      <c r="H1392" s="162"/>
      <c r="I1392" s="65"/>
      <c r="J1392" s="465"/>
      <c r="K1392" s="65"/>
      <c r="L1392" s="162"/>
      <c r="M1392" s="162"/>
      <c r="N1392" s="163"/>
      <c r="O1392" s="164"/>
      <c r="P1392" s="13"/>
      <c r="Q1392" s="13"/>
      <c r="R1392" s="13"/>
      <c r="S1392" s="188"/>
      <c r="T1392" s="13"/>
      <c r="U1392" s="13"/>
      <c r="V1392" s="165"/>
      <c r="W1392" s="165"/>
      <c r="X1392" s="165"/>
      <c r="Y1392" s="165"/>
      <c r="Z1392" s="166"/>
      <c r="AA1392" s="166"/>
      <c r="AB1392" s="166"/>
      <c r="AC1392" s="166"/>
      <c r="AD1392" s="166"/>
      <c r="AE1392" s="166"/>
      <c r="AF1392" s="166"/>
      <c r="AG1392" s="166"/>
      <c r="AH1392" s="166"/>
    </row>
    <row r="1393" spans="1:34" ht="15.750000" customHeight="1">
      <c r="B1393" s="88"/>
      <c r="H1393" s="162"/>
      <c r="I1393" s="65"/>
      <c r="J1393" s="465"/>
      <c r="K1393" s="65"/>
      <c r="L1393" s="162"/>
      <c r="O1393" s="164"/>
      <c r="P1393" s="13"/>
      <c r="Q1393" s="13"/>
      <c r="R1393" s="13"/>
      <c r="S1393" s="65"/>
      <c r="T1393" s="13"/>
      <c r="U1393" s="13"/>
      <c r="V1393" s="165"/>
      <c r="W1393" s="165"/>
      <c r="X1393" s="165"/>
      <c r="Y1393" s="165"/>
      <c r="Z1393" s="166"/>
      <c r="AA1393" s="166"/>
      <c r="AB1393" s="166"/>
      <c r="AC1393" s="166"/>
      <c r="AD1393" s="166"/>
      <c r="AE1393" s="166"/>
      <c r="AF1393" s="166"/>
      <c r="AG1393" s="166"/>
      <c r="AH1393" s="166"/>
    </row>
    <row r="1394" spans="1:34" ht="15.750000" customHeight="1">
      <c r="B1394" s="1"/>
      <c r="H1394" s="65"/>
      <c r="I1394" s="65"/>
      <c r="J1394" s="65"/>
      <c r="K1394" s="65"/>
      <c r="L1394" s="65"/>
      <c r="O1394" s="164"/>
      <c r="P1394" s="13"/>
      <c r="Q1394" s="13"/>
      <c r="R1394" s="13"/>
      <c r="S1394" s="65"/>
      <c r="T1394" s="13"/>
      <c r="U1394" s="13"/>
      <c r="V1394" s="165"/>
      <c r="W1394" s="165"/>
      <c r="X1394" s="165"/>
      <c r="Y1394" s="165"/>
      <c r="Z1394" s="166"/>
      <c r="AA1394" s="166"/>
      <c r="AB1394" s="166"/>
      <c r="AC1394" s="166"/>
      <c r="AD1394" s="166"/>
      <c r="AE1394" s="166"/>
      <c r="AF1394" s="166"/>
      <c r="AG1394" s="166"/>
      <c r="AH1394" s="166"/>
    </row>
    <row r="1395" spans="1:34" ht="15.750000" customHeight="1">
      <c r="B1395" s="1"/>
      <c r="H1395" s="65"/>
      <c r="I1395" s="65"/>
      <c r="J1395" s="65"/>
      <c r="K1395" s="65"/>
      <c r="L1395" s="65"/>
      <c r="O1395" s="164"/>
      <c r="P1395" s="13"/>
      <c r="Q1395" s="13"/>
      <c r="R1395" s="13"/>
      <c r="S1395" s="65"/>
      <c r="T1395" s="13"/>
      <c r="U1395" s="13"/>
      <c r="V1395" s="165"/>
      <c r="W1395" s="165"/>
      <c r="X1395" s="165"/>
      <c r="Y1395" s="165"/>
      <c r="Z1395" s="166"/>
      <c r="AA1395" s="166"/>
      <c r="AB1395" s="166"/>
      <c r="AC1395" s="166"/>
      <c r="AD1395" s="166"/>
      <c r="AE1395" s="166"/>
      <c r="AF1395" s="166"/>
      <c r="AG1395" s="166"/>
      <c r="AH1395" s="166"/>
    </row>
    <row r="1396" spans="1:34" ht="15.750000" customHeight="1">
      <c r="B1396" s="1"/>
      <c r="H1396" s="169"/>
      <c r="I1396" s="65"/>
      <c r="J1396" s="65"/>
      <c r="K1396" s="65"/>
      <c r="L1396" s="65"/>
      <c r="O1396" s="164"/>
      <c r="P1396" s="13"/>
      <c r="Q1396" s="13"/>
      <c r="R1396" s="13"/>
      <c r="S1396" s="65"/>
      <c r="T1396" s="13"/>
      <c r="U1396" s="13"/>
      <c r="V1396" s="165"/>
      <c r="W1396" s="165"/>
      <c r="X1396" s="165"/>
      <c r="Y1396" s="165"/>
      <c r="Z1396" s="166"/>
      <c r="AA1396" s="166"/>
      <c r="AB1396" s="166"/>
      <c r="AC1396" s="166"/>
      <c r="AD1396" s="166"/>
      <c r="AE1396" s="166"/>
      <c r="AF1396" s="166"/>
      <c r="AG1396" s="166"/>
      <c r="AH1396" s="166"/>
    </row>
    <row r="1397" spans="1:34" ht="15.750000" customHeight="1">
      <c r="A1397" s="156" t="s">
        <v>116</v>
      </c>
      <c r="B1397" s="88"/>
      <c r="C1397" s="279"/>
      <c r="D1397" s="279"/>
      <c r="E1397" s="158">
        <f>F1397*120%</f>
        <v>0</v>
      </c>
      <c r="F1397" s="158">
        <f>(D1397-C1397+1)*G1397</f>
        <v>0</v>
      </c>
      <c r="G1397" s="159">
        <f>M1397*40</f>
        <v>0</v>
      </c>
      <c r="H1397" s="162"/>
      <c r="I1397" s="65"/>
      <c r="J1397" s="162"/>
      <c r="K1397" s="65"/>
      <c r="L1397" s="162"/>
      <c r="M1397" s="162"/>
      <c r="N1397" s="163"/>
      <c r="O1397" s="164"/>
      <c r="P1397" s="13"/>
      <c r="Q1397" s="13"/>
      <c r="R1397" s="13"/>
      <c r="S1397" s="188"/>
      <c r="T1397" s="13"/>
      <c r="U1397" s="13"/>
      <c r="V1397" s="165"/>
      <c r="W1397" s="165"/>
      <c r="X1397" s="165"/>
      <c r="Y1397" s="165"/>
      <c r="Z1397" s="166"/>
      <c r="AA1397" s="166"/>
      <c r="AB1397" s="166"/>
      <c r="AC1397" s="166"/>
      <c r="AD1397" s="166"/>
      <c r="AE1397" s="166"/>
      <c r="AF1397" s="166"/>
      <c r="AG1397" s="166"/>
      <c r="AH1397" s="166"/>
    </row>
    <row r="1398" spans="1:34" ht="15.750000" customHeight="1">
      <c r="B1398" s="88"/>
      <c r="H1398" s="162"/>
      <c r="I1398" s="65"/>
      <c r="J1398" s="162"/>
      <c r="K1398" s="188"/>
      <c r="L1398" s="162"/>
      <c r="O1398" s="164"/>
      <c r="P1398" s="13"/>
      <c r="Q1398" s="13"/>
      <c r="R1398" s="13"/>
      <c r="S1398" s="65"/>
      <c r="T1398" s="13"/>
      <c r="U1398" s="13"/>
      <c r="V1398" s="165"/>
      <c r="W1398" s="165"/>
      <c r="X1398" s="165"/>
      <c r="Y1398" s="165"/>
      <c r="Z1398" s="166"/>
      <c r="AA1398" s="166"/>
      <c r="AB1398" s="166"/>
      <c r="AC1398" s="166"/>
      <c r="AD1398" s="166"/>
      <c r="AE1398" s="166"/>
      <c r="AF1398" s="166"/>
      <c r="AG1398" s="166"/>
      <c r="AH1398" s="166"/>
    </row>
    <row r="1399" spans="1:34" ht="15.750000" customHeight="1">
      <c r="B1399" s="88"/>
      <c r="H1399" s="162"/>
      <c r="I1399" s="65"/>
      <c r="J1399" s="162"/>
      <c r="K1399" s="188"/>
      <c r="L1399" s="162"/>
      <c r="O1399" s="164"/>
      <c r="P1399" s="13"/>
      <c r="Q1399" s="13"/>
      <c r="R1399" s="13"/>
      <c r="S1399" s="65"/>
      <c r="T1399" s="13"/>
      <c r="U1399" s="13"/>
      <c r="V1399" s="165"/>
      <c r="W1399" s="165"/>
      <c r="X1399" s="165"/>
      <c r="Y1399" s="165"/>
      <c r="Z1399" s="166"/>
      <c r="AA1399" s="166"/>
      <c r="AB1399" s="166"/>
      <c r="AC1399" s="166"/>
      <c r="AD1399" s="166"/>
      <c r="AE1399" s="166"/>
      <c r="AF1399" s="166"/>
      <c r="AG1399" s="166"/>
      <c r="AH1399" s="166"/>
    </row>
    <row r="1400" spans="1:34" ht="15.750000" customHeight="1">
      <c r="B1400" s="88"/>
      <c r="H1400" s="162"/>
      <c r="I1400" s="65"/>
      <c r="J1400" s="162"/>
      <c r="K1400" s="65"/>
      <c r="L1400" s="162"/>
      <c r="O1400" s="164"/>
      <c r="P1400" s="13"/>
      <c r="Q1400" s="13"/>
      <c r="R1400" s="13"/>
      <c r="S1400" s="65"/>
      <c r="T1400" s="13"/>
      <c r="U1400" s="13"/>
      <c r="V1400" s="165"/>
      <c r="W1400" s="165"/>
      <c r="X1400" s="165"/>
      <c r="Y1400" s="165"/>
      <c r="Z1400" s="166"/>
      <c r="AA1400" s="166"/>
      <c r="AB1400" s="166"/>
      <c r="AC1400" s="166"/>
      <c r="AD1400" s="166"/>
      <c r="AE1400" s="166"/>
      <c r="AF1400" s="166"/>
      <c r="AG1400" s="166"/>
      <c r="AH1400" s="166"/>
    </row>
    <row r="1401" spans="1:34" ht="15.750000" customHeight="1">
      <c r="B1401" s="88"/>
      <c r="H1401" s="220"/>
      <c r="I1401" s="65"/>
      <c r="J1401" s="162"/>
      <c r="K1401" s="65"/>
      <c r="L1401" s="162"/>
      <c r="O1401" s="164"/>
      <c r="P1401" s="13"/>
      <c r="Q1401" s="13"/>
      <c r="R1401" s="13"/>
      <c r="S1401" s="65"/>
      <c r="T1401" s="13"/>
      <c r="U1401" s="13"/>
      <c r="V1401" s="165"/>
      <c r="W1401" s="165"/>
      <c r="X1401" s="165"/>
      <c r="Y1401" s="165"/>
      <c r="Z1401" s="166"/>
      <c r="AA1401" s="166"/>
      <c r="AB1401" s="166"/>
      <c r="AC1401" s="166"/>
      <c r="AD1401" s="166"/>
      <c r="AE1401" s="166"/>
      <c r="AF1401" s="166"/>
      <c r="AG1401" s="166"/>
      <c r="AH1401" s="166"/>
    </row>
    <row r="1402" spans="1:34" ht="15.750000" customHeight="1">
      <c r="A1402" s="156" t="s">
        <v>116</v>
      </c>
      <c r="B1402" s="88"/>
      <c r="C1402" s="279"/>
      <c r="D1402" s="278"/>
      <c r="E1402" s="158">
        <f>F1402*120%</f>
        <v>0</v>
      </c>
      <c r="F1402" s="158">
        <f>(D1402-C1402+1)*G1402</f>
        <v>0</v>
      </c>
      <c r="G1402" s="159">
        <f>M1402*40</f>
        <v>0</v>
      </c>
      <c r="H1402" s="162"/>
      <c r="I1402" s="65"/>
      <c r="J1402" s="162"/>
      <c r="K1402" s="65"/>
      <c r="L1402" s="162"/>
      <c r="M1402" s="162"/>
      <c r="N1402" s="163"/>
      <c r="O1402" s="164"/>
      <c r="P1402" s="13"/>
      <c r="Q1402" s="13"/>
      <c r="R1402" s="13"/>
      <c r="S1402" s="188"/>
      <c r="T1402" s="13"/>
      <c r="U1402" s="13"/>
      <c r="V1402" s="165"/>
      <c r="W1402" s="165"/>
      <c r="X1402" s="165"/>
      <c r="Y1402" s="165"/>
      <c r="Z1402" s="166"/>
      <c r="AA1402" s="166"/>
      <c r="AB1402" s="166"/>
      <c r="AC1402" s="166"/>
      <c r="AD1402" s="166"/>
      <c r="AE1402" s="166"/>
      <c r="AF1402" s="166"/>
      <c r="AG1402" s="166"/>
      <c r="AH1402" s="166"/>
    </row>
    <row r="1403" spans="1:34" ht="15.750000" customHeight="1">
      <c r="B1403" s="88"/>
      <c r="H1403" s="162"/>
      <c r="I1403" s="65"/>
      <c r="J1403" s="162"/>
      <c r="K1403" s="188"/>
      <c r="L1403" s="162"/>
      <c r="O1403" s="164"/>
      <c r="P1403" s="13"/>
      <c r="Q1403" s="13"/>
      <c r="R1403" s="13"/>
      <c r="S1403" s="65"/>
      <c r="T1403" s="13"/>
      <c r="U1403" s="13"/>
      <c r="V1403" s="165"/>
      <c r="W1403" s="165"/>
      <c r="X1403" s="165"/>
      <c r="Y1403" s="165"/>
      <c r="Z1403" s="166"/>
      <c r="AA1403" s="166"/>
      <c r="AB1403" s="166"/>
      <c r="AC1403" s="166"/>
      <c r="AD1403" s="166"/>
      <c r="AE1403" s="166"/>
      <c r="AF1403" s="166"/>
      <c r="AG1403" s="166"/>
      <c r="AH1403" s="166"/>
    </row>
    <row r="1404" spans="1:34" ht="15.750000" customHeight="1">
      <c r="B1404" s="88"/>
      <c r="H1404" s="162"/>
      <c r="I1404" s="65"/>
      <c r="J1404" s="162"/>
      <c r="K1404" s="188"/>
      <c r="L1404" s="162"/>
      <c r="O1404" s="164"/>
      <c r="P1404" s="13"/>
      <c r="Q1404" s="13"/>
      <c r="R1404" s="13"/>
      <c r="S1404" s="65"/>
      <c r="T1404" s="13"/>
      <c r="U1404" s="13"/>
      <c r="V1404" s="165"/>
      <c r="W1404" s="165"/>
      <c r="X1404" s="165"/>
      <c r="Y1404" s="165"/>
      <c r="Z1404" s="166"/>
      <c r="AA1404" s="166"/>
      <c r="AB1404" s="166"/>
      <c r="AC1404" s="166"/>
      <c r="AD1404" s="166"/>
      <c r="AE1404" s="166"/>
      <c r="AF1404" s="166"/>
      <c r="AG1404" s="166"/>
      <c r="AH1404" s="166"/>
    </row>
    <row r="1405" spans="1:34" ht="15.750000" customHeight="1">
      <c r="B1405" s="88"/>
      <c r="H1405" s="162"/>
      <c r="I1405" s="65"/>
      <c r="J1405" s="162"/>
      <c r="K1405" s="65"/>
      <c r="L1405" s="162"/>
      <c r="O1405" s="164"/>
      <c r="P1405" s="13"/>
      <c r="Q1405" s="13"/>
      <c r="R1405" s="13"/>
      <c r="S1405" s="65"/>
      <c r="T1405" s="13"/>
      <c r="U1405" s="13"/>
      <c r="V1405" s="165"/>
      <c r="W1405" s="165"/>
      <c r="X1405" s="165"/>
      <c r="Y1405" s="165"/>
      <c r="Z1405" s="166"/>
      <c r="AA1405" s="166"/>
      <c r="AB1405" s="166"/>
      <c r="AC1405" s="166"/>
      <c r="AD1405" s="166"/>
      <c r="AE1405" s="166"/>
      <c r="AF1405" s="166"/>
      <c r="AG1405" s="166"/>
      <c r="AH1405" s="166"/>
    </row>
    <row r="1406" spans="1:34" ht="15.750000" customHeight="1">
      <c r="B1406" s="88"/>
      <c r="H1406" s="220"/>
      <c r="I1406" s="65"/>
      <c r="J1406" s="162"/>
      <c r="K1406" s="65"/>
      <c r="L1406" s="162"/>
      <c r="O1406" s="164"/>
      <c r="P1406" s="13"/>
      <c r="Q1406" s="13"/>
      <c r="R1406" s="13"/>
      <c r="S1406" s="65"/>
      <c r="T1406" s="13"/>
      <c r="U1406" s="13"/>
      <c r="V1406" s="165"/>
      <c r="W1406" s="165"/>
      <c r="X1406" s="165"/>
      <c r="Y1406" s="165"/>
      <c r="Z1406" s="166"/>
      <c r="AA1406" s="166"/>
      <c r="AB1406" s="166"/>
      <c r="AC1406" s="166"/>
      <c r="AD1406" s="166"/>
      <c r="AE1406" s="166"/>
      <c r="AF1406" s="166"/>
      <c r="AG1406" s="166"/>
      <c r="AH1406" s="166"/>
    </row>
    <row r="1407" spans="1:34" ht="15.750000" customHeight="1">
      <c r="A1407" s="156" t="s">
        <v>116</v>
      </c>
      <c r="B1407" s="88"/>
      <c r="C1407" s="177"/>
      <c r="D1407" s="177"/>
      <c r="E1407" s="158">
        <f>F1407*120%</f>
        <v>0</v>
      </c>
      <c r="F1407" s="158">
        <f>(D1407-C1407+1)*G1407</f>
        <v>0</v>
      </c>
      <c r="G1407" s="159">
        <f>M1407*40</f>
        <v>0</v>
      </c>
      <c r="H1407" s="162"/>
      <c r="I1407" s="65"/>
      <c r="J1407" s="162"/>
      <c r="K1407" s="65"/>
      <c r="L1407" s="162"/>
      <c r="M1407" s="162"/>
      <c r="N1407" s="163"/>
      <c r="O1407" s="164"/>
      <c r="P1407" s="13"/>
      <c r="Q1407" s="13"/>
      <c r="R1407" s="13"/>
      <c r="S1407" s="188"/>
      <c r="T1407" s="13"/>
      <c r="U1407" s="13"/>
      <c r="V1407" s="165"/>
      <c r="W1407" s="165"/>
      <c r="X1407" s="165"/>
      <c r="Y1407" s="165"/>
      <c r="Z1407" s="166"/>
      <c r="AA1407" s="166"/>
      <c r="AB1407" s="166"/>
      <c r="AC1407" s="166"/>
      <c r="AD1407" s="166"/>
      <c r="AE1407" s="166"/>
      <c r="AF1407" s="166"/>
      <c r="AG1407" s="166"/>
      <c r="AH1407" s="166"/>
    </row>
    <row r="1408" spans="1:34" ht="15.750000" customHeight="1">
      <c r="B1408" s="1"/>
      <c r="H1408" s="65"/>
      <c r="I1408" s="65"/>
      <c r="J1408" s="65"/>
      <c r="K1408" s="65"/>
      <c r="L1408" s="65"/>
      <c r="O1408" s="164"/>
      <c r="P1408" s="13"/>
      <c r="Q1408" s="13"/>
      <c r="R1408" s="13"/>
      <c r="S1408" s="65"/>
      <c r="T1408" s="13"/>
      <c r="U1408" s="13"/>
      <c r="V1408" s="165"/>
      <c r="W1408" s="165"/>
      <c r="X1408" s="165"/>
      <c r="Y1408" s="165"/>
      <c r="Z1408" s="166"/>
      <c r="AA1408" s="166"/>
      <c r="AB1408" s="166"/>
      <c r="AC1408" s="166"/>
      <c r="AD1408" s="166"/>
      <c r="AE1408" s="166"/>
      <c r="AF1408" s="166"/>
      <c r="AG1408" s="166"/>
      <c r="AH1408" s="166"/>
    </row>
    <row r="1409" spans="1:34" ht="15.750000" customHeight="1">
      <c r="B1409" s="1"/>
      <c r="H1409" s="65"/>
      <c r="I1409" s="65"/>
      <c r="J1409" s="65"/>
      <c r="K1409" s="65"/>
      <c r="L1409" s="65"/>
      <c r="O1409" s="164"/>
      <c r="P1409" s="13"/>
      <c r="Q1409" s="13"/>
      <c r="R1409" s="13"/>
      <c r="S1409" s="65"/>
      <c r="T1409" s="13"/>
      <c r="U1409" s="13"/>
      <c r="V1409" s="165"/>
      <c r="W1409" s="165"/>
      <c r="X1409" s="165"/>
      <c r="Y1409" s="165"/>
      <c r="Z1409" s="166"/>
      <c r="AA1409" s="166"/>
      <c r="AB1409" s="166"/>
      <c r="AC1409" s="166"/>
      <c r="AD1409" s="166"/>
      <c r="AE1409" s="166"/>
      <c r="AF1409" s="166"/>
      <c r="AG1409" s="166"/>
      <c r="AH1409" s="166"/>
    </row>
    <row r="1410" spans="1:34" ht="15.750000" customHeight="1">
      <c r="B1410" s="1"/>
      <c r="H1410" s="65"/>
      <c r="I1410" s="65"/>
      <c r="J1410" s="65"/>
      <c r="K1410" s="65"/>
      <c r="L1410" s="65"/>
      <c r="O1410" s="164"/>
      <c r="P1410" s="13"/>
      <c r="Q1410" s="13"/>
      <c r="R1410" s="13"/>
      <c r="S1410" s="65"/>
      <c r="T1410" s="13"/>
      <c r="U1410" s="13"/>
      <c r="V1410" s="165"/>
      <c r="W1410" s="165"/>
      <c r="X1410" s="165"/>
      <c r="Y1410" s="165"/>
      <c r="Z1410" s="166"/>
      <c r="AA1410" s="166"/>
      <c r="AB1410" s="166"/>
      <c r="AC1410" s="166"/>
      <c r="AD1410" s="166"/>
      <c r="AE1410" s="166"/>
      <c r="AF1410" s="166"/>
      <c r="AG1410" s="166"/>
      <c r="AH1410" s="166"/>
    </row>
    <row r="1411" spans="1:34" ht="15.750000" customHeight="1">
      <c r="B1411" s="1"/>
      <c r="H1411" s="169"/>
      <c r="I1411" s="65"/>
      <c r="J1411" s="65"/>
      <c r="K1411" s="65"/>
      <c r="L1411" s="65"/>
      <c r="O1411" s="164"/>
      <c r="P1411" s="13"/>
      <c r="Q1411" s="13"/>
      <c r="R1411" s="13"/>
      <c r="S1411" s="65"/>
      <c r="T1411" s="13"/>
      <c r="U1411" s="13"/>
      <c r="V1411" s="165"/>
      <c r="W1411" s="165"/>
      <c r="X1411" s="165"/>
      <c r="Y1411" s="165"/>
      <c r="Z1411" s="166"/>
      <c r="AA1411" s="166"/>
      <c r="AB1411" s="166"/>
      <c r="AC1411" s="166"/>
      <c r="AD1411" s="166"/>
      <c r="AE1411" s="166"/>
      <c r="AF1411" s="166"/>
      <c r="AG1411" s="166"/>
      <c r="AH1411" s="166"/>
    </row>
    <row r="1412" spans="1:34" ht="15.750000" customHeight="1">
      <c r="A1412" s="156" t="s">
        <v>116</v>
      </c>
      <c r="B1412" s="88"/>
      <c r="C1412" s="204"/>
      <c r="D1412" s="204"/>
      <c r="E1412" s="158">
        <f>F1412*120%</f>
        <v>0</v>
      </c>
      <c r="F1412" s="158">
        <f>(D1412-C1412+1)*G1412</f>
        <v>0</v>
      </c>
      <c r="G1412" s="159">
        <f>M1412*40</f>
        <v>0</v>
      </c>
      <c r="H1412" s="162"/>
      <c r="I1412" s="65"/>
      <c r="J1412" s="162"/>
      <c r="K1412" s="65"/>
      <c r="L1412" s="162"/>
      <c r="M1412" s="162"/>
      <c r="N1412" s="163"/>
      <c r="O1412" s="164"/>
      <c r="P1412" s="13"/>
      <c r="Q1412" s="13"/>
      <c r="R1412" s="13"/>
      <c r="S1412" s="188"/>
      <c r="T1412" s="13"/>
      <c r="U1412" s="13"/>
      <c r="V1412" s="165"/>
      <c r="W1412" s="165"/>
      <c r="X1412" s="165"/>
      <c r="Y1412" s="165"/>
      <c r="Z1412" s="166"/>
      <c r="AA1412" s="166"/>
      <c r="AB1412" s="166"/>
      <c r="AC1412" s="166"/>
      <c r="AD1412" s="166"/>
      <c r="AE1412" s="166"/>
      <c r="AF1412" s="166"/>
      <c r="AG1412" s="166"/>
      <c r="AH1412" s="166"/>
    </row>
    <row r="1413" spans="1:34" ht="15.750000" customHeight="1">
      <c r="B1413" s="88"/>
      <c r="H1413" s="162"/>
      <c r="I1413" s="65"/>
      <c r="J1413" s="162"/>
      <c r="K1413" s="188"/>
      <c r="L1413" s="162"/>
      <c r="O1413" s="164"/>
      <c r="P1413" s="13"/>
      <c r="Q1413" s="13"/>
      <c r="R1413" s="13"/>
      <c r="S1413" s="65"/>
      <c r="T1413" s="13"/>
      <c r="U1413" s="13"/>
      <c r="V1413" s="165"/>
      <c r="W1413" s="165"/>
      <c r="X1413" s="165"/>
      <c r="Y1413" s="165"/>
      <c r="Z1413" s="166"/>
      <c r="AA1413" s="166"/>
      <c r="AB1413" s="166"/>
      <c r="AC1413" s="166"/>
      <c r="AD1413" s="166"/>
      <c r="AE1413" s="166"/>
      <c r="AF1413" s="166"/>
      <c r="AG1413" s="166"/>
      <c r="AH1413" s="166"/>
    </row>
    <row r="1414" spans="1:34" ht="15.750000" customHeight="1">
      <c r="B1414" s="1"/>
      <c r="H1414" s="65"/>
      <c r="I1414" s="65"/>
      <c r="J1414" s="65"/>
      <c r="K1414" s="65"/>
      <c r="L1414" s="65"/>
      <c r="O1414" s="164"/>
      <c r="P1414" s="13"/>
      <c r="Q1414" s="13"/>
      <c r="R1414" s="13"/>
      <c r="S1414" s="65"/>
      <c r="T1414" s="13"/>
      <c r="U1414" s="13"/>
      <c r="V1414" s="165"/>
      <c r="W1414" s="165"/>
      <c r="X1414" s="165"/>
      <c r="Y1414" s="165"/>
      <c r="Z1414" s="166"/>
      <c r="AA1414" s="166"/>
      <c r="AB1414" s="166"/>
      <c r="AC1414" s="166"/>
      <c r="AD1414" s="166"/>
      <c r="AE1414" s="166"/>
      <c r="AF1414" s="166"/>
      <c r="AG1414" s="166"/>
      <c r="AH1414" s="166"/>
    </row>
    <row r="1415" spans="1:34" ht="15.750000" customHeight="1">
      <c r="B1415" s="1"/>
      <c r="H1415" s="65"/>
      <c r="I1415" s="65"/>
      <c r="J1415" s="65"/>
      <c r="K1415" s="65"/>
      <c r="L1415" s="65"/>
      <c r="O1415" s="164"/>
      <c r="P1415" s="13"/>
      <c r="Q1415" s="13"/>
      <c r="R1415" s="13"/>
      <c r="S1415" s="65"/>
      <c r="T1415" s="13"/>
      <c r="U1415" s="13"/>
      <c r="V1415" s="165"/>
      <c r="W1415" s="165"/>
      <c r="X1415" s="165"/>
      <c r="Y1415" s="165"/>
      <c r="Z1415" s="166"/>
      <c r="AA1415" s="166"/>
      <c r="AB1415" s="166"/>
      <c r="AC1415" s="166"/>
      <c r="AD1415" s="166"/>
      <c r="AE1415" s="166"/>
      <c r="AF1415" s="166"/>
      <c r="AG1415" s="166"/>
      <c r="AH1415" s="166"/>
    </row>
    <row r="1416" spans="1:34" ht="15.750000" customHeight="1">
      <c r="B1416" s="1"/>
      <c r="H1416" s="169"/>
      <c r="I1416" s="65"/>
      <c r="J1416" s="65"/>
      <c r="K1416" s="65"/>
      <c r="L1416" s="65"/>
      <c r="O1416" s="164"/>
      <c r="P1416" s="13"/>
      <c r="Q1416" s="13"/>
      <c r="R1416" s="13"/>
      <c r="S1416" s="65"/>
      <c r="T1416" s="13"/>
      <c r="U1416" s="13"/>
      <c r="V1416" s="165"/>
      <c r="W1416" s="165"/>
      <c r="X1416" s="165"/>
      <c r="Y1416" s="165"/>
      <c r="Z1416" s="166"/>
      <c r="AA1416" s="166"/>
      <c r="AB1416" s="166"/>
      <c r="AC1416" s="166"/>
      <c r="AD1416" s="166"/>
      <c r="AE1416" s="166"/>
      <c r="AF1416" s="166"/>
      <c r="AG1416" s="166"/>
      <c r="AH1416" s="166"/>
    </row>
    <row r="1417" spans="1:34" ht="15.750000" customHeight="1">
      <c r="A1417" s="156" t="s">
        <v>116</v>
      </c>
      <c r="B1417" s="88"/>
      <c r="C1417" s="177"/>
      <c r="D1417" s="177"/>
      <c r="E1417" s="158">
        <f>F1417*120%</f>
        <v>0</v>
      </c>
      <c r="F1417" s="158">
        <f>(D1417-C1417+1)*G1417</f>
        <v>0</v>
      </c>
      <c r="G1417" s="159">
        <f>M1417*40</f>
        <v>0</v>
      </c>
      <c r="H1417" s="162"/>
      <c r="I1417" s="65"/>
      <c r="J1417" s="162"/>
      <c r="K1417" s="65"/>
      <c r="L1417" s="162"/>
      <c r="M1417" s="162"/>
      <c r="N1417" s="163"/>
      <c r="O1417" s="164"/>
      <c r="P1417" s="13"/>
      <c r="Q1417" s="13"/>
      <c r="R1417" s="13"/>
      <c r="S1417" s="188"/>
      <c r="T1417" s="13"/>
      <c r="U1417" s="13"/>
      <c r="V1417" s="165"/>
      <c r="W1417" s="165"/>
      <c r="X1417" s="165"/>
      <c r="Y1417" s="165"/>
      <c r="Z1417" s="166"/>
      <c r="AA1417" s="166"/>
      <c r="AB1417" s="166"/>
      <c r="AC1417" s="166"/>
      <c r="AD1417" s="166"/>
      <c r="AE1417" s="166"/>
      <c r="AF1417" s="166"/>
      <c r="AG1417" s="166"/>
      <c r="AH1417" s="166"/>
    </row>
    <row r="1418" spans="1:34" ht="15.750000" customHeight="1">
      <c r="B1418" s="1"/>
      <c r="H1418" s="65"/>
      <c r="I1418" s="65"/>
      <c r="J1418" s="65"/>
      <c r="K1418" s="65"/>
      <c r="L1418" s="65"/>
      <c r="O1418" s="164"/>
      <c r="P1418" s="13"/>
      <c r="Q1418" s="13"/>
      <c r="R1418" s="13"/>
      <c r="S1418" s="65"/>
      <c r="T1418" s="13"/>
      <c r="U1418" s="13"/>
      <c r="V1418" s="165"/>
      <c r="W1418" s="165"/>
      <c r="X1418" s="165"/>
      <c r="Y1418" s="165"/>
      <c r="Z1418" s="166"/>
      <c r="AA1418" s="166"/>
      <c r="AB1418" s="166"/>
      <c r="AC1418" s="166"/>
      <c r="AD1418" s="166"/>
      <c r="AE1418" s="166"/>
      <c r="AF1418" s="166"/>
      <c r="AG1418" s="166"/>
      <c r="AH1418" s="166"/>
    </row>
    <row r="1419" spans="1:34" ht="15.750000" customHeight="1">
      <c r="B1419" s="1"/>
      <c r="H1419" s="65"/>
      <c r="I1419" s="65"/>
      <c r="J1419" s="65"/>
      <c r="K1419" s="65"/>
      <c r="L1419" s="65"/>
      <c r="O1419" s="164"/>
      <c r="P1419" s="13"/>
      <c r="Q1419" s="13"/>
      <c r="R1419" s="13"/>
      <c r="S1419" s="65"/>
      <c r="T1419" s="13"/>
      <c r="U1419" s="13"/>
      <c r="V1419" s="165"/>
      <c r="W1419" s="165"/>
      <c r="X1419" s="165"/>
      <c r="Y1419" s="165"/>
      <c r="Z1419" s="166"/>
      <c r="AA1419" s="166"/>
      <c r="AB1419" s="166"/>
      <c r="AC1419" s="166"/>
      <c r="AD1419" s="166"/>
      <c r="AE1419" s="166"/>
      <c r="AF1419" s="166"/>
      <c r="AG1419" s="166"/>
      <c r="AH1419" s="166"/>
    </row>
    <row r="1420" spans="1:34" ht="15.750000" customHeight="1">
      <c r="B1420" s="1"/>
      <c r="H1420" s="65"/>
      <c r="I1420" s="65"/>
      <c r="J1420" s="65"/>
      <c r="K1420" s="65"/>
      <c r="L1420" s="65"/>
      <c r="O1420" s="164"/>
      <c r="P1420" s="13"/>
      <c r="Q1420" s="13"/>
      <c r="R1420" s="13"/>
      <c r="S1420" s="65"/>
      <c r="T1420" s="13"/>
      <c r="U1420" s="13"/>
      <c r="V1420" s="165"/>
      <c r="W1420" s="165"/>
      <c r="X1420" s="165"/>
      <c r="Y1420" s="165"/>
      <c r="Z1420" s="166"/>
      <c r="AA1420" s="166"/>
      <c r="AB1420" s="166"/>
      <c r="AC1420" s="166"/>
      <c r="AD1420" s="166"/>
      <c r="AE1420" s="166"/>
      <c r="AF1420" s="166"/>
      <c r="AG1420" s="166"/>
      <c r="AH1420" s="166"/>
    </row>
    <row r="1421" spans="1:34" ht="15.750000" customHeight="1">
      <c r="B1421" s="1"/>
      <c r="H1421" s="169"/>
      <c r="I1421" s="65"/>
      <c r="J1421" s="65"/>
      <c r="K1421" s="65"/>
      <c r="L1421" s="65"/>
      <c r="O1421" s="164"/>
      <c r="P1421" s="13"/>
      <c r="Q1421" s="13"/>
      <c r="R1421" s="13"/>
      <c r="S1421" s="65"/>
      <c r="T1421" s="13"/>
      <c r="U1421" s="13"/>
      <c r="V1421" s="165"/>
      <c r="W1421" s="165"/>
      <c r="X1421" s="165"/>
      <c r="Y1421" s="165"/>
      <c r="Z1421" s="166"/>
      <c r="AA1421" s="166"/>
      <c r="AB1421" s="166"/>
      <c r="AC1421" s="166"/>
      <c r="AD1421" s="166"/>
      <c r="AE1421" s="166"/>
      <c r="AF1421" s="166"/>
      <c r="AG1421" s="166"/>
      <c r="AH1421" s="166"/>
    </row>
    <row r="1422" spans="1:34" ht="15.750000" customHeight="1">
      <c r="A1422" s="156" t="s">
        <v>116</v>
      </c>
      <c r="B1422" s="88"/>
      <c r="C1422" s="204"/>
      <c r="D1422" s="204"/>
      <c r="E1422" s="158">
        <f>F1422*120%</f>
        <v>0</v>
      </c>
      <c r="F1422" s="158">
        <f>(D1422-C1422+1)*G1422</f>
        <v>0</v>
      </c>
      <c r="G1422" s="159">
        <f>M1422*40</f>
        <v>0</v>
      </c>
      <c r="H1422" s="162"/>
      <c r="I1422" s="65"/>
      <c r="J1422" s="467"/>
      <c r="K1422" s="188"/>
      <c r="L1422" s="162"/>
      <c r="M1422" s="162"/>
      <c r="N1422" s="163"/>
      <c r="O1422" s="164"/>
      <c r="P1422" s="13"/>
      <c r="Q1422" s="13"/>
      <c r="R1422" s="13"/>
      <c r="S1422" s="13"/>
      <c r="T1422" s="13"/>
      <c r="U1422" s="13"/>
      <c r="V1422" s="165"/>
      <c r="W1422" s="165"/>
      <c r="X1422" s="165"/>
      <c r="Y1422" s="165"/>
      <c r="Z1422" s="166"/>
      <c r="AA1422" s="166"/>
      <c r="AB1422" s="166"/>
      <c r="AC1422" s="166"/>
      <c r="AD1422" s="166"/>
      <c r="AE1422" s="166"/>
      <c r="AF1422" s="166"/>
      <c r="AG1422" s="166"/>
      <c r="AH1422" s="166"/>
    </row>
    <row r="1423" spans="1:34" ht="15.750000" customHeight="1">
      <c r="B1423" s="88"/>
      <c r="H1423" s="162"/>
      <c r="I1423" s="65"/>
      <c r="J1423" s="467"/>
      <c r="K1423" s="188"/>
      <c r="L1423" s="162"/>
      <c r="O1423" s="164"/>
      <c r="P1423" s="13"/>
      <c r="Q1423" s="13"/>
      <c r="R1423" s="13"/>
      <c r="S1423" s="13"/>
      <c r="T1423" s="13"/>
      <c r="U1423" s="13"/>
      <c r="V1423" s="165"/>
      <c r="W1423" s="165"/>
      <c r="X1423" s="165"/>
      <c r="Y1423" s="165"/>
      <c r="Z1423" s="166"/>
      <c r="AA1423" s="166"/>
      <c r="AB1423" s="166"/>
      <c r="AC1423" s="166"/>
      <c r="AD1423" s="166"/>
      <c r="AE1423" s="166"/>
      <c r="AF1423" s="166"/>
      <c r="AG1423" s="166"/>
      <c r="AH1423" s="166"/>
    </row>
    <row r="1424" spans="1:34" ht="15.750000" customHeight="1">
      <c r="B1424" s="88"/>
      <c r="H1424" s="162"/>
      <c r="I1424" s="65"/>
      <c r="J1424" s="467"/>
      <c r="K1424" s="188"/>
      <c r="L1424" s="162"/>
      <c r="O1424" s="164"/>
      <c r="P1424" s="13"/>
      <c r="Q1424" s="13"/>
      <c r="R1424" s="13"/>
      <c r="S1424" s="13"/>
      <c r="T1424" s="13"/>
      <c r="U1424" s="13"/>
      <c r="V1424" s="165"/>
      <c r="W1424" s="165"/>
      <c r="X1424" s="165"/>
      <c r="Y1424" s="165"/>
      <c r="Z1424" s="166"/>
      <c r="AA1424" s="166"/>
      <c r="AB1424" s="166"/>
      <c r="AC1424" s="166"/>
      <c r="AD1424" s="166"/>
      <c r="AE1424" s="166"/>
      <c r="AF1424" s="166"/>
      <c r="AG1424" s="166"/>
      <c r="AH1424" s="166"/>
    </row>
    <row r="1425" spans="1:34" ht="15.750000" customHeight="1">
      <c r="B1425" s="88"/>
      <c r="H1425" s="162"/>
      <c r="I1425" s="65"/>
      <c r="J1425" s="467"/>
      <c r="K1425" s="65"/>
      <c r="L1425" s="162"/>
      <c r="O1425" s="164"/>
      <c r="P1425" s="13"/>
      <c r="Q1425" s="13"/>
      <c r="R1425" s="13"/>
      <c r="S1425" s="13"/>
      <c r="T1425" s="13"/>
      <c r="U1425" s="13"/>
      <c r="V1425" s="165"/>
      <c r="W1425" s="165"/>
      <c r="X1425" s="165"/>
      <c r="Y1425" s="165"/>
      <c r="Z1425" s="166"/>
      <c r="AA1425" s="166"/>
      <c r="AB1425" s="166"/>
      <c r="AC1425" s="166"/>
      <c r="AD1425" s="166"/>
      <c r="AE1425" s="166"/>
      <c r="AF1425" s="166"/>
      <c r="AG1425" s="166"/>
      <c r="AH1425" s="166"/>
    </row>
    <row r="1426" spans="1:34" ht="15.750000" customHeight="1">
      <c r="B1426" s="1"/>
      <c r="H1426" s="169"/>
      <c r="I1426" s="65"/>
      <c r="J1426" s="65"/>
      <c r="K1426" s="65"/>
      <c r="L1426" s="65"/>
      <c r="O1426" s="164"/>
      <c r="P1426" s="13"/>
      <c r="Q1426" s="13"/>
      <c r="R1426" s="13"/>
      <c r="S1426" s="13"/>
      <c r="T1426" s="13"/>
      <c r="U1426" s="13"/>
      <c r="V1426" s="165"/>
      <c r="W1426" s="165"/>
      <c r="X1426" s="165"/>
      <c r="Y1426" s="165"/>
      <c r="Z1426" s="166"/>
      <c r="AA1426" s="166"/>
      <c r="AB1426" s="166"/>
      <c r="AC1426" s="166"/>
      <c r="AD1426" s="166"/>
      <c r="AE1426" s="166"/>
      <c r="AF1426" s="166"/>
      <c r="AG1426" s="166"/>
      <c r="AH1426" s="166"/>
    </row>
    <row r="1427" spans="1:34" ht="15.750000" customHeight="1">
      <c r="A1427" s="156" t="s">
        <v>116</v>
      </c>
      <c r="B1427" s="88"/>
      <c r="C1427" s="177"/>
      <c r="D1427" s="177"/>
      <c r="E1427" s="158">
        <f>F1427*120%</f>
        <v>0</v>
      </c>
      <c r="F1427" s="158">
        <f>(D1427-C1427+1)*G1427</f>
        <v>0</v>
      </c>
      <c r="G1427" s="159">
        <f>M1427*40</f>
        <v>0</v>
      </c>
      <c r="H1427" s="65"/>
      <c r="I1427" s="65"/>
      <c r="J1427" s="467"/>
      <c r="K1427" s="188"/>
      <c r="L1427" s="162"/>
      <c r="M1427" s="162"/>
      <c r="N1427" s="163"/>
      <c r="O1427" s="164"/>
      <c r="P1427" s="13"/>
      <c r="Q1427" s="13"/>
      <c r="R1427" s="13"/>
      <c r="S1427" s="13"/>
      <c r="T1427" s="13"/>
      <c r="U1427" s="13"/>
      <c r="V1427" s="165"/>
      <c r="W1427" s="165"/>
      <c r="X1427" s="165"/>
      <c r="Y1427" s="165"/>
      <c r="Z1427" s="166"/>
      <c r="AA1427" s="166"/>
      <c r="AB1427" s="166"/>
      <c r="AC1427" s="166"/>
      <c r="AD1427" s="166"/>
      <c r="AE1427" s="166"/>
      <c r="AF1427" s="166"/>
      <c r="AG1427" s="166"/>
      <c r="AH1427" s="166"/>
    </row>
    <row r="1428" spans="1:34" ht="15.750000" customHeight="1">
      <c r="B1428" s="88"/>
      <c r="H1428" s="65"/>
      <c r="I1428" s="65"/>
      <c r="J1428" s="467"/>
      <c r="K1428" s="188"/>
      <c r="L1428" s="162"/>
      <c r="O1428" s="164"/>
      <c r="P1428" s="13"/>
      <c r="Q1428" s="13"/>
      <c r="R1428" s="13"/>
      <c r="S1428" s="13"/>
      <c r="T1428" s="13"/>
      <c r="U1428" s="13"/>
      <c r="V1428" s="165"/>
      <c r="W1428" s="165"/>
      <c r="X1428" s="165"/>
      <c r="Y1428" s="165"/>
      <c r="Z1428" s="166"/>
      <c r="AA1428" s="166"/>
      <c r="AB1428" s="166"/>
      <c r="AC1428" s="166"/>
      <c r="AD1428" s="166"/>
      <c r="AE1428" s="166"/>
      <c r="AF1428" s="166"/>
      <c r="AG1428" s="166"/>
      <c r="AH1428" s="166"/>
    </row>
    <row r="1429" spans="1:34" ht="15.750000" customHeight="1">
      <c r="B1429" s="88"/>
      <c r="H1429" s="65"/>
      <c r="I1429" s="65"/>
      <c r="J1429" s="467"/>
      <c r="K1429" s="188"/>
      <c r="L1429" s="162"/>
      <c r="O1429" s="164"/>
      <c r="P1429" s="13"/>
      <c r="Q1429" s="13"/>
      <c r="R1429" s="13"/>
      <c r="S1429" s="13"/>
      <c r="T1429" s="13"/>
      <c r="U1429" s="13"/>
      <c r="V1429" s="165"/>
      <c r="W1429" s="165"/>
      <c r="X1429" s="165"/>
      <c r="Y1429" s="165"/>
      <c r="Z1429" s="166"/>
      <c r="AA1429" s="166"/>
      <c r="AB1429" s="166"/>
      <c r="AC1429" s="166"/>
      <c r="AD1429" s="166"/>
      <c r="AE1429" s="166"/>
      <c r="AF1429" s="166"/>
      <c r="AG1429" s="166"/>
      <c r="AH1429" s="166"/>
    </row>
    <row r="1430" spans="1:34" ht="15.750000" customHeight="1">
      <c r="B1430" s="88"/>
      <c r="H1430" s="65"/>
      <c r="I1430" s="65"/>
      <c r="J1430" s="467"/>
      <c r="K1430" s="65"/>
      <c r="L1430" s="162"/>
      <c r="O1430" s="164"/>
      <c r="P1430" s="13"/>
      <c r="Q1430" s="13"/>
      <c r="R1430" s="13"/>
      <c r="S1430" s="13"/>
      <c r="T1430" s="13"/>
      <c r="U1430" s="13"/>
      <c r="V1430" s="165"/>
      <c r="W1430" s="165"/>
      <c r="X1430" s="165"/>
      <c r="Y1430" s="165"/>
      <c r="Z1430" s="166"/>
      <c r="AA1430" s="166"/>
      <c r="AB1430" s="166"/>
      <c r="AC1430" s="166"/>
      <c r="AD1430" s="166"/>
      <c r="AE1430" s="166"/>
      <c r="AF1430" s="166"/>
      <c r="AG1430" s="166"/>
      <c r="AH1430" s="166"/>
    </row>
    <row r="1431" spans="1:34" ht="15.750000" customHeight="1">
      <c r="B1431" s="1"/>
      <c r="H1431" s="169"/>
      <c r="I1431" s="65"/>
      <c r="J1431" s="65"/>
      <c r="K1431" s="65"/>
      <c r="L1431" s="162"/>
      <c r="O1431" s="164"/>
      <c r="P1431" s="13"/>
      <c r="Q1431" s="13"/>
      <c r="R1431" s="13"/>
      <c r="S1431" s="13"/>
      <c r="T1431" s="13"/>
      <c r="U1431" s="13"/>
      <c r="V1431" s="165"/>
      <c r="W1431" s="165"/>
      <c r="X1431" s="165"/>
      <c r="Y1431" s="165"/>
      <c r="Z1431" s="166"/>
      <c r="AA1431" s="166"/>
      <c r="AB1431" s="166"/>
      <c r="AC1431" s="166"/>
      <c r="AD1431" s="166"/>
      <c r="AE1431" s="166"/>
      <c r="AF1431" s="166"/>
      <c r="AG1431" s="166"/>
      <c r="AH1431" s="166"/>
    </row>
    <row r="1432" spans="1:34" ht="15.750000" customHeight="1">
      <c r="A1432" s="156" t="s">
        <v>116</v>
      </c>
      <c r="B1432" s="88"/>
      <c r="C1432" s="243"/>
      <c r="D1432" s="243"/>
      <c r="E1432" s="158">
        <f>F1432*120%</f>
        <v>0</v>
      </c>
      <c r="F1432" s="158">
        <f>(D1432-C1432+1)*G1432</f>
        <v>0</v>
      </c>
      <c r="G1432" s="159">
        <f>M1432*40</f>
        <v>0</v>
      </c>
      <c r="H1432" s="65"/>
      <c r="I1432" s="65"/>
      <c r="J1432" s="65"/>
      <c r="K1432" s="65"/>
      <c r="L1432" s="65"/>
      <c r="M1432" s="65"/>
      <c r="N1432" s="163">
        <f>LEN(J1432)</f>
        <v>0</v>
      </c>
      <c r="O1432" s="165"/>
      <c r="P1432" s="165"/>
      <c r="Q1432" s="165"/>
      <c r="R1432" s="165"/>
      <c r="S1432" s="165"/>
      <c r="T1432" s="165"/>
      <c r="U1432" s="165"/>
      <c r="V1432" s="165"/>
      <c r="W1432" s="165"/>
      <c r="X1432" s="165"/>
      <c r="Y1432" s="165"/>
      <c r="Z1432" s="166"/>
      <c r="AA1432" s="166"/>
      <c r="AB1432" s="166"/>
      <c r="AC1432" s="166"/>
      <c r="AD1432" s="166"/>
      <c r="AE1432" s="166"/>
      <c r="AF1432" s="166"/>
      <c r="AG1432" s="166"/>
      <c r="AH1432" s="166"/>
    </row>
    <row r="1433" spans="1:34" ht="15.750000" customHeight="1">
      <c r="B1433" s="1"/>
      <c r="H1433" s="65"/>
      <c r="I1433" s="65"/>
      <c r="J1433" s="65"/>
      <c r="K1433" s="65"/>
      <c r="L1433" s="65"/>
      <c r="O1433" s="165"/>
      <c r="P1433" s="165"/>
      <c r="Q1433" s="165"/>
      <c r="R1433" s="165"/>
      <c r="S1433" s="165"/>
      <c r="T1433" s="165"/>
      <c r="U1433" s="165"/>
      <c r="V1433" s="165"/>
      <c r="W1433" s="165"/>
      <c r="X1433" s="165"/>
      <c r="Y1433" s="165"/>
      <c r="Z1433" s="166"/>
      <c r="AA1433" s="166"/>
      <c r="AB1433" s="166"/>
      <c r="AC1433" s="166"/>
      <c r="AD1433" s="166"/>
      <c r="AE1433" s="166"/>
      <c r="AF1433" s="166"/>
      <c r="AG1433" s="166"/>
      <c r="AH1433" s="166"/>
    </row>
    <row r="1434" spans="1:34" ht="15.750000" customHeight="1">
      <c r="B1434" s="1"/>
      <c r="H1434" s="65"/>
      <c r="I1434" s="65"/>
      <c r="J1434" s="65"/>
      <c r="K1434" s="65"/>
      <c r="L1434" s="65"/>
      <c r="O1434" s="165"/>
      <c r="P1434" s="165"/>
      <c r="Q1434" s="165"/>
      <c r="R1434" s="165"/>
      <c r="S1434" s="165"/>
      <c r="T1434" s="165"/>
      <c r="U1434" s="165"/>
      <c r="V1434" s="165"/>
      <c r="W1434" s="165"/>
      <c r="X1434" s="165"/>
      <c r="Y1434" s="165"/>
      <c r="Z1434" s="166"/>
      <c r="AA1434" s="166"/>
      <c r="AB1434" s="166"/>
      <c r="AC1434" s="166"/>
      <c r="AD1434" s="166"/>
      <c r="AE1434" s="166"/>
      <c r="AF1434" s="166"/>
      <c r="AG1434" s="166"/>
      <c r="AH1434" s="166"/>
    </row>
    <row r="1435" spans="1:34" ht="15.750000" customHeight="1">
      <c r="B1435" s="1"/>
      <c r="H1435" s="65"/>
      <c r="I1435" s="65"/>
      <c r="J1435" s="65"/>
      <c r="K1435" s="65"/>
      <c r="L1435" s="65"/>
      <c r="O1435" s="165"/>
      <c r="P1435" s="165"/>
      <c r="Q1435" s="165"/>
      <c r="R1435" s="165"/>
      <c r="S1435" s="165"/>
      <c r="T1435" s="165"/>
      <c r="U1435" s="165"/>
      <c r="V1435" s="165"/>
      <c r="W1435" s="165"/>
      <c r="X1435" s="165"/>
      <c r="Y1435" s="165"/>
      <c r="Z1435" s="166"/>
      <c r="AA1435" s="166"/>
      <c r="AB1435" s="166"/>
      <c r="AC1435" s="166"/>
      <c r="AD1435" s="166"/>
      <c r="AE1435" s="166"/>
      <c r="AF1435" s="166"/>
      <c r="AG1435" s="166"/>
      <c r="AH1435" s="166"/>
    </row>
    <row r="1436" spans="1:34" ht="15.750000" customHeight="1">
      <c r="B1436" s="1"/>
      <c r="H1436" s="169"/>
      <c r="I1436" s="65"/>
      <c r="J1436" s="65"/>
      <c r="K1436" s="65"/>
      <c r="L1436" s="65"/>
      <c r="O1436" s="165"/>
      <c r="P1436" s="165"/>
      <c r="Q1436" s="165"/>
      <c r="R1436" s="165"/>
      <c r="S1436" s="165"/>
      <c r="T1436" s="165"/>
      <c r="U1436" s="165"/>
      <c r="V1436" s="165"/>
      <c r="W1436" s="165"/>
      <c r="X1436" s="165"/>
      <c r="Y1436" s="165"/>
      <c r="Z1436" s="166"/>
      <c r="AA1436" s="166"/>
      <c r="AB1436" s="166"/>
      <c r="AC1436" s="166"/>
      <c r="AD1436" s="166"/>
      <c r="AE1436" s="166"/>
      <c r="AF1436" s="166"/>
      <c r="AG1436" s="166"/>
      <c r="AH1436" s="166"/>
    </row>
    <row r="1437" spans="1:34" ht="15.750000" customHeight="1">
      <c r="A1437" s="156" t="s">
        <v>116</v>
      </c>
      <c r="B1437" s="88"/>
      <c r="C1437" s="243"/>
      <c r="D1437" s="243"/>
      <c r="E1437" s="158">
        <f>F1437*120%</f>
        <v>0</v>
      </c>
      <c r="F1437" s="158">
        <f>(D1437-C1437+1)*G1437</f>
        <v>0</v>
      </c>
      <c r="G1437" s="159">
        <f>M1437*40</f>
        <v>0</v>
      </c>
      <c r="H1437" s="65"/>
      <c r="I1437" s="65"/>
      <c r="J1437" s="65"/>
      <c r="K1437" s="65"/>
      <c r="L1437" s="65"/>
      <c r="M1437" s="65"/>
      <c r="N1437" s="163">
        <f>LEN(J1437)</f>
        <v>0</v>
      </c>
      <c r="O1437" s="165"/>
      <c r="P1437" s="165"/>
      <c r="Q1437" s="165"/>
      <c r="R1437" s="165"/>
      <c r="S1437" s="165"/>
      <c r="T1437" s="165"/>
      <c r="U1437" s="165"/>
      <c r="V1437" s="165"/>
      <c r="W1437" s="165"/>
      <c r="X1437" s="165"/>
      <c r="Y1437" s="165"/>
      <c r="Z1437" s="166"/>
      <c r="AA1437" s="166"/>
      <c r="AB1437" s="166"/>
      <c r="AC1437" s="166"/>
      <c r="AD1437" s="166"/>
      <c r="AE1437" s="166"/>
      <c r="AF1437" s="166"/>
      <c r="AG1437" s="166"/>
      <c r="AH1437" s="166"/>
    </row>
    <row r="1438" spans="1:34" ht="15.750000" customHeight="1">
      <c r="B1438" s="1"/>
      <c r="H1438" s="65"/>
      <c r="I1438" s="65"/>
      <c r="J1438" s="65"/>
      <c r="K1438" s="65"/>
      <c r="L1438" s="65"/>
      <c r="O1438" s="165"/>
      <c r="P1438" s="165"/>
      <c r="Q1438" s="165"/>
      <c r="R1438" s="165"/>
      <c r="S1438" s="165"/>
      <c r="T1438" s="165"/>
      <c r="U1438" s="165"/>
      <c r="V1438" s="165"/>
      <c r="W1438" s="165"/>
      <c r="X1438" s="165"/>
      <c r="Y1438" s="165"/>
      <c r="Z1438" s="166"/>
      <c r="AA1438" s="166"/>
      <c r="AB1438" s="166"/>
      <c r="AC1438" s="166"/>
      <c r="AD1438" s="166"/>
      <c r="AE1438" s="166"/>
      <c r="AF1438" s="166"/>
      <c r="AG1438" s="166"/>
      <c r="AH1438" s="166"/>
    </row>
    <row r="1439" spans="1:34" ht="15.750000" customHeight="1">
      <c r="B1439" s="1"/>
      <c r="H1439" s="65"/>
      <c r="I1439" s="65"/>
      <c r="J1439" s="65"/>
      <c r="K1439" s="65"/>
      <c r="L1439" s="65"/>
      <c r="O1439" s="165"/>
      <c r="P1439" s="165"/>
      <c r="Q1439" s="165"/>
      <c r="R1439" s="165"/>
      <c r="S1439" s="165"/>
      <c r="T1439" s="165"/>
      <c r="U1439" s="165"/>
      <c r="V1439" s="165"/>
      <c r="W1439" s="165"/>
      <c r="X1439" s="165"/>
      <c r="Y1439" s="165"/>
      <c r="Z1439" s="166"/>
      <c r="AA1439" s="166"/>
      <c r="AB1439" s="166"/>
      <c r="AC1439" s="166"/>
      <c r="AD1439" s="166"/>
      <c r="AE1439" s="166"/>
      <c r="AF1439" s="166"/>
      <c r="AG1439" s="166"/>
      <c r="AH1439" s="166"/>
    </row>
    <row r="1440" spans="1:34" ht="15.750000" customHeight="1">
      <c r="B1440" s="1"/>
      <c r="H1440" s="65"/>
      <c r="I1440" s="65"/>
      <c r="J1440" s="65"/>
      <c r="K1440" s="65"/>
      <c r="L1440" s="65"/>
      <c r="O1440" s="165"/>
      <c r="P1440" s="165"/>
      <c r="Q1440" s="165"/>
      <c r="R1440" s="165"/>
      <c r="S1440" s="165"/>
      <c r="T1440" s="165"/>
      <c r="U1440" s="165"/>
      <c r="V1440" s="165"/>
      <c r="W1440" s="165"/>
      <c r="X1440" s="165"/>
      <c r="Y1440" s="165"/>
      <c r="Z1440" s="166"/>
      <c r="AA1440" s="166"/>
      <c r="AB1440" s="166"/>
      <c r="AC1440" s="166"/>
      <c r="AD1440" s="166"/>
      <c r="AE1440" s="166"/>
      <c r="AF1440" s="166"/>
      <c r="AG1440" s="166"/>
      <c r="AH1440" s="166"/>
    </row>
    <row r="1441" spans="1:34" ht="15.750000" customHeight="1">
      <c r="B1441" s="1"/>
      <c r="H1441" s="169"/>
      <c r="I1441" s="65"/>
      <c r="J1441" s="65"/>
      <c r="K1441" s="65"/>
      <c r="L1441" s="65"/>
      <c r="O1441" s="165"/>
      <c r="P1441" s="165"/>
      <c r="Q1441" s="165"/>
      <c r="R1441" s="165"/>
      <c r="S1441" s="165"/>
      <c r="T1441" s="165"/>
      <c r="U1441" s="165"/>
      <c r="V1441" s="165"/>
      <c r="W1441" s="165"/>
      <c r="X1441" s="165"/>
      <c r="Y1441" s="165"/>
      <c r="Z1441" s="166"/>
      <c r="AA1441" s="166"/>
      <c r="AB1441" s="166"/>
      <c r="AC1441" s="166"/>
      <c r="AD1441" s="166"/>
      <c r="AE1441" s="166"/>
      <c r="AF1441" s="166"/>
      <c r="AG1441" s="166"/>
      <c r="AH1441" s="166"/>
    </row>
    <row r="1442" spans="1:34" ht="15.750000" customHeight="1">
      <c r="A1442" s="156" t="s">
        <v>116</v>
      </c>
      <c r="B1442" s="88"/>
      <c r="C1442" s="243"/>
      <c r="D1442" s="243"/>
      <c r="E1442" s="158">
        <f>F1442*120%</f>
        <v>0</v>
      </c>
      <c r="F1442" s="158">
        <f>(D1442-C1442+1)*G1442</f>
        <v>0</v>
      </c>
      <c r="G1442" s="159">
        <f>M1442*40</f>
        <v>0</v>
      </c>
      <c r="H1442" s="65"/>
      <c r="I1442" s="65"/>
      <c r="J1442" s="65"/>
      <c r="K1442" s="65"/>
      <c r="L1442" s="65"/>
      <c r="M1442" s="65"/>
      <c r="N1442" s="163">
        <f>LEN(J1442)</f>
        <v>0</v>
      </c>
      <c r="O1442" s="165"/>
      <c r="P1442" s="165"/>
      <c r="Q1442" s="165"/>
      <c r="R1442" s="165"/>
      <c r="S1442" s="165"/>
      <c r="T1442" s="165"/>
      <c r="U1442" s="165"/>
      <c r="V1442" s="165"/>
      <c r="W1442" s="165"/>
      <c r="X1442" s="165"/>
      <c r="Y1442" s="165"/>
      <c r="Z1442" s="166"/>
      <c r="AA1442" s="166"/>
      <c r="AB1442" s="166"/>
      <c r="AC1442" s="166"/>
      <c r="AD1442" s="166"/>
      <c r="AE1442" s="166"/>
      <c r="AF1442" s="166"/>
      <c r="AG1442" s="166"/>
      <c r="AH1442" s="166"/>
    </row>
    <row r="1443" spans="1:34" ht="15.750000" customHeight="1">
      <c r="B1443" s="1"/>
      <c r="H1443" s="65"/>
      <c r="I1443" s="65"/>
      <c r="J1443" s="65"/>
      <c r="K1443" s="65"/>
      <c r="L1443" s="65"/>
      <c r="O1443" s="165"/>
      <c r="P1443" s="165"/>
      <c r="Q1443" s="165"/>
      <c r="R1443" s="165"/>
      <c r="S1443" s="165"/>
      <c r="T1443" s="165"/>
      <c r="U1443" s="165"/>
      <c r="V1443" s="165"/>
      <c r="W1443" s="165"/>
      <c r="X1443" s="165"/>
      <c r="Y1443" s="165"/>
      <c r="Z1443" s="166"/>
      <c r="AA1443" s="166"/>
      <c r="AB1443" s="166"/>
      <c r="AC1443" s="166"/>
      <c r="AD1443" s="166"/>
      <c r="AE1443" s="166"/>
      <c r="AF1443" s="166"/>
      <c r="AG1443" s="166"/>
      <c r="AH1443" s="166"/>
    </row>
    <row r="1444" spans="1:34" ht="15.750000" customHeight="1">
      <c r="B1444" s="1"/>
      <c r="H1444" s="65"/>
      <c r="I1444" s="65"/>
      <c r="J1444" s="65"/>
      <c r="K1444" s="65"/>
      <c r="L1444" s="65"/>
      <c r="O1444" s="165"/>
      <c r="P1444" s="165"/>
      <c r="Q1444" s="165"/>
      <c r="R1444" s="165"/>
      <c r="S1444" s="165"/>
      <c r="T1444" s="165"/>
      <c r="U1444" s="165"/>
      <c r="V1444" s="165"/>
      <c r="W1444" s="165"/>
      <c r="X1444" s="165"/>
      <c r="Y1444" s="165"/>
      <c r="Z1444" s="166"/>
      <c r="AA1444" s="166"/>
      <c r="AB1444" s="166"/>
      <c r="AC1444" s="166"/>
      <c r="AD1444" s="166"/>
      <c r="AE1444" s="166"/>
      <c r="AF1444" s="166"/>
      <c r="AG1444" s="166"/>
      <c r="AH1444" s="166"/>
    </row>
    <row r="1445" spans="1:34" ht="15.750000" customHeight="1">
      <c r="B1445" s="1"/>
      <c r="H1445" s="65"/>
      <c r="I1445" s="65"/>
      <c r="J1445" s="65"/>
      <c r="K1445" s="65"/>
      <c r="L1445" s="65"/>
      <c r="O1445" s="165"/>
      <c r="P1445" s="165"/>
      <c r="Q1445" s="165"/>
      <c r="R1445" s="165"/>
      <c r="S1445" s="165"/>
      <c r="T1445" s="165"/>
      <c r="U1445" s="165"/>
      <c r="V1445" s="165"/>
      <c r="W1445" s="165"/>
      <c r="X1445" s="165"/>
      <c r="Y1445" s="165"/>
      <c r="Z1445" s="166"/>
      <c r="AA1445" s="166"/>
      <c r="AB1445" s="166"/>
      <c r="AC1445" s="166"/>
      <c r="AD1445" s="166"/>
      <c r="AE1445" s="166"/>
      <c r="AF1445" s="166"/>
      <c r="AG1445" s="166"/>
      <c r="AH1445" s="166"/>
    </row>
    <row r="1446" spans="1:34" ht="15.750000" customHeight="1">
      <c r="B1446" s="1"/>
      <c r="H1446" s="169"/>
      <c r="I1446" s="65"/>
      <c r="J1446" s="65"/>
      <c r="K1446" s="65"/>
      <c r="L1446" s="65"/>
      <c r="O1446" s="165"/>
      <c r="P1446" s="165"/>
      <c r="Q1446" s="165"/>
      <c r="R1446" s="165"/>
      <c r="S1446" s="165"/>
      <c r="T1446" s="165"/>
      <c r="U1446" s="165"/>
      <c r="V1446" s="165"/>
      <c r="W1446" s="165"/>
      <c r="X1446" s="165"/>
      <c r="Y1446" s="165"/>
      <c r="Z1446" s="166"/>
      <c r="AA1446" s="166"/>
      <c r="AB1446" s="166"/>
      <c r="AC1446" s="166"/>
      <c r="AD1446" s="166"/>
      <c r="AE1446" s="166"/>
      <c r="AF1446" s="166"/>
      <c r="AG1446" s="166"/>
      <c r="AH1446" s="166"/>
    </row>
    <row r="1447" spans="1:34" ht="15.750000" customHeight="1">
      <c r="A1447" s="156" t="s">
        <v>116</v>
      </c>
      <c r="B1447" s="88"/>
      <c r="C1447" s="243"/>
      <c r="D1447" s="243"/>
      <c r="E1447" s="158">
        <f>F1447*120%</f>
        <v>0</v>
      </c>
      <c r="F1447" s="158">
        <f>(D1447-C1447+1)*G1447</f>
        <v>0</v>
      </c>
      <c r="G1447" s="159">
        <f>M1447*40</f>
        <v>0</v>
      </c>
      <c r="H1447" s="65"/>
      <c r="I1447" s="65"/>
      <c r="J1447" s="65"/>
      <c r="K1447" s="65"/>
      <c r="L1447" s="65"/>
      <c r="M1447" s="65"/>
      <c r="N1447" s="163">
        <f>LEN(J1447)</f>
        <v>0</v>
      </c>
      <c r="O1447" s="165"/>
      <c r="P1447" s="165"/>
      <c r="Q1447" s="165"/>
      <c r="R1447" s="165"/>
      <c r="S1447" s="165"/>
      <c r="T1447" s="165"/>
      <c r="U1447" s="165"/>
      <c r="V1447" s="165"/>
      <c r="W1447" s="165"/>
      <c r="X1447" s="165"/>
      <c r="Y1447" s="165"/>
      <c r="Z1447" s="166"/>
      <c r="AA1447" s="166"/>
      <c r="AB1447" s="166"/>
      <c r="AC1447" s="166"/>
      <c r="AD1447" s="166"/>
      <c r="AE1447" s="166"/>
      <c r="AF1447" s="166"/>
      <c r="AG1447" s="166"/>
      <c r="AH1447" s="166"/>
    </row>
    <row r="1448" spans="1:34" ht="15.750000" customHeight="1">
      <c r="B1448" s="1"/>
      <c r="H1448" s="65"/>
      <c r="I1448" s="65"/>
      <c r="J1448" s="65"/>
      <c r="K1448" s="65"/>
      <c r="L1448" s="65"/>
      <c r="O1448" s="165"/>
      <c r="P1448" s="165"/>
      <c r="Q1448" s="165"/>
      <c r="R1448" s="165"/>
      <c r="S1448" s="165"/>
      <c r="T1448" s="165"/>
      <c r="U1448" s="165"/>
      <c r="V1448" s="165"/>
      <c r="W1448" s="165"/>
      <c r="X1448" s="165"/>
      <c r="Y1448" s="165"/>
      <c r="Z1448" s="166"/>
      <c r="AA1448" s="166"/>
      <c r="AB1448" s="166"/>
      <c r="AC1448" s="166"/>
      <c r="AD1448" s="166"/>
      <c r="AE1448" s="166"/>
      <c r="AF1448" s="166"/>
      <c r="AG1448" s="166"/>
      <c r="AH1448" s="166"/>
    </row>
    <row r="1449" spans="1:34" ht="15.750000" customHeight="1">
      <c r="B1449" s="1"/>
      <c r="H1449" s="65"/>
      <c r="I1449" s="65"/>
      <c r="J1449" s="65"/>
      <c r="K1449" s="65"/>
      <c r="L1449" s="65"/>
      <c r="O1449" s="165"/>
      <c r="P1449" s="165"/>
      <c r="Q1449" s="165"/>
      <c r="R1449" s="165"/>
      <c r="S1449" s="165"/>
      <c r="T1449" s="165"/>
      <c r="U1449" s="165"/>
      <c r="V1449" s="165"/>
      <c r="W1449" s="165"/>
      <c r="X1449" s="165"/>
      <c r="Y1449" s="165"/>
      <c r="Z1449" s="166"/>
      <c r="AA1449" s="166"/>
      <c r="AB1449" s="166"/>
      <c r="AC1449" s="166"/>
      <c r="AD1449" s="166"/>
      <c r="AE1449" s="166"/>
      <c r="AF1449" s="166"/>
      <c r="AG1449" s="166"/>
      <c r="AH1449" s="166"/>
    </row>
    <row r="1450" spans="1:34" ht="15.750000" customHeight="1">
      <c r="B1450" s="1"/>
      <c r="H1450" s="65"/>
      <c r="I1450" s="65"/>
      <c r="J1450" s="65"/>
      <c r="K1450" s="65"/>
      <c r="L1450" s="65"/>
      <c r="O1450" s="165"/>
      <c r="P1450" s="165"/>
      <c r="Q1450" s="165"/>
      <c r="R1450" s="165"/>
      <c r="S1450" s="165"/>
      <c r="T1450" s="165"/>
      <c r="U1450" s="165"/>
      <c r="V1450" s="165"/>
      <c r="W1450" s="165"/>
      <c r="X1450" s="165"/>
      <c r="Y1450" s="165"/>
      <c r="Z1450" s="166"/>
      <c r="AA1450" s="166"/>
      <c r="AB1450" s="166"/>
      <c r="AC1450" s="166"/>
      <c r="AD1450" s="166"/>
      <c r="AE1450" s="166"/>
      <c r="AF1450" s="166"/>
      <c r="AG1450" s="166"/>
      <c r="AH1450" s="166"/>
    </row>
    <row r="1451" spans="1:34" ht="15.750000" customHeight="1">
      <c r="B1451" s="1"/>
      <c r="H1451" s="169"/>
      <c r="I1451" s="65"/>
      <c r="J1451" s="65"/>
      <c r="K1451" s="65"/>
      <c r="L1451" s="65"/>
      <c r="O1451" s="165"/>
      <c r="P1451" s="165"/>
      <c r="Q1451" s="165"/>
      <c r="R1451" s="165"/>
      <c r="S1451" s="165"/>
      <c r="T1451" s="165"/>
      <c r="U1451" s="165"/>
      <c r="V1451" s="165"/>
      <c r="W1451" s="165"/>
      <c r="X1451" s="165"/>
      <c r="Y1451" s="165"/>
      <c r="Z1451" s="166"/>
      <c r="AA1451" s="166"/>
      <c r="AB1451" s="166"/>
      <c r="AC1451" s="166"/>
      <c r="AD1451" s="166"/>
      <c r="AE1451" s="166"/>
      <c r="AF1451" s="166"/>
      <c r="AG1451" s="166"/>
      <c r="AH1451" s="166"/>
    </row>
    <row r="1452" spans="1:34" ht="15.750000" customHeight="1">
      <c r="A1452" s="156" t="s">
        <v>116</v>
      </c>
      <c r="B1452" s="88"/>
      <c r="C1452" s="243"/>
      <c r="D1452" s="243"/>
      <c r="E1452" s="158">
        <f>F1452*120%</f>
        <v>0</v>
      </c>
      <c r="F1452" s="158">
        <f>(D1452-C1452+1)*G1452</f>
        <v>0</v>
      </c>
      <c r="G1452" s="159">
        <f>M1452*40</f>
        <v>0</v>
      </c>
      <c r="H1452" s="65"/>
      <c r="I1452" s="65"/>
      <c r="J1452" s="65"/>
      <c r="K1452" s="65"/>
      <c r="L1452" s="65"/>
      <c r="M1452" s="65"/>
      <c r="N1452" s="163">
        <f>LEN(J1452)</f>
        <v>0</v>
      </c>
      <c r="O1452" s="165"/>
      <c r="P1452" s="165"/>
      <c r="Q1452" s="165"/>
      <c r="R1452" s="165"/>
      <c r="S1452" s="165"/>
      <c r="T1452" s="165"/>
      <c r="U1452" s="165"/>
      <c r="V1452" s="165"/>
      <c r="W1452" s="165"/>
      <c r="X1452" s="165"/>
      <c r="Y1452" s="165"/>
      <c r="Z1452" s="166"/>
      <c r="AA1452" s="166"/>
      <c r="AB1452" s="166"/>
      <c r="AC1452" s="166"/>
      <c r="AD1452" s="166"/>
      <c r="AE1452" s="166"/>
      <c r="AF1452" s="166"/>
      <c r="AG1452" s="166"/>
      <c r="AH1452" s="166"/>
    </row>
    <row r="1453" spans="1:34" ht="15.750000" customHeight="1">
      <c r="B1453" s="1"/>
      <c r="H1453" s="65"/>
      <c r="I1453" s="65"/>
      <c r="J1453" s="65"/>
      <c r="K1453" s="65"/>
      <c r="L1453" s="65"/>
      <c r="O1453" s="165"/>
      <c r="P1453" s="165"/>
      <c r="Q1453" s="165"/>
      <c r="R1453" s="165"/>
      <c r="S1453" s="165"/>
      <c r="T1453" s="165"/>
      <c r="U1453" s="165"/>
      <c r="V1453" s="165"/>
      <c r="W1453" s="165"/>
      <c r="X1453" s="165"/>
      <c r="Y1453" s="165"/>
      <c r="Z1453" s="166"/>
      <c r="AA1453" s="166"/>
      <c r="AB1453" s="166"/>
      <c r="AC1453" s="166"/>
      <c r="AD1453" s="166"/>
      <c r="AE1453" s="166"/>
      <c r="AF1453" s="166"/>
      <c r="AG1453" s="166"/>
      <c r="AH1453" s="166"/>
    </row>
    <row r="1454" spans="1:34" ht="15.750000" customHeight="1">
      <c r="B1454" s="1"/>
      <c r="H1454" s="65"/>
      <c r="I1454" s="65"/>
      <c r="J1454" s="65"/>
      <c r="K1454" s="65"/>
      <c r="L1454" s="65"/>
      <c r="O1454" s="165"/>
      <c r="P1454" s="165"/>
      <c r="Q1454" s="165"/>
      <c r="R1454" s="165"/>
      <c r="S1454" s="165"/>
      <c r="T1454" s="165"/>
      <c r="U1454" s="165"/>
      <c r="V1454" s="165"/>
      <c r="W1454" s="165"/>
      <c r="X1454" s="165"/>
      <c r="Y1454" s="165"/>
      <c r="Z1454" s="166"/>
      <c r="AA1454" s="166"/>
      <c r="AB1454" s="166"/>
      <c r="AC1454" s="166"/>
      <c r="AD1454" s="166"/>
      <c r="AE1454" s="166"/>
      <c r="AF1454" s="166"/>
      <c r="AG1454" s="166"/>
      <c r="AH1454" s="166"/>
    </row>
    <row r="1455" spans="1:34" ht="15.750000" customHeight="1">
      <c r="B1455" s="1"/>
      <c r="H1455" s="65"/>
      <c r="I1455" s="65"/>
      <c r="J1455" s="65"/>
      <c r="K1455" s="65"/>
      <c r="L1455" s="65"/>
      <c r="O1455" s="165"/>
      <c r="P1455" s="165"/>
      <c r="Q1455" s="165"/>
      <c r="R1455" s="165"/>
      <c r="S1455" s="165"/>
      <c r="T1455" s="165"/>
      <c r="U1455" s="165"/>
      <c r="V1455" s="165"/>
      <c r="W1455" s="165"/>
      <c r="X1455" s="165"/>
      <c r="Y1455" s="165"/>
      <c r="Z1455" s="166"/>
      <c r="AA1455" s="166"/>
      <c r="AB1455" s="166"/>
      <c r="AC1455" s="166"/>
      <c r="AD1455" s="166"/>
      <c r="AE1455" s="166"/>
      <c r="AF1455" s="166"/>
      <c r="AG1455" s="166"/>
      <c r="AH1455" s="166"/>
    </row>
    <row r="1456" spans="1:34" ht="15.750000" customHeight="1">
      <c r="B1456" s="1"/>
      <c r="H1456" s="169"/>
      <c r="I1456" s="65"/>
      <c r="J1456" s="65"/>
      <c r="K1456" s="65"/>
      <c r="L1456" s="65"/>
      <c r="O1456" s="165"/>
      <c r="P1456" s="165"/>
      <c r="Q1456" s="165"/>
      <c r="R1456" s="165"/>
      <c r="S1456" s="165"/>
      <c r="T1456" s="165"/>
      <c r="U1456" s="165"/>
      <c r="V1456" s="165"/>
      <c r="W1456" s="165"/>
      <c r="X1456" s="165"/>
      <c r="Y1456" s="165"/>
      <c r="Z1456" s="166"/>
      <c r="AA1456" s="166"/>
      <c r="AB1456" s="166"/>
      <c r="AC1456" s="166"/>
      <c r="AD1456" s="166"/>
      <c r="AE1456" s="166"/>
      <c r="AF1456" s="166"/>
      <c r="AG1456" s="166"/>
      <c r="AH1456" s="166"/>
    </row>
    <row r="1457" spans="1:34" ht="15.750000" customHeight="1">
      <c r="A1457" s="156" t="s">
        <v>116</v>
      </c>
      <c r="B1457" s="88"/>
      <c r="C1457" s="243"/>
      <c r="D1457" s="243"/>
      <c r="E1457" s="158">
        <f>F1457*120%</f>
        <v>0</v>
      </c>
      <c r="F1457" s="158">
        <f>(D1457-C1457+1)*G1457</f>
        <v>0</v>
      </c>
      <c r="G1457" s="159">
        <f>M1457*40</f>
        <v>0</v>
      </c>
      <c r="H1457" s="65"/>
      <c r="I1457" s="65"/>
      <c r="J1457" s="65"/>
      <c r="K1457" s="65"/>
      <c r="L1457" s="65"/>
      <c r="M1457" s="65"/>
      <c r="N1457" s="163">
        <f>LEN(J1457)</f>
        <v>0</v>
      </c>
      <c r="O1457" s="165"/>
      <c r="P1457" s="165"/>
      <c r="Q1457" s="165"/>
      <c r="R1457" s="165"/>
      <c r="S1457" s="165"/>
      <c r="T1457" s="165"/>
      <c r="U1457" s="165"/>
      <c r="V1457" s="165"/>
      <c r="W1457" s="165"/>
      <c r="X1457" s="165"/>
      <c r="Y1457" s="165"/>
      <c r="Z1457" s="166"/>
      <c r="AA1457" s="166"/>
      <c r="AB1457" s="166"/>
      <c r="AC1457" s="166"/>
      <c r="AD1457" s="166"/>
      <c r="AE1457" s="166"/>
      <c r="AF1457" s="166"/>
      <c r="AG1457" s="166"/>
      <c r="AH1457" s="166"/>
    </row>
    <row r="1458" spans="1:34" ht="15.750000" customHeight="1">
      <c r="B1458" s="1"/>
      <c r="H1458" s="65"/>
      <c r="I1458" s="65"/>
      <c r="J1458" s="65"/>
      <c r="K1458" s="65"/>
      <c r="L1458" s="65"/>
      <c r="O1458" s="165"/>
      <c r="P1458" s="165"/>
      <c r="Q1458" s="165"/>
      <c r="R1458" s="165"/>
      <c r="S1458" s="165"/>
      <c r="T1458" s="165"/>
      <c r="U1458" s="165"/>
      <c r="V1458" s="165"/>
      <c r="W1458" s="165"/>
      <c r="X1458" s="165"/>
      <c r="Y1458" s="165"/>
      <c r="Z1458" s="166"/>
      <c r="AA1458" s="166"/>
      <c r="AB1458" s="166"/>
      <c r="AC1458" s="166"/>
      <c r="AD1458" s="166"/>
      <c r="AE1458" s="166"/>
      <c r="AF1458" s="166"/>
      <c r="AG1458" s="166"/>
      <c r="AH1458" s="166"/>
    </row>
    <row r="1459" spans="1:34" ht="15.750000" customHeight="1">
      <c r="B1459" s="1"/>
      <c r="H1459" s="65"/>
      <c r="I1459" s="65"/>
      <c r="J1459" s="65"/>
      <c r="K1459" s="65"/>
      <c r="L1459" s="65"/>
      <c r="O1459" s="165"/>
      <c r="P1459" s="165"/>
      <c r="Q1459" s="165"/>
      <c r="R1459" s="165"/>
      <c r="S1459" s="165"/>
      <c r="T1459" s="165"/>
      <c r="U1459" s="165"/>
      <c r="V1459" s="165"/>
      <c r="W1459" s="165"/>
      <c r="X1459" s="165"/>
      <c r="Y1459" s="165"/>
      <c r="Z1459" s="166"/>
      <c r="AA1459" s="166"/>
      <c r="AB1459" s="166"/>
      <c r="AC1459" s="166"/>
      <c r="AD1459" s="166"/>
      <c r="AE1459" s="166"/>
      <c r="AF1459" s="166"/>
      <c r="AG1459" s="166"/>
      <c r="AH1459" s="166"/>
    </row>
    <row r="1460" spans="1:34" ht="15.750000" customHeight="1">
      <c r="B1460" s="1"/>
      <c r="H1460" s="65"/>
      <c r="I1460" s="65"/>
      <c r="J1460" s="65"/>
      <c r="K1460" s="65"/>
      <c r="L1460" s="65"/>
      <c r="O1460" s="165"/>
      <c r="P1460" s="165"/>
      <c r="Q1460" s="165"/>
      <c r="R1460" s="165"/>
      <c r="S1460" s="165"/>
      <c r="T1460" s="165"/>
      <c r="U1460" s="165"/>
      <c r="V1460" s="165"/>
      <c r="W1460" s="165"/>
      <c r="X1460" s="165"/>
      <c r="Y1460" s="165"/>
      <c r="Z1460" s="166"/>
      <c r="AA1460" s="166"/>
      <c r="AB1460" s="166"/>
      <c r="AC1460" s="166"/>
      <c r="AD1460" s="166"/>
      <c r="AE1460" s="166"/>
      <c r="AF1460" s="166"/>
      <c r="AG1460" s="166"/>
      <c r="AH1460" s="166"/>
    </row>
    <row r="1461" spans="1:34" ht="15.750000" customHeight="1">
      <c r="B1461" s="1"/>
      <c r="H1461" s="169"/>
      <c r="I1461" s="65"/>
      <c r="J1461" s="65"/>
      <c r="K1461" s="65"/>
      <c r="L1461" s="65"/>
      <c r="O1461" s="165"/>
      <c r="P1461" s="165"/>
      <c r="Q1461" s="165"/>
      <c r="R1461" s="165"/>
      <c r="S1461" s="165"/>
      <c r="T1461" s="165"/>
      <c r="U1461" s="165"/>
      <c r="V1461" s="165"/>
      <c r="W1461" s="165"/>
      <c r="X1461" s="165"/>
      <c r="Y1461" s="165"/>
      <c r="Z1461" s="166"/>
      <c r="AA1461" s="166"/>
      <c r="AB1461" s="166"/>
      <c r="AC1461" s="166"/>
      <c r="AD1461" s="166"/>
      <c r="AE1461" s="166"/>
      <c r="AF1461" s="166"/>
      <c r="AG1461" s="166"/>
      <c r="AH1461" s="166"/>
    </row>
    <row r="1462" spans="1:34" ht="15.750000" customHeight="1">
      <c r="A1462" s="156" t="s">
        <v>116</v>
      </c>
      <c r="B1462" s="88"/>
      <c r="C1462" s="243"/>
      <c r="D1462" s="243"/>
      <c r="E1462" s="158">
        <f>F1462*120%</f>
        <v>0</v>
      </c>
      <c r="F1462" s="158">
        <f>(D1462-C1462+1)*G1462</f>
        <v>0</v>
      </c>
      <c r="G1462" s="159">
        <f>M1462*40</f>
        <v>0</v>
      </c>
      <c r="H1462" s="65"/>
      <c r="I1462" s="65"/>
      <c r="J1462" s="65"/>
      <c r="K1462" s="65"/>
      <c r="L1462" s="65"/>
      <c r="M1462" s="65"/>
      <c r="N1462" s="163">
        <f>LEN(J1462)</f>
        <v>0</v>
      </c>
      <c r="O1462" s="165"/>
      <c r="P1462" s="165"/>
      <c r="Q1462" s="165"/>
      <c r="R1462" s="165"/>
      <c r="S1462" s="165"/>
      <c r="T1462" s="165"/>
      <c r="U1462" s="165"/>
      <c r="V1462" s="165"/>
      <c r="W1462" s="165"/>
      <c r="X1462" s="165"/>
      <c r="Y1462" s="165"/>
      <c r="Z1462" s="166"/>
      <c r="AA1462" s="166"/>
      <c r="AB1462" s="166"/>
      <c r="AC1462" s="166"/>
      <c r="AD1462" s="166"/>
      <c r="AE1462" s="166"/>
      <c r="AF1462" s="166"/>
      <c r="AG1462" s="166"/>
      <c r="AH1462" s="166"/>
    </row>
    <row r="1463" spans="1:34" ht="15.750000" customHeight="1">
      <c r="B1463" s="1"/>
      <c r="H1463" s="65"/>
      <c r="I1463" s="65"/>
      <c r="J1463" s="65"/>
      <c r="K1463" s="65"/>
      <c r="L1463" s="65"/>
      <c r="O1463" s="165"/>
      <c r="P1463" s="165"/>
      <c r="Q1463" s="165"/>
      <c r="R1463" s="165"/>
      <c r="S1463" s="165"/>
      <c r="T1463" s="165"/>
      <c r="U1463" s="165"/>
      <c r="V1463" s="165"/>
      <c r="W1463" s="165"/>
      <c r="X1463" s="165"/>
      <c r="Y1463" s="165"/>
      <c r="Z1463" s="166"/>
      <c r="AA1463" s="166"/>
      <c r="AB1463" s="166"/>
      <c r="AC1463" s="166"/>
      <c r="AD1463" s="166"/>
      <c r="AE1463" s="166"/>
      <c r="AF1463" s="166"/>
      <c r="AG1463" s="166"/>
      <c r="AH1463" s="166"/>
    </row>
    <row r="1464" spans="1:34" ht="15.750000" customHeight="1">
      <c r="B1464" s="1"/>
      <c r="H1464" s="65"/>
      <c r="I1464" s="65"/>
      <c r="J1464" s="65"/>
      <c r="K1464" s="65"/>
      <c r="L1464" s="65"/>
      <c r="O1464" s="165"/>
      <c r="P1464" s="165"/>
      <c r="Q1464" s="165"/>
      <c r="R1464" s="165"/>
      <c r="S1464" s="165"/>
      <c r="T1464" s="165"/>
      <c r="U1464" s="165"/>
      <c r="V1464" s="165"/>
      <c r="W1464" s="165"/>
      <c r="X1464" s="165"/>
      <c r="Y1464" s="165"/>
      <c r="Z1464" s="166"/>
      <c r="AA1464" s="166"/>
      <c r="AB1464" s="166"/>
      <c r="AC1464" s="166"/>
      <c r="AD1464" s="166"/>
      <c r="AE1464" s="166"/>
      <c r="AF1464" s="166"/>
      <c r="AG1464" s="166"/>
      <c r="AH1464" s="166"/>
    </row>
    <row r="1465" spans="1:34" ht="15.750000" customHeight="1">
      <c r="B1465" s="1"/>
      <c r="H1465" s="65"/>
      <c r="I1465" s="65"/>
      <c r="J1465" s="65"/>
      <c r="K1465" s="65"/>
      <c r="L1465" s="65"/>
      <c r="O1465" s="165"/>
      <c r="P1465" s="165"/>
      <c r="Q1465" s="165"/>
      <c r="R1465" s="165"/>
      <c r="S1465" s="165"/>
      <c r="T1465" s="165"/>
      <c r="U1465" s="165"/>
      <c r="V1465" s="165"/>
      <c r="W1465" s="165"/>
      <c r="X1465" s="165"/>
      <c r="Y1465" s="165"/>
      <c r="Z1465" s="166"/>
      <c r="AA1465" s="166"/>
      <c r="AB1465" s="166"/>
      <c r="AC1465" s="166"/>
      <c r="AD1465" s="166"/>
      <c r="AE1465" s="166"/>
      <c r="AF1465" s="166"/>
      <c r="AG1465" s="166"/>
      <c r="AH1465" s="166"/>
    </row>
    <row r="1466" spans="1:34" ht="15.750000" customHeight="1">
      <c r="B1466" s="1"/>
      <c r="H1466" s="169"/>
      <c r="I1466" s="65"/>
      <c r="J1466" s="65"/>
      <c r="K1466" s="65"/>
      <c r="L1466" s="65"/>
      <c r="O1466" s="165"/>
      <c r="P1466" s="165"/>
      <c r="Q1466" s="165"/>
      <c r="R1466" s="165"/>
      <c r="S1466" s="165"/>
      <c r="T1466" s="165"/>
      <c r="U1466" s="165"/>
      <c r="V1466" s="165"/>
      <c r="W1466" s="165"/>
      <c r="X1466" s="165"/>
      <c r="Y1466" s="165"/>
      <c r="Z1466" s="166"/>
      <c r="AA1466" s="166"/>
      <c r="AB1466" s="166"/>
      <c r="AC1466" s="166"/>
      <c r="AD1466" s="166"/>
      <c r="AE1466" s="166"/>
      <c r="AF1466" s="166"/>
      <c r="AG1466" s="166"/>
      <c r="AH1466" s="166"/>
    </row>
    <row r="1467" spans="1:34" ht="15.750000" customHeight="1">
      <c r="A1467" s="156" t="s">
        <v>116</v>
      </c>
      <c r="B1467" s="88"/>
      <c r="C1467" s="243"/>
      <c r="D1467" s="243"/>
      <c r="E1467" s="158">
        <f>F1467*120%</f>
        <v>0</v>
      </c>
      <c r="F1467" s="158">
        <f>(D1467-C1467+1)*G1467</f>
        <v>0</v>
      </c>
      <c r="G1467" s="159">
        <f>M1467*40</f>
        <v>0</v>
      </c>
      <c r="H1467" s="65"/>
      <c r="I1467" s="65"/>
      <c r="J1467" s="65"/>
      <c r="K1467" s="65"/>
      <c r="L1467" s="65"/>
      <c r="M1467" s="65"/>
      <c r="N1467" s="163">
        <f>LEN(J1467)</f>
        <v>0</v>
      </c>
      <c r="O1467" s="165"/>
      <c r="P1467" s="165"/>
      <c r="Q1467" s="165"/>
      <c r="R1467" s="165"/>
      <c r="S1467" s="165"/>
      <c r="T1467" s="165"/>
      <c r="U1467" s="165"/>
      <c r="V1467" s="165"/>
      <c r="W1467" s="165"/>
      <c r="X1467" s="165"/>
      <c r="Y1467" s="165"/>
      <c r="Z1467" s="166"/>
      <c r="AA1467" s="166"/>
      <c r="AB1467" s="166"/>
      <c r="AC1467" s="166"/>
      <c r="AD1467" s="166"/>
      <c r="AE1467" s="166"/>
      <c r="AF1467" s="166"/>
      <c r="AG1467" s="166"/>
      <c r="AH1467" s="166"/>
    </row>
    <row r="1468" spans="1:34" ht="15.750000" customHeight="1">
      <c r="B1468" s="1"/>
      <c r="H1468" s="65"/>
      <c r="I1468" s="65"/>
      <c r="J1468" s="65"/>
      <c r="K1468" s="65"/>
      <c r="L1468" s="65"/>
      <c r="O1468" s="165"/>
      <c r="P1468" s="165"/>
      <c r="Q1468" s="165"/>
      <c r="R1468" s="165"/>
      <c r="S1468" s="165"/>
      <c r="T1468" s="165"/>
      <c r="U1468" s="165"/>
      <c r="V1468" s="165"/>
      <c r="W1468" s="165"/>
      <c r="X1468" s="165"/>
      <c r="Y1468" s="165"/>
      <c r="Z1468" s="166"/>
      <c r="AA1468" s="166"/>
      <c r="AB1468" s="166"/>
      <c r="AC1468" s="166"/>
      <c r="AD1468" s="166"/>
      <c r="AE1468" s="166"/>
      <c r="AF1468" s="166"/>
      <c r="AG1468" s="166"/>
      <c r="AH1468" s="166"/>
    </row>
    <row r="1469" spans="1:34" ht="15.750000" customHeight="1">
      <c r="B1469" s="1"/>
      <c r="H1469" s="65"/>
      <c r="I1469" s="65"/>
      <c r="J1469" s="65"/>
      <c r="K1469" s="65"/>
      <c r="L1469" s="65"/>
      <c r="O1469" s="165"/>
      <c r="P1469" s="165"/>
      <c r="Q1469" s="165"/>
      <c r="R1469" s="165"/>
      <c r="S1469" s="165"/>
      <c r="T1469" s="165"/>
      <c r="U1469" s="165"/>
      <c r="V1469" s="165"/>
      <c r="W1469" s="165"/>
      <c r="X1469" s="165"/>
      <c r="Y1469" s="165"/>
      <c r="Z1469" s="166"/>
      <c r="AA1469" s="166"/>
      <c r="AB1469" s="166"/>
      <c r="AC1469" s="166"/>
      <c r="AD1469" s="166"/>
      <c r="AE1469" s="166"/>
      <c r="AF1469" s="166"/>
      <c r="AG1469" s="166"/>
      <c r="AH1469" s="166"/>
    </row>
    <row r="1470" spans="1:34" ht="15.750000" customHeight="1">
      <c r="B1470" s="1"/>
      <c r="H1470" s="65"/>
      <c r="I1470" s="65"/>
      <c r="J1470" s="65"/>
      <c r="K1470" s="65"/>
      <c r="L1470" s="65"/>
      <c r="O1470" s="165"/>
      <c r="P1470" s="165"/>
      <c r="Q1470" s="165"/>
      <c r="R1470" s="165"/>
      <c r="S1470" s="165"/>
      <c r="T1470" s="165"/>
      <c r="U1470" s="165"/>
      <c r="V1470" s="165"/>
      <c r="W1470" s="165"/>
      <c r="X1470" s="165"/>
      <c r="Y1470" s="165"/>
      <c r="Z1470" s="166"/>
      <c r="AA1470" s="166"/>
      <c r="AB1470" s="166"/>
      <c r="AC1470" s="166"/>
      <c r="AD1470" s="166"/>
      <c r="AE1470" s="166"/>
      <c r="AF1470" s="166"/>
      <c r="AG1470" s="166"/>
      <c r="AH1470" s="166"/>
    </row>
    <row r="1471" spans="1:34" ht="15.750000" customHeight="1">
      <c r="B1471" s="1"/>
      <c r="H1471" s="169"/>
      <c r="I1471" s="65"/>
      <c r="J1471" s="65"/>
      <c r="K1471" s="65"/>
      <c r="L1471" s="65"/>
      <c r="O1471" s="165"/>
      <c r="P1471" s="165"/>
      <c r="Q1471" s="165"/>
      <c r="R1471" s="165"/>
      <c r="S1471" s="165"/>
      <c r="T1471" s="165"/>
      <c r="U1471" s="165"/>
      <c r="V1471" s="165"/>
      <c r="W1471" s="165"/>
      <c r="X1471" s="165"/>
      <c r="Y1471" s="165"/>
      <c r="Z1471" s="166"/>
      <c r="AA1471" s="166"/>
      <c r="AB1471" s="166"/>
      <c r="AC1471" s="166"/>
      <c r="AD1471" s="166"/>
      <c r="AE1471" s="166"/>
      <c r="AF1471" s="166"/>
      <c r="AG1471" s="166"/>
      <c r="AH1471" s="166"/>
    </row>
    <row r="1472" spans="1:34" ht="15.750000" customHeight="1">
      <c r="A1472" s="156" t="s">
        <v>116</v>
      </c>
      <c r="B1472" s="88"/>
      <c r="C1472" s="243"/>
      <c r="D1472" s="243"/>
      <c r="E1472" s="158">
        <f>F1472*120%</f>
        <v>0</v>
      </c>
      <c r="F1472" s="158">
        <f>(D1472-C1472+1)*G1472</f>
        <v>0</v>
      </c>
      <c r="G1472" s="159">
        <f>M1472*40</f>
        <v>0</v>
      </c>
      <c r="H1472" s="65"/>
      <c r="I1472" s="65"/>
      <c r="J1472" s="65"/>
      <c r="K1472" s="65"/>
      <c r="L1472" s="65"/>
      <c r="M1472" s="65"/>
      <c r="N1472" s="163">
        <f>LEN(J1472)</f>
        <v>0</v>
      </c>
      <c r="O1472" s="165"/>
      <c r="P1472" s="165"/>
      <c r="Q1472" s="165"/>
      <c r="R1472" s="165"/>
      <c r="S1472" s="165"/>
      <c r="T1472" s="165"/>
      <c r="U1472" s="165"/>
      <c r="V1472" s="165"/>
      <c r="W1472" s="165"/>
      <c r="X1472" s="165"/>
      <c r="Y1472" s="165"/>
      <c r="Z1472" s="166"/>
      <c r="AA1472" s="166"/>
      <c r="AB1472" s="166"/>
      <c r="AC1472" s="166"/>
      <c r="AD1472" s="166"/>
      <c r="AE1472" s="166"/>
      <c r="AF1472" s="166"/>
      <c r="AG1472" s="166"/>
      <c r="AH1472" s="166"/>
    </row>
    <row r="1473" spans="1:34" ht="15.750000" customHeight="1">
      <c r="B1473" s="1"/>
      <c r="H1473" s="65"/>
      <c r="I1473" s="65"/>
      <c r="J1473" s="65"/>
      <c r="K1473" s="65"/>
      <c r="L1473" s="65"/>
      <c r="O1473" s="165"/>
      <c r="P1473" s="165"/>
      <c r="Q1473" s="165"/>
      <c r="R1473" s="165"/>
      <c r="S1473" s="165"/>
      <c r="T1473" s="165"/>
      <c r="U1473" s="165"/>
      <c r="V1473" s="165"/>
      <c r="W1473" s="165"/>
      <c r="X1473" s="165"/>
      <c r="Y1473" s="165"/>
      <c r="Z1473" s="166"/>
      <c r="AA1473" s="166"/>
      <c r="AB1473" s="166"/>
      <c r="AC1473" s="166"/>
      <c r="AD1473" s="166"/>
      <c r="AE1473" s="166"/>
      <c r="AF1473" s="166"/>
      <c r="AG1473" s="166"/>
      <c r="AH1473" s="166"/>
    </row>
    <row r="1474" spans="1:34" ht="15.750000" customHeight="1">
      <c r="B1474" s="1"/>
      <c r="H1474" s="65"/>
      <c r="I1474" s="65"/>
      <c r="J1474" s="65"/>
      <c r="K1474" s="65"/>
      <c r="L1474" s="65"/>
      <c r="O1474" s="165"/>
      <c r="P1474" s="165"/>
      <c r="Q1474" s="165"/>
      <c r="R1474" s="165"/>
      <c r="S1474" s="165"/>
      <c r="T1474" s="165"/>
      <c r="U1474" s="165"/>
      <c r="V1474" s="165"/>
      <c r="W1474" s="165"/>
      <c r="X1474" s="165"/>
      <c r="Y1474" s="165"/>
      <c r="Z1474" s="166"/>
      <c r="AA1474" s="166"/>
      <c r="AB1474" s="166"/>
      <c r="AC1474" s="166"/>
      <c r="AD1474" s="166"/>
      <c r="AE1474" s="166"/>
      <c r="AF1474" s="166"/>
      <c r="AG1474" s="166"/>
      <c r="AH1474" s="166"/>
    </row>
    <row r="1475" spans="1:34" ht="15.750000" customHeight="1">
      <c r="B1475" s="1"/>
      <c r="H1475" s="65"/>
      <c r="I1475" s="65"/>
      <c r="J1475" s="65"/>
      <c r="K1475" s="65"/>
      <c r="L1475" s="65"/>
      <c r="O1475" s="165"/>
      <c r="P1475" s="165"/>
      <c r="Q1475" s="165"/>
      <c r="R1475" s="165"/>
      <c r="S1475" s="165"/>
      <c r="T1475" s="165"/>
      <c r="U1475" s="165"/>
      <c r="V1475" s="165"/>
      <c r="W1475" s="165"/>
      <c r="X1475" s="165"/>
      <c r="Y1475" s="165"/>
      <c r="Z1475" s="166"/>
      <c r="AA1475" s="166"/>
      <c r="AB1475" s="166"/>
      <c r="AC1475" s="166"/>
      <c r="AD1475" s="166"/>
      <c r="AE1475" s="166"/>
      <c r="AF1475" s="166"/>
      <c r="AG1475" s="166"/>
      <c r="AH1475" s="166"/>
    </row>
    <row r="1476" spans="1:34" ht="15.750000" customHeight="1">
      <c r="B1476" s="1"/>
      <c r="H1476" s="169"/>
      <c r="I1476" s="65"/>
      <c r="J1476" s="65"/>
      <c r="K1476" s="65"/>
      <c r="L1476" s="65"/>
      <c r="O1476" s="165"/>
      <c r="P1476" s="165"/>
      <c r="Q1476" s="165"/>
      <c r="R1476" s="165"/>
      <c r="S1476" s="165"/>
      <c r="T1476" s="165"/>
      <c r="U1476" s="165"/>
      <c r="V1476" s="165"/>
      <c r="W1476" s="165"/>
      <c r="X1476" s="165"/>
      <c r="Y1476" s="165"/>
      <c r="Z1476" s="166"/>
      <c r="AA1476" s="166"/>
      <c r="AB1476" s="166"/>
      <c r="AC1476" s="166"/>
      <c r="AD1476" s="166"/>
      <c r="AE1476" s="166"/>
      <c r="AF1476" s="166"/>
      <c r="AG1476" s="166"/>
      <c r="AH1476" s="166"/>
    </row>
    <row r="1477" spans="1:34" ht="15.750000" customHeight="1">
      <c r="A1477" s="156" t="s">
        <v>116</v>
      </c>
      <c r="B1477" s="88"/>
      <c r="C1477" s="243"/>
      <c r="D1477" s="243"/>
      <c r="E1477" s="158">
        <f>F1477*120%</f>
        <v>0</v>
      </c>
      <c r="F1477" s="158">
        <f>(D1477-C1477+1)*G1477</f>
        <v>0</v>
      </c>
      <c r="G1477" s="159">
        <f>M1477*40</f>
        <v>0</v>
      </c>
      <c r="H1477" s="65"/>
      <c r="I1477" s="65"/>
      <c r="J1477" s="65"/>
      <c r="K1477" s="65"/>
      <c r="L1477" s="65"/>
      <c r="M1477" s="65"/>
      <c r="N1477" s="163">
        <f>LEN(J1477)</f>
        <v>0</v>
      </c>
      <c r="O1477" s="165"/>
      <c r="P1477" s="165"/>
      <c r="Q1477" s="165"/>
      <c r="R1477" s="165"/>
      <c r="S1477" s="165"/>
      <c r="T1477" s="165"/>
      <c r="U1477" s="165"/>
      <c r="V1477" s="165"/>
      <c r="W1477" s="165"/>
      <c r="X1477" s="165"/>
      <c r="Y1477" s="165"/>
      <c r="Z1477" s="166"/>
      <c r="AA1477" s="166"/>
      <c r="AB1477" s="166"/>
      <c r="AC1477" s="166"/>
      <c r="AD1477" s="166"/>
      <c r="AE1477" s="166"/>
      <c r="AF1477" s="166"/>
      <c r="AG1477" s="166"/>
      <c r="AH1477" s="166"/>
    </row>
    <row r="1478" spans="1:34" ht="15.750000" customHeight="1">
      <c r="B1478" s="1"/>
      <c r="H1478" s="65"/>
      <c r="I1478" s="65"/>
      <c r="J1478" s="65"/>
      <c r="K1478" s="65"/>
      <c r="L1478" s="65"/>
      <c r="O1478" s="165"/>
      <c r="P1478" s="165"/>
      <c r="Q1478" s="165"/>
      <c r="R1478" s="165"/>
      <c r="S1478" s="165"/>
      <c r="T1478" s="165"/>
      <c r="U1478" s="165"/>
      <c r="V1478" s="165"/>
      <c r="W1478" s="165"/>
      <c r="X1478" s="165"/>
      <c r="Y1478" s="165"/>
      <c r="Z1478" s="166"/>
      <c r="AA1478" s="166"/>
      <c r="AB1478" s="166"/>
      <c r="AC1478" s="166"/>
      <c r="AD1478" s="166"/>
      <c r="AE1478" s="166"/>
      <c r="AF1478" s="166"/>
      <c r="AG1478" s="166"/>
      <c r="AH1478" s="166"/>
    </row>
    <row r="1479" spans="1:34" ht="15.750000" customHeight="1">
      <c r="B1479" s="1"/>
      <c r="H1479" s="65"/>
      <c r="I1479" s="65"/>
      <c r="J1479" s="65"/>
      <c r="K1479" s="65"/>
      <c r="L1479" s="65"/>
      <c r="O1479" s="165"/>
      <c r="P1479" s="165"/>
      <c r="Q1479" s="165"/>
      <c r="R1479" s="165"/>
      <c r="S1479" s="165"/>
      <c r="T1479" s="165"/>
      <c r="U1479" s="165"/>
      <c r="V1479" s="165"/>
      <c r="W1479" s="165"/>
      <c r="X1479" s="165"/>
      <c r="Y1479" s="165"/>
      <c r="Z1479" s="166"/>
      <c r="AA1479" s="166"/>
      <c r="AB1479" s="166"/>
      <c r="AC1479" s="166"/>
      <c r="AD1479" s="166"/>
      <c r="AE1479" s="166"/>
      <c r="AF1479" s="166"/>
      <c r="AG1479" s="166"/>
      <c r="AH1479" s="166"/>
    </row>
    <row r="1480" spans="1:34" ht="15.750000" customHeight="1">
      <c r="B1480" s="1"/>
      <c r="H1480" s="65"/>
      <c r="I1480" s="65"/>
      <c r="J1480" s="65"/>
      <c r="K1480" s="65"/>
      <c r="L1480" s="65"/>
      <c r="O1480" s="165"/>
      <c r="P1480" s="165"/>
      <c r="Q1480" s="165"/>
      <c r="R1480" s="165"/>
      <c r="S1480" s="165"/>
      <c r="T1480" s="165"/>
      <c r="U1480" s="165"/>
      <c r="V1480" s="165"/>
      <c r="W1480" s="165"/>
      <c r="X1480" s="165"/>
      <c r="Y1480" s="165"/>
      <c r="Z1480" s="166"/>
      <c r="AA1480" s="166"/>
      <c r="AB1480" s="166"/>
      <c r="AC1480" s="166"/>
      <c r="AD1480" s="166"/>
      <c r="AE1480" s="166"/>
      <c r="AF1480" s="166"/>
      <c r="AG1480" s="166"/>
      <c r="AH1480" s="166"/>
    </row>
    <row r="1481" spans="1:34" ht="15.750000" customHeight="1">
      <c r="B1481" s="1"/>
      <c r="H1481" s="169"/>
      <c r="I1481" s="65"/>
      <c r="J1481" s="65"/>
      <c r="K1481" s="65"/>
      <c r="L1481" s="65"/>
      <c r="O1481" s="165"/>
      <c r="P1481" s="165"/>
      <c r="Q1481" s="165"/>
      <c r="R1481" s="165"/>
      <c r="S1481" s="165"/>
      <c r="T1481" s="165"/>
      <c r="U1481" s="165"/>
      <c r="V1481" s="165"/>
      <c r="W1481" s="165"/>
      <c r="X1481" s="165"/>
      <c r="Y1481" s="165"/>
      <c r="Z1481" s="166"/>
      <c r="AA1481" s="166"/>
      <c r="AB1481" s="166"/>
      <c r="AC1481" s="166"/>
      <c r="AD1481" s="166"/>
      <c r="AE1481" s="166"/>
      <c r="AF1481" s="166"/>
      <c r="AG1481" s="166"/>
      <c r="AH1481" s="166"/>
    </row>
    <row r="1482" spans="1:34" ht="15.750000" customHeight="1">
      <c r="A1482" s="156" t="s">
        <v>116</v>
      </c>
      <c r="B1482" s="88"/>
      <c r="C1482" s="243"/>
      <c r="D1482" s="243"/>
      <c r="E1482" s="158">
        <f>F1482*120%</f>
        <v>0</v>
      </c>
      <c r="F1482" s="158">
        <f>(D1482-C1482+1)*G1482</f>
        <v>0</v>
      </c>
      <c r="G1482" s="159">
        <f>M1482*40</f>
        <v>0</v>
      </c>
      <c r="H1482" s="65"/>
      <c r="I1482" s="65"/>
      <c r="J1482" s="65"/>
      <c r="K1482" s="65"/>
      <c r="L1482" s="65"/>
      <c r="M1482" s="65"/>
      <c r="N1482" s="163">
        <f>LEN(J1482)</f>
        <v>0</v>
      </c>
      <c r="O1482" s="165"/>
      <c r="P1482" s="165"/>
      <c r="Q1482" s="165"/>
      <c r="R1482" s="165"/>
      <c r="S1482" s="165"/>
      <c r="T1482" s="165"/>
      <c r="U1482" s="165"/>
      <c r="V1482" s="165"/>
      <c r="W1482" s="165"/>
      <c r="X1482" s="165"/>
      <c r="Y1482" s="165"/>
      <c r="Z1482" s="166"/>
      <c r="AA1482" s="166"/>
      <c r="AB1482" s="166"/>
      <c r="AC1482" s="166"/>
      <c r="AD1482" s="166"/>
      <c r="AE1482" s="166"/>
      <c r="AF1482" s="166"/>
      <c r="AG1482" s="166"/>
      <c r="AH1482" s="166"/>
    </row>
    <row r="1483" spans="1:34" ht="15.750000" customHeight="1">
      <c r="B1483" s="1"/>
      <c r="H1483" s="65"/>
      <c r="I1483" s="65"/>
      <c r="J1483" s="65"/>
      <c r="K1483" s="65"/>
      <c r="L1483" s="65"/>
      <c r="O1483" s="165"/>
      <c r="P1483" s="165"/>
      <c r="Q1483" s="165"/>
      <c r="R1483" s="165"/>
      <c r="S1483" s="165"/>
      <c r="T1483" s="165"/>
      <c r="U1483" s="165"/>
      <c r="V1483" s="165"/>
      <c r="W1483" s="165"/>
      <c r="X1483" s="165"/>
      <c r="Y1483" s="165"/>
      <c r="Z1483" s="166"/>
      <c r="AA1483" s="166"/>
      <c r="AB1483" s="166"/>
      <c r="AC1483" s="166"/>
      <c r="AD1483" s="166"/>
      <c r="AE1483" s="166"/>
      <c r="AF1483" s="166"/>
      <c r="AG1483" s="166"/>
      <c r="AH1483" s="166"/>
    </row>
    <row r="1484" spans="1:34" ht="15.750000" customHeight="1">
      <c r="B1484" s="1"/>
      <c r="H1484" s="65"/>
      <c r="I1484" s="65"/>
      <c r="J1484" s="65"/>
      <c r="K1484" s="65"/>
      <c r="L1484" s="65"/>
      <c r="O1484" s="165"/>
      <c r="P1484" s="165"/>
      <c r="Q1484" s="165"/>
      <c r="R1484" s="165"/>
      <c r="S1484" s="165"/>
      <c r="T1484" s="165"/>
      <c r="U1484" s="165"/>
      <c r="V1484" s="165"/>
      <c r="W1484" s="165"/>
      <c r="X1484" s="165"/>
      <c r="Y1484" s="165"/>
      <c r="Z1484" s="166"/>
      <c r="AA1484" s="166"/>
      <c r="AB1484" s="166"/>
      <c r="AC1484" s="166"/>
      <c r="AD1484" s="166"/>
      <c r="AE1484" s="166"/>
      <c r="AF1484" s="166"/>
      <c r="AG1484" s="166"/>
      <c r="AH1484" s="166"/>
    </row>
    <row r="1485" spans="1:34" ht="15.750000" customHeight="1">
      <c r="B1485" s="1"/>
      <c r="H1485" s="65"/>
      <c r="I1485" s="65"/>
      <c r="J1485" s="65"/>
      <c r="K1485" s="65"/>
      <c r="L1485" s="65"/>
      <c r="O1485" s="165"/>
      <c r="P1485" s="165"/>
      <c r="Q1485" s="165"/>
      <c r="R1485" s="165"/>
      <c r="S1485" s="165"/>
      <c r="T1485" s="165"/>
      <c r="U1485" s="165"/>
      <c r="V1485" s="165"/>
      <c r="W1485" s="165"/>
      <c r="X1485" s="165"/>
      <c r="Y1485" s="165"/>
      <c r="Z1485" s="166"/>
      <c r="AA1485" s="166"/>
      <c r="AB1485" s="166"/>
      <c r="AC1485" s="166"/>
      <c r="AD1485" s="166"/>
      <c r="AE1485" s="166"/>
      <c r="AF1485" s="166"/>
      <c r="AG1485" s="166"/>
      <c r="AH1485" s="166"/>
    </row>
    <row r="1486" spans="1:34" ht="15.750000" customHeight="1">
      <c r="B1486" s="1"/>
      <c r="H1486" s="169"/>
      <c r="I1486" s="65"/>
      <c r="J1486" s="65"/>
      <c r="K1486" s="65"/>
      <c r="L1486" s="65"/>
      <c r="O1486" s="165"/>
      <c r="P1486" s="165"/>
      <c r="Q1486" s="165"/>
      <c r="R1486" s="165"/>
      <c r="S1486" s="165"/>
      <c r="T1486" s="165"/>
      <c r="U1486" s="165"/>
      <c r="V1486" s="165"/>
      <c r="W1486" s="165"/>
      <c r="X1486" s="165"/>
      <c r="Y1486" s="165"/>
      <c r="Z1486" s="166"/>
      <c r="AA1486" s="166"/>
      <c r="AB1486" s="166"/>
      <c r="AC1486" s="166"/>
      <c r="AD1486" s="166"/>
      <c r="AE1486" s="166"/>
      <c r="AF1486" s="166"/>
      <c r="AG1486" s="166"/>
      <c r="AH1486" s="166"/>
    </row>
  </sheetData>
  <mergeCells count="2376">
    <mergeCell ref="A2:A6"/>
    <mergeCell ref="C2:C6"/>
    <mergeCell ref="D2:D6"/>
    <mergeCell ref="E2:E6"/>
    <mergeCell ref="F2:F6"/>
    <mergeCell ref="G2:G6"/>
    <mergeCell ref="M2:M6"/>
    <mergeCell ref="N2:N6"/>
    <mergeCell ref="A7:A11"/>
    <mergeCell ref="C7:C11"/>
    <mergeCell ref="D7:D11"/>
    <mergeCell ref="E7:E11"/>
    <mergeCell ref="F7:F11"/>
    <mergeCell ref="G7:G11"/>
    <mergeCell ref="M7:M11"/>
    <mergeCell ref="N7:N11"/>
    <mergeCell ref="A12:A16"/>
    <mergeCell ref="C12:C16"/>
    <mergeCell ref="D12:D16"/>
    <mergeCell ref="E12:E16"/>
    <mergeCell ref="F12:F16"/>
    <mergeCell ref="G12:G16"/>
    <mergeCell ref="M12:M16"/>
    <mergeCell ref="N12:N16"/>
    <mergeCell ref="A17:A21"/>
    <mergeCell ref="C17:C21"/>
    <mergeCell ref="D17:D21"/>
    <mergeCell ref="E17:E21"/>
    <mergeCell ref="F17:F21"/>
    <mergeCell ref="G17:G21"/>
    <mergeCell ref="M17:M21"/>
    <mergeCell ref="N17:N21"/>
    <mergeCell ref="A22:A26"/>
    <mergeCell ref="C22:C26"/>
    <mergeCell ref="D22:D26"/>
    <mergeCell ref="E22:E26"/>
    <mergeCell ref="F22:F26"/>
    <mergeCell ref="G22:G26"/>
    <mergeCell ref="M22:M26"/>
    <mergeCell ref="N22:N26"/>
    <mergeCell ref="A27:A31"/>
    <mergeCell ref="C27:C31"/>
    <mergeCell ref="D27:D31"/>
    <mergeCell ref="E27:E31"/>
    <mergeCell ref="F27:F31"/>
    <mergeCell ref="G27:G31"/>
    <mergeCell ref="M27:M31"/>
    <mergeCell ref="N27:N31"/>
    <mergeCell ref="A32:A36"/>
    <mergeCell ref="C32:C36"/>
    <mergeCell ref="D32:D36"/>
    <mergeCell ref="E32:E36"/>
    <mergeCell ref="F32:F36"/>
    <mergeCell ref="G32:G36"/>
    <mergeCell ref="M32:M36"/>
    <mergeCell ref="N32:N36"/>
    <mergeCell ref="A37:A41"/>
    <mergeCell ref="C37:C41"/>
    <mergeCell ref="D37:D41"/>
    <mergeCell ref="E37:E41"/>
    <mergeCell ref="F37:F41"/>
    <mergeCell ref="G37:G41"/>
    <mergeCell ref="M37:M41"/>
    <mergeCell ref="N37:N41"/>
    <mergeCell ref="A42:A46"/>
    <mergeCell ref="C42:C46"/>
    <mergeCell ref="D42:D46"/>
    <mergeCell ref="E42:E46"/>
    <mergeCell ref="F42:F46"/>
    <mergeCell ref="G42:G46"/>
    <mergeCell ref="M42:M46"/>
    <mergeCell ref="N42:N46"/>
    <mergeCell ref="A47:A51"/>
    <mergeCell ref="C47:C51"/>
    <mergeCell ref="D47:D51"/>
    <mergeCell ref="E47:E51"/>
    <mergeCell ref="F47:F51"/>
    <mergeCell ref="G47:G51"/>
    <mergeCell ref="M47:M51"/>
    <mergeCell ref="N47:N51"/>
    <mergeCell ref="A52:A56"/>
    <mergeCell ref="C52:C56"/>
    <mergeCell ref="D52:D56"/>
    <mergeCell ref="E52:E56"/>
    <mergeCell ref="F52:F56"/>
    <mergeCell ref="G52:G56"/>
    <mergeCell ref="M52:M56"/>
    <mergeCell ref="N52:N56"/>
    <mergeCell ref="A57:A61"/>
    <mergeCell ref="C57:C61"/>
    <mergeCell ref="D57:D61"/>
    <mergeCell ref="E57:E61"/>
    <mergeCell ref="F57:F61"/>
    <mergeCell ref="G57:G61"/>
    <mergeCell ref="M57:M61"/>
    <mergeCell ref="N57:N61"/>
    <mergeCell ref="A62:A66"/>
    <mergeCell ref="C62:C66"/>
    <mergeCell ref="D62:D66"/>
    <mergeCell ref="E62:E66"/>
    <mergeCell ref="F62:F66"/>
    <mergeCell ref="G62:G66"/>
    <mergeCell ref="M62:M66"/>
    <mergeCell ref="N62:N66"/>
    <mergeCell ref="A67:A71"/>
    <mergeCell ref="C67:C71"/>
    <mergeCell ref="D67:D71"/>
    <mergeCell ref="E67:E71"/>
    <mergeCell ref="F67:F71"/>
    <mergeCell ref="G67:G71"/>
    <mergeCell ref="M67:M71"/>
    <mergeCell ref="N67:N71"/>
    <mergeCell ref="A72:A76"/>
    <mergeCell ref="C72:C76"/>
    <mergeCell ref="D72:D76"/>
    <mergeCell ref="E72:E76"/>
    <mergeCell ref="F72:F76"/>
    <mergeCell ref="G72:G76"/>
    <mergeCell ref="M72:M76"/>
    <mergeCell ref="N72:N76"/>
    <mergeCell ref="A77:A81"/>
    <mergeCell ref="C77:C81"/>
    <mergeCell ref="D77:D81"/>
    <mergeCell ref="E77:E81"/>
    <mergeCell ref="F77:F81"/>
    <mergeCell ref="G77:G81"/>
    <mergeCell ref="M77:M81"/>
    <mergeCell ref="N77:N81"/>
    <mergeCell ref="A82:A86"/>
    <mergeCell ref="C82:C86"/>
    <mergeCell ref="D82:D86"/>
    <mergeCell ref="E82:E86"/>
    <mergeCell ref="F82:F86"/>
    <mergeCell ref="G82:G86"/>
    <mergeCell ref="M82:M86"/>
    <mergeCell ref="N82:N86"/>
    <mergeCell ref="A87:A91"/>
    <mergeCell ref="C87:C91"/>
    <mergeCell ref="D87:D91"/>
    <mergeCell ref="E87:E91"/>
    <mergeCell ref="F87:F91"/>
    <mergeCell ref="G87:G91"/>
    <mergeCell ref="M87:M91"/>
    <mergeCell ref="N87:N91"/>
    <mergeCell ref="A92:A96"/>
    <mergeCell ref="C92:C96"/>
    <mergeCell ref="D92:D96"/>
    <mergeCell ref="E92:E96"/>
    <mergeCell ref="F92:F96"/>
    <mergeCell ref="G92:G96"/>
    <mergeCell ref="M92:M96"/>
    <mergeCell ref="N92:N96"/>
    <mergeCell ref="A97:A101"/>
    <mergeCell ref="C97:C101"/>
    <mergeCell ref="D97:D101"/>
    <mergeCell ref="E97:E101"/>
    <mergeCell ref="F97:F101"/>
    <mergeCell ref="G97:G101"/>
    <mergeCell ref="M97:M101"/>
    <mergeCell ref="N97:N101"/>
    <mergeCell ref="A102:A106"/>
    <mergeCell ref="C102:C106"/>
    <mergeCell ref="D102:D106"/>
    <mergeCell ref="E102:E106"/>
    <mergeCell ref="F102:F106"/>
    <mergeCell ref="G102:G106"/>
    <mergeCell ref="M102:M106"/>
    <mergeCell ref="N102:N106"/>
    <mergeCell ref="A107:A111"/>
    <mergeCell ref="C107:C111"/>
    <mergeCell ref="D107:D111"/>
    <mergeCell ref="E107:E111"/>
    <mergeCell ref="F107:F111"/>
    <mergeCell ref="G107:G111"/>
    <mergeCell ref="M107:M111"/>
    <mergeCell ref="N107:N111"/>
    <mergeCell ref="A112:A116"/>
    <mergeCell ref="C112:C116"/>
    <mergeCell ref="D112:D116"/>
    <mergeCell ref="E112:E116"/>
    <mergeCell ref="F112:F116"/>
    <mergeCell ref="G112:G116"/>
    <mergeCell ref="M112:M116"/>
    <mergeCell ref="N112:N116"/>
    <mergeCell ref="A117:A121"/>
    <mergeCell ref="C117:C121"/>
    <mergeCell ref="D117:D121"/>
    <mergeCell ref="E117:E121"/>
    <mergeCell ref="F117:F121"/>
    <mergeCell ref="G117:G121"/>
    <mergeCell ref="M117:M121"/>
    <mergeCell ref="N117:N121"/>
    <mergeCell ref="A122:A126"/>
    <mergeCell ref="C122:C126"/>
    <mergeCell ref="D122:D126"/>
    <mergeCell ref="E122:E126"/>
    <mergeCell ref="F122:F126"/>
    <mergeCell ref="G122:G126"/>
    <mergeCell ref="M122:M126"/>
    <mergeCell ref="N122:N126"/>
    <mergeCell ref="A127:A131"/>
    <mergeCell ref="C127:C131"/>
    <mergeCell ref="D127:D131"/>
    <mergeCell ref="E127:E131"/>
    <mergeCell ref="F127:F131"/>
    <mergeCell ref="G127:G131"/>
    <mergeCell ref="M127:M131"/>
    <mergeCell ref="N127:N131"/>
    <mergeCell ref="A132:A136"/>
    <mergeCell ref="C132:C136"/>
    <mergeCell ref="D132:D136"/>
    <mergeCell ref="E132:E136"/>
    <mergeCell ref="F132:F136"/>
    <mergeCell ref="G132:G136"/>
    <mergeCell ref="M132:M136"/>
    <mergeCell ref="N132:N136"/>
    <mergeCell ref="A137:A141"/>
    <mergeCell ref="C137:C141"/>
    <mergeCell ref="D137:D141"/>
    <mergeCell ref="E137:E141"/>
    <mergeCell ref="F137:F141"/>
    <mergeCell ref="G137:G141"/>
    <mergeCell ref="M137:M141"/>
    <mergeCell ref="N137:N141"/>
    <mergeCell ref="A142:A146"/>
    <mergeCell ref="C142:C146"/>
    <mergeCell ref="D142:D146"/>
    <mergeCell ref="E142:E146"/>
    <mergeCell ref="F142:F146"/>
    <mergeCell ref="G142:G146"/>
    <mergeCell ref="M142:M146"/>
    <mergeCell ref="N142:N146"/>
    <mergeCell ref="A147:A151"/>
    <mergeCell ref="C147:C151"/>
    <mergeCell ref="D147:D151"/>
    <mergeCell ref="E147:E151"/>
    <mergeCell ref="F147:F151"/>
    <mergeCell ref="G147:G151"/>
    <mergeCell ref="M147:M151"/>
    <mergeCell ref="N147:N151"/>
    <mergeCell ref="A152:A156"/>
    <mergeCell ref="C152:C156"/>
    <mergeCell ref="D152:D156"/>
    <mergeCell ref="E152:E156"/>
    <mergeCell ref="F152:F156"/>
    <mergeCell ref="G152:G156"/>
    <mergeCell ref="M152:M156"/>
    <mergeCell ref="N152:N156"/>
    <mergeCell ref="A157:A161"/>
    <mergeCell ref="C157:C161"/>
    <mergeCell ref="D157:D161"/>
    <mergeCell ref="E157:E161"/>
    <mergeCell ref="F157:F161"/>
    <mergeCell ref="G157:G161"/>
    <mergeCell ref="M157:M161"/>
    <mergeCell ref="N157:N161"/>
    <mergeCell ref="A162:A166"/>
    <mergeCell ref="C162:C166"/>
    <mergeCell ref="D162:D166"/>
    <mergeCell ref="E162:E166"/>
    <mergeCell ref="F162:F166"/>
    <mergeCell ref="G162:G166"/>
    <mergeCell ref="M162:M166"/>
    <mergeCell ref="N162:N166"/>
    <mergeCell ref="A167:A171"/>
    <mergeCell ref="C167:C171"/>
    <mergeCell ref="D167:D171"/>
    <mergeCell ref="E167:E171"/>
    <mergeCell ref="F167:F171"/>
    <mergeCell ref="G167:G171"/>
    <mergeCell ref="M167:M171"/>
    <mergeCell ref="N167:N171"/>
    <mergeCell ref="A172:A176"/>
    <mergeCell ref="C172:C176"/>
    <mergeCell ref="D172:D176"/>
    <mergeCell ref="E172:E176"/>
    <mergeCell ref="F172:F176"/>
    <mergeCell ref="G172:G176"/>
    <mergeCell ref="M172:M176"/>
    <mergeCell ref="N172:N176"/>
    <mergeCell ref="A177:A181"/>
    <mergeCell ref="C177:C181"/>
    <mergeCell ref="D177:D181"/>
    <mergeCell ref="E177:E181"/>
    <mergeCell ref="F177:F181"/>
    <mergeCell ref="G177:G181"/>
    <mergeCell ref="M177:M181"/>
    <mergeCell ref="N177:N181"/>
    <mergeCell ref="A182:A186"/>
    <mergeCell ref="C182:C186"/>
    <mergeCell ref="D182:D186"/>
    <mergeCell ref="E182:E186"/>
    <mergeCell ref="F182:F186"/>
    <mergeCell ref="G182:G186"/>
    <mergeCell ref="M182:M186"/>
    <mergeCell ref="N182:N186"/>
    <mergeCell ref="A187:A191"/>
    <mergeCell ref="C187:C191"/>
    <mergeCell ref="D187:D191"/>
    <mergeCell ref="E187:E191"/>
    <mergeCell ref="F187:F191"/>
    <mergeCell ref="G187:G191"/>
    <mergeCell ref="M187:M191"/>
    <mergeCell ref="N187:N191"/>
    <mergeCell ref="A192:A196"/>
    <mergeCell ref="C192:C196"/>
    <mergeCell ref="D192:D196"/>
    <mergeCell ref="E192:E196"/>
    <mergeCell ref="F192:F196"/>
    <mergeCell ref="G192:G196"/>
    <mergeCell ref="M192:M196"/>
    <mergeCell ref="N192:N196"/>
    <mergeCell ref="A197:A201"/>
    <mergeCell ref="C197:C201"/>
    <mergeCell ref="D197:D201"/>
    <mergeCell ref="E197:E201"/>
    <mergeCell ref="F197:F201"/>
    <mergeCell ref="G197:G201"/>
    <mergeCell ref="M197:M201"/>
    <mergeCell ref="N197:N201"/>
    <mergeCell ref="A202:A206"/>
    <mergeCell ref="C202:C206"/>
    <mergeCell ref="D202:D206"/>
    <mergeCell ref="E202:E206"/>
    <mergeCell ref="F202:F206"/>
    <mergeCell ref="G202:G206"/>
    <mergeCell ref="M202:M206"/>
    <mergeCell ref="N202:N206"/>
    <mergeCell ref="A207:A211"/>
    <mergeCell ref="C207:C211"/>
    <mergeCell ref="D207:D211"/>
    <mergeCell ref="E207:E211"/>
    <mergeCell ref="F207:F211"/>
    <mergeCell ref="G207:G211"/>
    <mergeCell ref="M207:M211"/>
    <mergeCell ref="N207:N211"/>
    <mergeCell ref="A212:A216"/>
    <mergeCell ref="C212:C216"/>
    <mergeCell ref="D212:D216"/>
    <mergeCell ref="E212:E216"/>
    <mergeCell ref="F212:F216"/>
    <mergeCell ref="G212:G216"/>
    <mergeCell ref="M212:M216"/>
    <mergeCell ref="N212:N216"/>
    <mergeCell ref="A217:A221"/>
    <mergeCell ref="C217:C221"/>
    <mergeCell ref="D217:D221"/>
    <mergeCell ref="E217:E221"/>
    <mergeCell ref="F217:F221"/>
    <mergeCell ref="G217:G221"/>
    <mergeCell ref="M217:M221"/>
    <mergeCell ref="N217:N221"/>
    <mergeCell ref="A222:A226"/>
    <mergeCell ref="C222:C226"/>
    <mergeCell ref="D222:D226"/>
    <mergeCell ref="E222:E226"/>
    <mergeCell ref="F222:F226"/>
    <mergeCell ref="G222:G226"/>
    <mergeCell ref="M222:M226"/>
    <mergeCell ref="N222:N226"/>
    <mergeCell ref="A227:A231"/>
    <mergeCell ref="C227:C231"/>
    <mergeCell ref="D227:D231"/>
    <mergeCell ref="E227:E231"/>
    <mergeCell ref="F227:F231"/>
    <mergeCell ref="G227:G231"/>
    <mergeCell ref="M227:M231"/>
    <mergeCell ref="N227:N231"/>
    <mergeCell ref="A232:A236"/>
    <mergeCell ref="C232:C236"/>
    <mergeCell ref="D232:D236"/>
    <mergeCell ref="E232:E236"/>
    <mergeCell ref="F232:F236"/>
    <mergeCell ref="G232:G236"/>
    <mergeCell ref="M232:M236"/>
    <mergeCell ref="N232:N236"/>
    <mergeCell ref="A237:A241"/>
    <mergeCell ref="C237:C241"/>
    <mergeCell ref="D237:D241"/>
    <mergeCell ref="E237:E241"/>
    <mergeCell ref="F237:F241"/>
    <mergeCell ref="G237:G241"/>
    <mergeCell ref="M237:M241"/>
    <mergeCell ref="N237:N241"/>
    <mergeCell ref="A242:A246"/>
    <mergeCell ref="C242:C246"/>
    <mergeCell ref="D242:D246"/>
    <mergeCell ref="E242:E246"/>
    <mergeCell ref="F242:F246"/>
    <mergeCell ref="G242:G246"/>
    <mergeCell ref="M242:M246"/>
    <mergeCell ref="N242:N246"/>
    <mergeCell ref="A247:A251"/>
    <mergeCell ref="C247:C251"/>
    <mergeCell ref="D247:D251"/>
    <mergeCell ref="E247:E251"/>
    <mergeCell ref="F247:F251"/>
    <mergeCell ref="G247:G251"/>
    <mergeCell ref="M247:M251"/>
    <mergeCell ref="N247:N251"/>
    <mergeCell ref="A252:A256"/>
    <mergeCell ref="C252:C256"/>
    <mergeCell ref="D252:D256"/>
    <mergeCell ref="E252:E256"/>
    <mergeCell ref="F252:F256"/>
    <mergeCell ref="G252:G256"/>
    <mergeCell ref="M252:M256"/>
    <mergeCell ref="N252:N256"/>
    <mergeCell ref="A257:A261"/>
    <mergeCell ref="C257:C261"/>
    <mergeCell ref="D257:D261"/>
    <mergeCell ref="E257:E261"/>
    <mergeCell ref="F257:F261"/>
    <mergeCell ref="G257:G261"/>
    <mergeCell ref="M257:M261"/>
    <mergeCell ref="N257:N261"/>
    <mergeCell ref="A262:A266"/>
    <mergeCell ref="C262:C266"/>
    <mergeCell ref="D262:D266"/>
    <mergeCell ref="E262:E266"/>
    <mergeCell ref="F262:F266"/>
    <mergeCell ref="G262:G266"/>
    <mergeCell ref="M262:M266"/>
    <mergeCell ref="N262:N266"/>
    <mergeCell ref="A267:A271"/>
    <mergeCell ref="C267:C271"/>
    <mergeCell ref="D267:D271"/>
    <mergeCell ref="E267:E271"/>
    <mergeCell ref="F267:F271"/>
    <mergeCell ref="G267:G271"/>
    <mergeCell ref="M267:M271"/>
    <mergeCell ref="N267:N271"/>
    <mergeCell ref="A272:A276"/>
    <mergeCell ref="C272:C276"/>
    <mergeCell ref="D272:D276"/>
    <mergeCell ref="E272:E276"/>
    <mergeCell ref="F272:F276"/>
    <mergeCell ref="G272:G276"/>
    <mergeCell ref="M272:M276"/>
    <mergeCell ref="N272:N276"/>
    <mergeCell ref="A277:A281"/>
    <mergeCell ref="C277:C281"/>
    <mergeCell ref="D277:D281"/>
    <mergeCell ref="E277:E281"/>
    <mergeCell ref="F277:F281"/>
    <mergeCell ref="G277:G281"/>
    <mergeCell ref="M277:M281"/>
    <mergeCell ref="N277:N281"/>
    <mergeCell ref="A282:A286"/>
    <mergeCell ref="C282:C286"/>
    <mergeCell ref="D282:D286"/>
    <mergeCell ref="E282:E286"/>
    <mergeCell ref="F282:F286"/>
    <mergeCell ref="G282:G286"/>
    <mergeCell ref="M282:M286"/>
    <mergeCell ref="N282:N286"/>
    <mergeCell ref="A287:A291"/>
    <mergeCell ref="C287:C291"/>
    <mergeCell ref="D287:D291"/>
    <mergeCell ref="E287:E291"/>
    <mergeCell ref="F287:F291"/>
    <mergeCell ref="G287:G291"/>
    <mergeCell ref="M287:M291"/>
    <mergeCell ref="N287:N291"/>
    <mergeCell ref="A292:A296"/>
    <mergeCell ref="C292:C296"/>
    <mergeCell ref="D292:D296"/>
    <mergeCell ref="E292:E296"/>
    <mergeCell ref="F292:F296"/>
    <mergeCell ref="G292:G296"/>
    <mergeCell ref="M292:M296"/>
    <mergeCell ref="N292:N296"/>
    <mergeCell ref="A297:A301"/>
    <mergeCell ref="C297:C301"/>
    <mergeCell ref="D297:D301"/>
    <mergeCell ref="E297:E301"/>
    <mergeCell ref="F297:F301"/>
    <mergeCell ref="G297:G301"/>
    <mergeCell ref="M297:M301"/>
    <mergeCell ref="N297:N301"/>
    <mergeCell ref="A302:A306"/>
    <mergeCell ref="C302:C306"/>
    <mergeCell ref="D302:D306"/>
    <mergeCell ref="E302:E306"/>
    <mergeCell ref="F302:F306"/>
    <mergeCell ref="G302:G306"/>
    <mergeCell ref="M302:M306"/>
    <mergeCell ref="N302:N306"/>
    <mergeCell ref="A307:A311"/>
    <mergeCell ref="C307:C311"/>
    <mergeCell ref="D307:D311"/>
    <mergeCell ref="E307:E311"/>
    <mergeCell ref="F307:F311"/>
    <mergeCell ref="G307:G311"/>
    <mergeCell ref="M307:M311"/>
    <mergeCell ref="N307:N311"/>
    <mergeCell ref="A312:A316"/>
    <mergeCell ref="C312:C316"/>
    <mergeCell ref="D312:D316"/>
    <mergeCell ref="E312:E316"/>
    <mergeCell ref="F312:F316"/>
    <mergeCell ref="G312:G316"/>
    <mergeCell ref="M312:M316"/>
    <mergeCell ref="N312:N316"/>
    <mergeCell ref="A317:A321"/>
    <mergeCell ref="C317:C321"/>
    <mergeCell ref="D317:D321"/>
    <mergeCell ref="E317:E321"/>
    <mergeCell ref="F317:F321"/>
    <mergeCell ref="G317:G321"/>
    <mergeCell ref="M317:M321"/>
    <mergeCell ref="N317:N321"/>
    <mergeCell ref="A322:A326"/>
    <mergeCell ref="C322:C326"/>
    <mergeCell ref="D322:D326"/>
    <mergeCell ref="E322:E326"/>
    <mergeCell ref="F322:F326"/>
    <mergeCell ref="G322:G326"/>
    <mergeCell ref="M322:M326"/>
    <mergeCell ref="N322:N326"/>
    <mergeCell ref="A327:A331"/>
    <mergeCell ref="C327:C331"/>
    <mergeCell ref="D327:D331"/>
    <mergeCell ref="E327:E331"/>
    <mergeCell ref="F327:F331"/>
    <mergeCell ref="G327:G331"/>
    <mergeCell ref="M327:M331"/>
    <mergeCell ref="N327:N331"/>
    <mergeCell ref="A332:A336"/>
    <mergeCell ref="C332:C336"/>
    <mergeCell ref="D332:D336"/>
    <mergeCell ref="E332:E336"/>
    <mergeCell ref="F332:F336"/>
    <mergeCell ref="G332:G336"/>
    <mergeCell ref="M332:M336"/>
    <mergeCell ref="N332:N336"/>
    <mergeCell ref="A337:A341"/>
    <mergeCell ref="C337:C341"/>
    <mergeCell ref="D337:D341"/>
    <mergeCell ref="E337:E341"/>
    <mergeCell ref="F337:F341"/>
    <mergeCell ref="G337:G341"/>
    <mergeCell ref="M337:M341"/>
    <mergeCell ref="N337:N341"/>
    <mergeCell ref="A342:A346"/>
    <mergeCell ref="C342:C346"/>
    <mergeCell ref="D342:D346"/>
    <mergeCell ref="E342:E346"/>
    <mergeCell ref="F342:F346"/>
    <mergeCell ref="G342:G346"/>
    <mergeCell ref="M342:M346"/>
    <mergeCell ref="N342:N346"/>
    <mergeCell ref="A347:A351"/>
    <mergeCell ref="C347:C351"/>
    <mergeCell ref="D347:D351"/>
    <mergeCell ref="E347:E351"/>
    <mergeCell ref="F347:F351"/>
    <mergeCell ref="G347:G351"/>
    <mergeCell ref="M347:M351"/>
    <mergeCell ref="N347:N351"/>
    <mergeCell ref="A352:A356"/>
    <mergeCell ref="C352:C356"/>
    <mergeCell ref="D352:D356"/>
    <mergeCell ref="E352:E356"/>
    <mergeCell ref="F352:F356"/>
    <mergeCell ref="G352:G356"/>
    <mergeCell ref="M352:M356"/>
    <mergeCell ref="N352:N356"/>
    <mergeCell ref="A357:A361"/>
    <mergeCell ref="C357:C361"/>
    <mergeCell ref="D357:D361"/>
    <mergeCell ref="E357:E361"/>
    <mergeCell ref="F357:F361"/>
    <mergeCell ref="G357:G361"/>
    <mergeCell ref="M357:M361"/>
    <mergeCell ref="N357:N361"/>
    <mergeCell ref="A362:A366"/>
    <mergeCell ref="C362:C366"/>
    <mergeCell ref="D362:D366"/>
    <mergeCell ref="E362:E366"/>
    <mergeCell ref="F362:F366"/>
    <mergeCell ref="G362:G366"/>
    <mergeCell ref="M362:M366"/>
    <mergeCell ref="N362:N366"/>
    <mergeCell ref="A367:A371"/>
    <mergeCell ref="C367:C371"/>
    <mergeCell ref="D367:D371"/>
    <mergeCell ref="E367:E371"/>
    <mergeCell ref="F367:F371"/>
    <mergeCell ref="G367:G371"/>
    <mergeCell ref="M367:M371"/>
    <mergeCell ref="N367:N371"/>
    <mergeCell ref="A372:A376"/>
    <mergeCell ref="C372:C376"/>
    <mergeCell ref="D372:D376"/>
    <mergeCell ref="E372:E376"/>
    <mergeCell ref="F372:F376"/>
    <mergeCell ref="G372:G376"/>
    <mergeCell ref="M372:M376"/>
    <mergeCell ref="N372:N376"/>
    <mergeCell ref="A377:A381"/>
    <mergeCell ref="C377:C381"/>
    <mergeCell ref="D377:D381"/>
    <mergeCell ref="E377:E381"/>
    <mergeCell ref="F377:F381"/>
    <mergeCell ref="G377:G381"/>
    <mergeCell ref="M377:M381"/>
    <mergeCell ref="N377:N381"/>
    <mergeCell ref="A382:A386"/>
    <mergeCell ref="C382:C386"/>
    <mergeCell ref="D382:D386"/>
    <mergeCell ref="E382:E386"/>
    <mergeCell ref="F382:F386"/>
    <mergeCell ref="G382:G386"/>
    <mergeCell ref="M382:M386"/>
    <mergeCell ref="N382:N386"/>
    <mergeCell ref="A387:A391"/>
    <mergeCell ref="C387:C391"/>
    <mergeCell ref="D387:D391"/>
    <mergeCell ref="E387:E391"/>
    <mergeCell ref="F387:F391"/>
    <mergeCell ref="G387:G391"/>
    <mergeCell ref="M387:M391"/>
    <mergeCell ref="N387:N391"/>
    <mergeCell ref="A392:A396"/>
    <mergeCell ref="C392:C396"/>
    <mergeCell ref="D392:D396"/>
    <mergeCell ref="E392:E396"/>
    <mergeCell ref="F392:F396"/>
    <mergeCell ref="G392:G396"/>
    <mergeCell ref="M392:M396"/>
    <mergeCell ref="N392:N396"/>
    <mergeCell ref="A397:A401"/>
    <mergeCell ref="C397:C401"/>
    <mergeCell ref="D397:D401"/>
    <mergeCell ref="E397:E401"/>
    <mergeCell ref="F397:F401"/>
    <mergeCell ref="G397:G401"/>
    <mergeCell ref="M397:M401"/>
    <mergeCell ref="N397:N401"/>
    <mergeCell ref="A402:A406"/>
    <mergeCell ref="C402:C406"/>
    <mergeCell ref="D402:D406"/>
    <mergeCell ref="E402:E406"/>
    <mergeCell ref="F402:F406"/>
    <mergeCell ref="G402:G406"/>
    <mergeCell ref="M402:M406"/>
    <mergeCell ref="N402:N406"/>
    <mergeCell ref="A407:A411"/>
    <mergeCell ref="C407:C411"/>
    <mergeCell ref="D407:D411"/>
    <mergeCell ref="E407:E411"/>
    <mergeCell ref="F407:F411"/>
    <mergeCell ref="G407:G411"/>
    <mergeCell ref="M407:M411"/>
    <mergeCell ref="N407:N411"/>
    <mergeCell ref="A412:A416"/>
    <mergeCell ref="C412:C416"/>
    <mergeCell ref="D412:D416"/>
    <mergeCell ref="E412:E416"/>
    <mergeCell ref="F412:F416"/>
    <mergeCell ref="G412:G416"/>
    <mergeCell ref="M412:M416"/>
    <mergeCell ref="N412:N416"/>
    <mergeCell ref="A417:A421"/>
    <mergeCell ref="C417:C421"/>
    <mergeCell ref="D417:D421"/>
    <mergeCell ref="E417:E421"/>
    <mergeCell ref="F417:F421"/>
    <mergeCell ref="G417:G421"/>
    <mergeCell ref="M417:M421"/>
    <mergeCell ref="N417:N421"/>
    <mergeCell ref="A422:A426"/>
    <mergeCell ref="C422:C426"/>
    <mergeCell ref="D422:D426"/>
    <mergeCell ref="E422:E426"/>
    <mergeCell ref="F422:F426"/>
    <mergeCell ref="G422:G426"/>
    <mergeCell ref="M422:M426"/>
    <mergeCell ref="N422:N426"/>
    <mergeCell ref="A427:A431"/>
    <mergeCell ref="C427:C431"/>
    <mergeCell ref="D427:D431"/>
    <mergeCell ref="E427:E431"/>
    <mergeCell ref="F427:F431"/>
    <mergeCell ref="G427:G431"/>
    <mergeCell ref="M427:M431"/>
    <mergeCell ref="N427:N431"/>
    <mergeCell ref="A432:A436"/>
    <mergeCell ref="C432:C436"/>
    <mergeCell ref="D432:D436"/>
    <mergeCell ref="E432:E436"/>
    <mergeCell ref="F432:F436"/>
    <mergeCell ref="G432:G436"/>
    <mergeCell ref="M432:M436"/>
    <mergeCell ref="N432:N436"/>
    <mergeCell ref="A437:A441"/>
    <mergeCell ref="C437:C441"/>
    <mergeCell ref="D437:D441"/>
    <mergeCell ref="E437:E441"/>
    <mergeCell ref="F437:F441"/>
    <mergeCell ref="G437:G441"/>
    <mergeCell ref="M437:M441"/>
    <mergeCell ref="N437:N441"/>
    <mergeCell ref="A442:A446"/>
    <mergeCell ref="C442:C446"/>
    <mergeCell ref="D442:D446"/>
    <mergeCell ref="E442:E446"/>
    <mergeCell ref="F442:F446"/>
    <mergeCell ref="G442:G446"/>
    <mergeCell ref="M442:M446"/>
    <mergeCell ref="N442:N446"/>
    <mergeCell ref="A447:A451"/>
    <mergeCell ref="C447:C451"/>
    <mergeCell ref="D447:D451"/>
    <mergeCell ref="E447:E451"/>
    <mergeCell ref="F447:F451"/>
    <mergeCell ref="G447:G451"/>
    <mergeCell ref="M447:M451"/>
    <mergeCell ref="N447:N451"/>
    <mergeCell ref="A452:A456"/>
    <mergeCell ref="C452:C456"/>
    <mergeCell ref="D452:D456"/>
    <mergeCell ref="E452:E456"/>
    <mergeCell ref="F452:F456"/>
    <mergeCell ref="G452:G456"/>
    <mergeCell ref="M452:M456"/>
    <mergeCell ref="N452:N456"/>
    <mergeCell ref="A457:A461"/>
    <mergeCell ref="C457:C461"/>
    <mergeCell ref="D457:D461"/>
    <mergeCell ref="E457:E461"/>
    <mergeCell ref="F457:F461"/>
    <mergeCell ref="G457:G461"/>
    <mergeCell ref="M457:M461"/>
    <mergeCell ref="N457:N461"/>
    <mergeCell ref="A462:A466"/>
    <mergeCell ref="C462:C466"/>
    <mergeCell ref="D462:D466"/>
    <mergeCell ref="E462:E466"/>
    <mergeCell ref="F462:F466"/>
    <mergeCell ref="G462:G466"/>
    <mergeCell ref="M462:M466"/>
    <mergeCell ref="N462:N466"/>
    <mergeCell ref="A467:A471"/>
    <mergeCell ref="C467:C471"/>
    <mergeCell ref="D467:D471"/>
    <mergeCell ref="E467:E471"/>
    <mergeCell ref="F467:F471"/>
    <mergeCell ref="G467:G471"/>
    <mergeCell ref="M467:M471"/>
    <mergeCell ref="N467:N471"/>
    <mergeCell ref="A472:A476"/>
    <mergeCell ref="C472:C476"/>
    <mergeCell ref="D472:D476"/>
    <mergeCell ref="E472:E476"/>
    <mergeCell ref="F472:F476"/>
    <mergeCell ref="G472:G476"/>
    <mergeCell ref="M472:M476"/>
    <mergeCell ref="N472:N476"/>
    <mergeCell ref="A477:A481"/>
    <mergeCell ref="C477:C481"/>
    <mergeCell ref="D477:D481"/>
    <mergeCell ref="E477:E481"/>
    <mergeCell ref="F477:F481"/>
    <mergeCell ref="G477:G481"/>
    <mergeCell ref="M477:M481"/>
    <mergeCell ref="N477:N481"/>
    <mergeCell ref="A482:A486"/>
    <mergeCell ref="C482:C486"/>
    <mergeCell ref="D482:D486"/>
    <mergeCell ref="E482:E486"/>
    <mergeCell ref="F482:F486"/>
    <mergeCell ref="G482:G486"/>
    <mergeCell ref="M482:M486"/>
    <mergeCell ref="N482:N486"/>
    <mergeCell ref="A487:A491"/>
    <mergeCell ref="C487:C491"/>
    <mergeCell ref="D487:D491"/>
    <mergeCell ref="E487:E491"/>
    <mergeCell ref="F487:F491"/>
    <mergeCell ref="G487:G491"/>
    <mergeCell ref="M487:M491"/>
    <mergeCell ref="N487:N491"/>
    <mergeCell ref="A492:A496"/>
    <mergeCell ref="C492:C496"/>
    <mergeCell ref="D492:D496"/>
    <mergeCell ref="E492:E496"/>
    <mergeCell ref="F492:F496"/>
    <mergeCell ref="G492:G496"/>
    <mergeCell ref="M492:M496"/>
    <mergeCell ref="N492:N496"/>
    <mergeCell ref="A497:A501"/>
    <mergeCell ref="C497:C501"/>
    <mergeCell ref="D497:D501"/>
    <mergeCell ref="E497:E501"/>
    <mergeCell ref="F497:F501"/>
    <mergeCell ref="G497:G501"/>
    <mergeCell ref="M497:M501"/>
    <mergeCell ref="N497:N501"/>
    <mergeCell ref="A502:A506"/>
    <mergeCell ref="C502:C506"/>
    <mergeCell ref="D502:D506"/>
    <mergeCell ref="E502:E506"/>
    <mergeCell ref="F502:F506"/>
    <mergeCell ref="G502:G506"/>
    <mergeCell ref="M502:M506"/>
    <mergeCell ref="N502:N506"/>
    <mergeCell ref="A507:A511"/>
    <mergeCell ref="C507:C511"/>
    <mergeCell ref="D507:D511"/>
    <mergeCell ref="E507:E511"/>
    <mergeCell ref="F507:F511"/>
    <mergeCell ref="G507:G511"/>
    <mergeCell ref="M507:M511"/>
    <mergeCell ref="N507:N511"/>
    <mergeCell ref="A512:A516"/>
    <mergeCell ref="C512:C516"/>
    <mergeCell ref="D512:D516"/>
    <mergeCell ref="E512:E516"/>
    <mergeCell ref="F512:F516"/>
    <mergeCell ref="G512:G516"/>
    <mergeCell ref="M512:M516"/>
    <mergeCell ref="N512:N516"/>
    <mergeCell ref="A517:A521"/>
    <mergeCell ref="C517:C521"/>
    <mergeCell ref="D517:D521"/>
    <mergeCell ref="E517:E521"/>
    <mergeCell ref="F517:F521"/>
    <mergeCell ref="G517:G521"/>
    <mergeCell ref="M517:M521"/>
    <mergeCell ref="N517:N521"/>
    <mergeCell ref="A522:A526"/>
    <mergeCell ref="C522:C526"/>
    <mergeCell ref="D522:D526"/>
    <mergeCell ref="E522:E526"/>
    <mergeCell ref="F522:F526"/>
    <mergeCell ref="G522:G526"/>
    <mergeCell ref="M522:M526"/>
    <mergeCell ref="N522:N526"/>
    <mergeCell ref="A527:A531"/>
    <mergeCell ref="C527:C531"/>
    <mergeCell ref="D527:D531"/>
    <mergeCell ref="E527:E531"/>
    <mergeCell ref="F527:F531"/>
    <mergeCell ref="G527:G531"/>
    <mergeCell ref="M527:M531"/>
    <mergeCell ref="N527:N531"/>
    <mergeCell ref="A532:A536"/>
    <mergeCell ref="C532:C536"/>
    <mergeCell ref="D532:D536"/>
    <mergeCell ref="E532:E536"/>
    <mergeCell ref="F532:F536"/>
    <mergeCell ref="G532:G536"/>
    <mergeCell ref="M532:M536"/>
    <mergeCell ref="N532:N536"/>
    <mergeCell ref="A537:A541"/>
    <mergeCell ref="C537:C541"/>
    <mergeCell ref="D537:D541"/>
    <mergeCell ref="E537:E541"/>
    <mergeCell ref="F537:F541"/>
    <mergeCell ref="G537:G541"/>
    <mergeCell ref="M537:M541"/>
    <mergeCell ref="N537:N541"/>
    <mergeCell ref="A542:A546"/>
    <mergeCell ref="C542:C546"/>
    <mergeCell ref="D542:D546"/>
    <mergeCell ref="E542:E546"/>
    <mergeCell ref="F542:F546"/>
    <mergeCell ref="G542:G546"/>
    <mergeCell ref="M542:M546"/>
    <mergeCell ref="N542:N546"/>
    <mergeCell ref="A547:A551"/>
    <mergeCell ref="C547:C551"/>
    <mergeCell ref="D547:D551"/>
    <mergeCell ref="E547:E551"/>
    <mergeCell ref="F547:F551"/>
    <mergeCell ref="G547:G551"/>
    <mergeCell ref="M547:M551"/>
    <mergeCell ref="N547:N551"/>
    <mergeCell ref="A552:A556"/>
    <mergeCell ref="C552:C556"/>
    <mergeCell ref="D552:D556"/>
    <mergeCell ref="E552:E556"/>
    <mergeCell ref="F552:F556"/>
    <mergeCell ref="G552:G556"/>
    <mergeCell ref="M552:M556"/>
    <mergeCell ref="N552:N556"/>
    <mergeCell ref="A557:A561"/>
    <mergeCell ref="C557:C561"/>
    <mergeCell ref="D557:D561"/>
    <mergeCell ref="E557:E561"/>
    <mergeCell ref="F557:F561"/>
    <mergeCell ref="G557:G561"/>
    <mergeCell ref="M557:M561"/>
    <mergeCell ref="N557:N561"/>
    <mergeCell ref="A562:A566"/>
    <mergeCell ref="C562:C566"/>
    <mergeCell ref="D562:D566"/>
    <mergeCell ref="E562:E566"/>
    <mergeCell ref="F562:F566"/>
    <mergeCell ref="G562:G566"/>
    <mergeCell ref="M562:M566"/>
    <mergeCell ref="N562:N566"/>
    <mergeCell ref="A567:A571"/>
    <mergeCell ref="C567:C571"/>
    <mergeCell ref="D567:D571"/>
    <mergeCell ref="E567:E571"/>
    <mergeCell ref="F567:F571"/>
    <mergeCell ref="G567:G571"/>
    <mergeCell ref="M567:M571"/>
    <mergeCell ref="N567:N571"/>
    <mergeCell ref="A572:A576"/>
    <mergeCell ref="C572:C576"/>
    <mergeCell ref="D572:D576"/>
    <mergeCell ref="E572:E576"/>
    <mergeCell ref="F572:F576"/>
    <mergeCell ref="G572:G576"/>
    <mergeCell ref="M572:M576"/>
    <mergeCell ref="N572:N576"/>
    <mergeCell ref="A577:A581"/>
    <mergeCell ref="C577:C581"/>
    <mergeCell ref="D577:D581"/>
    <mergeCell ref="E577:E581"/>
    <mergeCell ref="F577:F581"/>
    <mergeCell ref="G577:G581"/>
    <mergeCell ref="M577:M581"/>
    <mergeCell ref="N577:N581"/>
    <mergeCell ref="A582:A586"/>
    <mergeCell ref="C582:C586"/>
    <mergeCell ref="D582:D586"/>
    <mergeCell ref="E582:E586"/>
    <mergeCell ref="F582:F586"/>
    <mergeCell ref="G582:G586"/>
    <mergeCell ref="M582:M586"/>
    <mergeCell ref="N582:N586"/>
    <mergeCell ref="A587:A591"/>
    <mergeCell ref="C587:C591"/>
    <mergeCell ref="D587:D591"/>
    <mergeCell ref="E587:E591"/>
    <mergeCell ref="F587:F591"/>
    <mergeCell ref="G587:G591"/>
    <mergeCell ref="M587:M591"/>
    <mergeCell ref="N587:N591"/>
    <mergeCell ref="A592:A596"/>
    <mergeCell ref="C592:C596"/>
    <mergeCell ref="D592:D596"/>
    <mergeCell ref="E592:E596"/>
    <mergeCell ref="F592:F596"/>
    <mergeCell ref="G592:G596"/>
    <mergeCell ref="M592:M596"/>
    <mergeCell ref="N592:N596"/>
    <mergeCell ref="A597:A601"/>
    <mergeCell ref="C597:C601"/>
    <mergeCell ref="D597:D601"/>
    <mergeCell ref="E597:E601"/>
    <mergeCell ref="F597:F601"/>
    <mergeCell ref="G597:G601"/>
    <mergeCell ref="M597:M601"/>
    <mergeCell ref="N597:N601"/>
    <mergeCell ref="A602:A606"/>
    <mergeCell ref="C602:C606"/>
    <mergeCell ref="D602:D606"/>
    <mergeCell ref="E602:E606"/>
    <mergeCell ref="F602:F606"/>
    <mergeCell ref="G602:G606"/>
    <mergeCell ref="M602:M606"/>
    <mergeCell ref="N602:N606"/>
    <mergeCell ref="A607:A611"/>
    <mergeCell ref="C607:C611"/>
    <mergeCell ref="D607:D611"/>
    <mergeCell ref="E607:E611"/>
    <mergeCell ref="F607:F611"/>
    <mergeCell ref="G607:G611"/>
    <mergeCell ref="M607:M611"/>
    <mergeCell ref="N607:N611"/>
    <mergeCell ref="A612:A616"/>
    <mergeCell ref="C612:C616"/>
    <mergeCell ref="D612:D616"/>
    <mergeCell ref="E612:E616"/>
    <mergeCell ref="F612:F616"/>
    <mergeCell ref="G612:G616"/>
    <mergeCell ref="M612:M616"/>
    <mergeCell ref="N612:N616"/>
    <mergeCell ref="A617:A621"/>
    <mergeCell ref="C617:C621"/>
    <mergeCell ref="D617:D621"/>
    <mergeCell ref="E617:E621"/>
    <mergeCell ref="F617:F621"/>
    <mergeCell ref="G617:G621"/>
    <mergeCell ref="M617:M621"/>
    <mergeCell ref="N617:N621"/>
    <mergeCell ref="A622:A626"/>
    <mergeCell ref="C622:C626"/>
    <mergeCell ref="D622:D626"/>
    <mergeCell ref="E622:E626"/>
    <mergeCell ref="F622:F626"/>
    <mergeCell ref="G622:G626"/>
    <mergeCell ref="M622:M626"/>
    <mergeCell ref="N622:N626"/>
    <mergeCell ref="A627:A631"/>
    <mergeCell ref="C627:C631"/>
    <mergeCell ref="D627:D631"/>
    <mergeCell ref="E627:E631"/>
    <mergeCell ref="F627:F631"/>
    <mergeCell ref="G627:G631"/>
    <mergeCell ref="M627:M631"/>
    <mergeCell ref="N627:N631"/>
    <mergeCell ref="A632:A636"/>
    <mergeCell ref="C632:C636"/>
    <mergeCell ref="D632:D636"/>
    <mergeCell ref="E632:E636"/>
    <mergeCell ref="F632:F636"/>
    <mergeCell ref="G632:G636"/>
    <mergeCell ref="M632:M636"/>
    <mergeCell ref="N632:N636"/>
    <mergeCell ref="A637:A641"/>
    <mergeCell ref="C637:C641"/>
    <mergeCell ref="D637:D641"/>
    <mergeCell ref="E637:E641"/>
    <mergeCell ref="F637:F641"/>
    <mergeCell ref="G637:G641"/>
    <mergeCell ref="M637:M641"/>
    <mergeCell ref="N637:N641"/>
    <mergeCell ref="A642:A646"/>
    <mergeCell ref="C642:C646"/>
    <mergeCell ref="D642:D646"/>
    <mergeCell ref="E642:E646"/>
    <mergeCell ref="F642:F646"/>
    <mergeCell ref="G642:G646"/>
    <mergeCell ref="M642:M646"/>
    <mergeCell ref="N642:N646"/>
    <mergeCell ref="A647:A651"/>
    <mergeCell ref="C647:C651"/>
    <mergeCell ref="D647:D651"/>
    <mergeCell ref="E647:E651"/>
    <mergeCell ref="F647:F651"/>
    <mergeCell ref="G647:G651"/>
    <mergeCell ref="M647:M651"/>
    <mergeCell ref="N647:N651"/>
    <mergeCell ref="A652:A656"/>
    <mergeCell ref="C652:C656"/>
    <mergeCell ref="D652:D656"/>
    <mergeCell ref="E652:E656"/>
    <mergeCell ref="F652:F656"/>
    <mergeCell ref="G652:G656"/>
    <mergeCell ref="M652:M656"/>
    <mergeCell ref="N652:N656"/>
    <mergeCell ref="A657:A661"/>
    <mergeCell ref="C657:C661"/>
    <mergeCell ref="D657:D661"/>
    <mergeCell ref="E657:E661"/>
    <mergeCell ref="F657:F661"/>
    <mergeCell ref="G657:G661"/>
    <mergeCell ref="M657:M661"/>
    <mergeCell ref="N657:N661"/>
    <mergeCell ref="A662:A666"/>
    <mergeCell ref="C662:C666"/>
    <mergeCell ref="D662:D666"/>
    <mergeCell ref="E662:E666"/>
    <mergeCell ref="F662:F666"/>
    <mergeCell ref="G662:G666"/>
    <mergeCell ref="M662:M666"/>
    <mergeCell ref="N662:N666"/>
    <mergeCell ref="A667:A671"/>
    <mergeCell ref="C667:C671"/>
    <mergeCell ref="D667:D671"/>
    <mergeCell ref="E667:E671"/>
    <mergeCell ref="F667:F671"/>
    <mergeCell ref="G667:G671"/>
    <mergeCell ref="M667:M671"/>
    <mergeCell ref="N667:N671"/>
    <mergeCell ref="A672:A676"/>
    <mergeCell ref="C672:C676"/>
    <mergeCell ref="D672:D676"/>
    <mergeCell ref="E672:E676"/>
    <mergeCell ref="F672:F676"/>
    <mergeCell ref="G672:G676"/>
    <mergeCell ref="M672:M676"/>
    <mergeCell ref="N672:N676"/>
    <mergeCell ref="A677:A681"/>
    <mergeCell ref="C677:C681"/>
    <mergeCell ref="D677:D681"/>
    <mergeCell ref="E677:E681"/>
    <mergeCell ref="F677:F681"/>
    <mergeCell ref="G677:G681"/>
    <mergeCell ref="M677:M681"/>
    <mergeCell ref="N677:N681"/>
    <mergeCell ref="A682:A686"/>
    <mergeCell ref="C682:C686"/>
    <mergeCell ref="D682:D686"/>
    <mergeCell ref="E682:E686"/>
    <mergeCell ref="F682:F686"/>
    <mergeCell ref="G682:G686"/>
    <mergeCell ref="M682:M686"/>
    <mergeCell ref="N682:N686"/>
    <mergeCell ref="A687:A691"/>
    <mergeCell ref="C687:C691"/>
    <mergeCell ref="D687:D691"/>
    <mergeCell ref="E687:E691"/>
    <mergeCell ref="F687:F691"/>
    <mergeCell ref="G687:G691"/>
    <mergeCell ref="M687:M691"/>
    <mergeCell ref="N687:N691"/>
    <mergeCell ref="A692:A696"/>
    <mergeCell ref="C692:C696"/>
    <mergeCell ref="D692:D696"/>
    <mergeCell ref="E692:E696"/>
    <mergeCell ref="F692:F696"/>
    <mergeCell ref="G692:G696"/>
    <mergeCell ref="M692:M696"/>
    <mergeCell ref="N692:N696"/>
    <mergeCell ref="A697:A701"/>
    <mergeCell ref="C697:C701"/>
    <mergeCell ref="D697:D701"/>
    <mergeCell ref="E697:E701"/>
    <mergeCell ref="F697:F701"/>
    <mergeCell ref="G697:G701"/>
    <mergeCell ref="M697:M701"/>
    <mergeCell ref="N697:N701"/>
    <mergeCell ref="A702:A706"/>
    <mergeCell ref="C702:C706"/>
    <mergeCell ref="D702:D706"/>
    <mergeCell ref="E702:E706"/>
    <mergeCell ref="F702:F706"/>
    <mergeCell ref="G702:G706"/>
    <mergeCell ref="M702:M706"/>
    <mergeCell ref="N702:N706"/>
    <mergeCell ref="A707:A711"/>
    <mergeCell ref="C707:C711"/>
    <mergeCell ref="D707:D711"/>
    <mergeCell ref="E707:E711"/>
    <mergeCell ref="F707:F711"/>
    <mergeCell ref="G707:G711"/>
    <mergeCell ref="M707:M711"/>
    <mergeCell ref="N707:N711"/>
    <mergeCell ref="A712:A716"/>
    <mergeCell ref="C712:C716"/>
    <mergeCell ref="D712:D716"/>
    <mergeCell ref="E712:E716"/>
    <mergeCell ref="F712:F716"/>
    <mergeCell ref="G712:G716"/>
    <mergeCell ref="M712:M716"/>
    <mergeCell ref="N712:N716"/>
    <mergeCell ref="A717:A721"/>
    <mergeCell ref="C717:C721"/>
    <mergeCell ref="D717:D721"/>
    <mergeCell ref="E717:E721"/>
    <mergeCell ref="F717:F721"/>
    <mergeCell ref="G717:G721"/>
    <mergeCell ref="M717:M721"/>
    <mergeCell ref="N717:N721"/>
    <mergeCell ref="A722:A726"/>
    <mergeCell ref="C722:C726"/>
    <mergeCell ref="D722:D726"/>
    <mergeCell ref="E722:E726"/>
    <mergeCell ref="F722:F726"/>
    <mergeCell ref="G722:G726"/>
    <mergeCell ref="M722:M726"/>
    <mergeCell ref="N722:N726"/>
    <mergeCell ref="A727:A731"/>
    <mergeCell ref="C727:C731"/>
    <mergeCell ref="D727:D731"/>
    <mergeCell ref="E727:E731"/>
    <mergeCell ref="F727:F731"/>
    <mergeCell ref="G727:G731"/>
    <mergeCell ref="M727:M731"/>
    <mergeCell ref="N727:N731"/>
    <mergeCell ref="A732:A736"/>
    <mergeCell ref="C732:C736"/>
    <mergeCell ref="D732:D736"/>
    <mergeCell ref="E732:E736"/>
    <mergeCell ref="F732:F736"/>
    <mergeCell ref="G732:G736"/>
    <mergeCell ref="M732:M736"/>
    <mergeCell ref="N732:N736"/>
    <mergeCell ref="A737:A741"/>
    <mergeCell ref="C737:C741"/>
    <mergeCell ref="D737:D741"/>
    <mergeCell ref="E737:E741"/>
    <mergeCell ref="F737:F741"/>
    <mergeCell ref="G737:G741"/>
    <mergeCell ref="M737:M741"/>
    <mergeCell ref="N737:N741"/>
    <mergeCell ref="A742:A746"/>
    <mergeCell ref="C742:C746"/>
    <mergeCell ref="D742:D746"/>
    <mergeCell ref="E742:E746"/>
    <mergeCell ref="F742:F746"/>
    <mergeCell ref="G742:G746"/>
    <mergeCell ref="M742:M746"/>
    <mergeCell ref="N742:N746"/>
    <mergeCell ref="A747:A751"/>
    <mergeCell ref="C747:C751"/>
    <mergeCell ref="D747:D751"/>
    <mergeCell ref="E747:E751"/>
    <mergeCell ref="F747:F751"/>
    <mergeCell ref="G747:G751"/>
    <mergeCell ref="M747:M751"/>
    <mergeCell ref="N747:N751"/>
    <mergeCell ref="A752:A756"/>
    <mergeCell ref="C752:C756"/>
    <mergeCell ref="D752:D756"/>
    <mergeCell ref="E752:E756"/>
    <mergeCell ref="F752:F756"/>
    <mergeCell ref="G752:G756"/>
    <mergeCell ref="M752:M756"/>
    <mergeCell ref="N752:N756"/>
    <mergeCell ref="A757:A761"/>
    <mergeCell ref="C757:C761"/>
    <mergeCell ref="D757:D761"/>
    <mergeCell ref="E757:E761"/>
    <mergeCell ref="F757:F761"/>
    <mergeCell ref="G757:G761"/>
    <mergeCell ref="M757:M761"/>
    <mergeCell ref="N757:N761"/>
    <mergeCell ref="A762:A766"/>
    <mergeCell ref="C762:C766"/>
    <mergeCell ref="D762:D766"/>
    <mergeCell ref="E762:E766"/>
    <mergeCell ref="F762:F766"/>
    <mergeCell ref="G762:G766"/>
    <mergeCell ref="M762:M766"/>
    <mergeCell ref="N762:N766"/>
    <mergeCell ref="A767:A771"/>
    <mergeCell ref="C767:C771"/>
    <mergeCell ref="D767:D771"/>
    <mergeCell ref="E767:E771"/>
    <mergeCell ref="F767:F771"/>
    <mergeCell ref="G767:G771"/>
    <mergeCell ref="M767:M771"/>
    <mergeCell ref="N767:N771"/>
    <mergeCell ref="A772:A776"/>
    <mergeCell ref="C772:C776"/>
    <mergeCell ref="D772:D776"/>
    <mergeCell ref="E772:E776"/>
    <mergeCell ref="F772:F776"/>
    <mergeCell ref="G772:G776"/>
    <mergeCell ref="M772:M776"/>
    <mergeCell ref="N772:N776"/>
    <mergeCell ref="A777:A781"/>
    <mergeCell ref="C777:C781"/>
    <mergeCell ref="D777:D781"/>
    <mergeCell ref="E777:E781"/>
    <mergeCell ref="F777:F781"/>
    <mergeCell ref="G777:G781"/>
    <mergeCell ref="M777:M781"/>
    <mergeCell ref="N777:N781"/>
    <mergeCell ref="A782:A786"/>
    <mergeCell ref="C782:C786"/>
    <mergeCell ref="D782:D786"/>
    <mergeCell ref="E782:E786"/>
    <mergeCell ref="F782:F786"/>
    <mergeCell ref="G782:G786"/>
    <mergeCell ref="M782:M786"/>
    <mergeCell ref="N782:N786"/>
    <mergeCell ref="A787:A791"/>
    <mergeCell ref="C787:C791"/>
    <mergeCell ref="D787:D791"/>
    <mergeCell ref="E787:E791"/>
    <mergeCell ref="F787:F791"/>
    <mergeCell ref="G787:G791"/>
    <mergeCell ref="M787:M791"/>
    <mergeCell ref="N787:N791"/>
    <mergeCell ref="A792:A796"/>
    <mergeCell ref="C792:C796"/>
    <mergeCell ref="D792:D796"/>
    <mergeCell ref="E792:E796"/>
    <mergeCell ref="F792:F796"/>
    <mergeCell ref="G792:G796"/>
    <mergeCell ref="M792:M796"/>
    <mergeCell ref="N792:N796"/>
    <mergeCell ref="A797:A801"/>
    <mergeCell ref="C797:C801"/>
    <mergeCell ref="D797:D801"/>
    <mergeCell ref="E797:E801"/>
    <mergeCell ref="F797:F801"/>
    <mergeCell ref="G797:G801"/>
    <mergeCell ref="M797:M801"/>
    <mergeCell ref="N797:N801"/>
    <mergeCell ref="A802:A806"/>
    <mergeCell ref="C802:C806"/>
    <mergeCell ref="D802:D806"/>
    <mergeCell ref="E802:E806"/>
    <mergeCell ref="F802:F806"/>
    <mergeCell ref="G802:G806"/>
    <mergeCell ref="M802:M806"/>
    <mergeCell ref="N802:N806"/>
    <mergeCell ref="A807:A811"/>
    <mergeCell ref="C807:C811"/>
    <mergeCell ref="D807:D811"/>
    <mergeCell ref="E807:E811"/>
    <mergeCell ref="F807:F811"/>
    <mergeCell ref="G807:G811"/>
    <mergeCell ref="M807:M811"/>
    <mergeCell ref="N807:N811"/>
    <mergeCell ref="A812:A816"/>
    <mergeCell ref="C812:C816"/>
    <mergeCell ref="D812:D816"/>
    <mergeCell ref="E812:E816"/>
    <mergeCell ref="F812:F816"/>
    <mergeCell ref="G812:G816"/>
    <mergeCell ref="M812:M816"/>
    <mergeCell ref="N812:N816"/>
    <mergeCell ref="A817:A821"/>
    <mergeCell ref="C817:C821"/>
    <mergeCell ref="D817:D821"/>
    <mergeCell ref="E817:E821"/>
    <mergeCell ref="F817:F821"/>
    <mergeCell ref="G817:G821"/>
    <mergeCell ref="M817:M821"/>
    <mergeCell ref="N817:N821"/>
    <mergeCell ref="A822:A826"/>
    <mergeCell ref="C822:C826"/>
    <mergeCell ref="D822:D826"/>
    <mergeCell ref="E822:E826"/>
    <mergeCell ref="F822:F826"/>
    <mergeCell ref="G822:G826"/>
    <mergeCell ref="M822:M826"/>
    <mergeCell ref="N822:N826"/>
    <mergeCell ref="A827:A831"/>
    <mergeCell ref="C827:C831"/>
    <mergeCell ref="D827:D831"/>
    <mergeCell ref="E827:E831"/>
    <mergeCell ref="F827:F831"/>
    <mergeCell ref="G827:G831"/>
    <mergeCell ref="M827:M831"/>
    <mergeCell ref="N827:N831"/>
    <mergeCell ref="A832:A836"/>
    <mergeCell ref="C832:C836"/>
    <mergeCell ref="D832:D836"/>
    <mergeCell ref="E832:E836"/>
    <mergeCell ref="F832:F836"/>
    <mergeCell ref="G832:G836"/>
    <mergeCell ref="M832:M836"/>
    <mergeCell ref="N832:N836"/>
    <mergeCell ref="A837:A841"/>
    <mergeCell ref="C837:C841"/>
    <mergeCell ref="D837:D841"/>
    <mergeCell ref="E837:E841"/>
    <mergeCell ref="F837:F841"/>
    <mergeCell ref="G837:G841"/>
    <mergeCell ref="M837:M841"/>
    <mergeCell ref="N837:N841"/>
    <mergeCell ref="A842:A846"/>
    <mergeCell ref="C842:C846"/>
    <mergeCell ref="D842:D846"/>
    <mergeCell ref="E842:E846"/>
    <mergeCell ref="F842:F846"/>
    <mergeCell ref="G842:G846"/>
    <mergeCell ref="M842:M846"/>
    <mergeCell ref="N842:N846"/>
    <mergeCell ref="A847:A851"/>
    <mergeCell ref="C847:C851"/>
    <mergeCell ref="D847:D851"/>
    <mergeCell ref="E847:E851"/>
    <mergeCell ref="F847:F851"/>
    <mergeCell ref="G847:G851"/>
    <mergeCell ref="M847:M851"/>
    <mergeCell ref="N847:N851"/>
    <mergeCell ref="A852:A856"/>
    <mergeCell ref="C852:C856"/>
    <mergeCell ref="D852:D856"/>
    <mergeCell ref="E852:E856"/>
    <mergeCell ref="F852:F856"/>
    <mergeCell ref="G852:G856"/>
    <mergeCell ref="M852:M856"/>
    <mergeCell ref="N852:N856"/>
    <mergeCell ref="A857:A861"/>
    <mergeCell ref="C857:C861"/>
    <mergeCell ref="D857:D861"/>
    <mergeCell ref="E857:E861"/>
    <mergeCell ref="F857:F861"/>
    <mergeCell ref="G857:G861"/>
    <mergeCell ref="M857:M861"/>
    <mergeCell ref="N857:N861"/>
    <mergeCell ref="A862:A866"/>
    <mergeCell ref="C862:C866"/>
    <mergeCell ref="D862:D866"/>
    <mergeCell ref="E862:E866"/>
    <mergeCell ref="F862:F866"/>
    <mergeCell ref="G862:G866"/>
    <mergeCell ref="M862:M866"/>
    <mergeCell ref="N862:N866"/>
    <mergeCell ref="A867:A871"/>
    <mergeCell ref="C867:C871"/>
    <mergeCell ref="D867:D871"/>
    <mergeCell ref="E867:E871"/>
    <mergeCell ref="F867:F871"/>
    <mergeCell ref="G867:G871"/>
    <mergeCell ref="M867:M871"/>
    <mergeCell ref="N867:N871"/>
    <mergeCell ref="A872:A876"/>
    <mergeCell ref="C872:C876"/>
    <mergeCell ref="D872:D876"/>
    <mergeCell ref="E872:E876"/>
    <mergeCell ref="F872:F876"/>
    <mergeCell ref="G872:G876"/>
    <mergeCell ref="M872:M876"/>
    <mergeCell ref="N872:N876"/>
    <mergeCell ref="A877:A881"/>
    <mergeCell ref="C877:C881"/>
    <mergeCell ref="D877:D881"/>
    <mergeCell ref="E877:E881"/>
    <mergeCell ref="F877:F881"/>
    <mergeCell ref="G877:G881"/>
    <mergeCell ref="M877:M881"/>
    <mergeCell ref="N877:N881"/>
    <mergeCell ref="A882:A886"/>
    <mergeCell ref="C882:C886"/>
    <mergeCell ref="D882:D886"/>
    <mergeCell ref="E882:E886"/>
    <mergeCell ref="F882:F886"/>
    <mergeCell ref="G882:G886"/>
    <mergeCell ref="M882:M886"/>
    <mergeCell ref="N882:N886"/>
    <mergeCell ref="A887:A891"/>
    <mergeCell ref="C887:C891"/>
    <mergeCell ref="D887:D891"/>
    <mergeCell ref="E887:E891"/>
    <mergeCell ref="F887:F891"/>
    <mergeCell ref="G887:G891"/>
    <mergeCell ref="M887:M891"/>
    <mergeCell ref="N887:N891"/>
    <mergeCell ref="A892:A896"/>
    <mergeCell ref="C892:C896"/>
    <mergeCell ref="D892:D896"/>
    <mergeCell ref="E892:E896"/>
    <mergeCell ref="F892:F896"/>
    <mergeCell ref="G892:G896"/>
    <mergeCell ref="M892:M896"/>
    <mergeCell ref="N892:N896"/>
    <mergeCell ref="A897:A901"/>
    <mergeCell ref="C897:C901"/>
    <mergeCell ref="D897:D901"/>
    <mergeCell ref="E897:E901"/>
    <mergeCell ref="F897:F901"/>
    <mergeCell ref="G897:G901"/>
    <mergeCell ref="M897:M901"/>
    <mergeCell ref="N897:N901"/>
    <mergeCell ref="A902:A906"/>
    <mergeCell ref="C902:C906"/>
    <mergeCell ref="D902:D906"/>
    <mergeCell ref="E902:E906"/>
    <mergeCell ref="F902:F906"/>
    <mergeCell ref="G902:G906"/>
    <mergeCell ref="M902:M906"/>
    <mergeCell ref="N902:N906"/>
    <mergeCell ref="A907:A911"/>
    <mergeCell ref="C907:C911"/>
    <mergeCell ref="D907:D911"/>
    <mergeCell ref="E907:E911"/>
    <mergeCell ref="F907:F911"/>
    <mergeCell ref="G907:G911"/>
    <mergeCell ref="M907:M911"/>
    <mergeCell ref="N907:N911"/>
    <mergeCell ref="A912:A916"/>
    <mergeCell ref="C912:C916"/>
    <mergeCell ref="D912:D916"/>
    <mergeCell ref="E912:E916"/>
    <mergeCell ref="F912:F916"/>
    <mergeCell ref="G912:G916"/>
    <mergeCell ref="M912:M916"/>
    <mergeCell ref="N912:N916"/>
    <mergeCell ref="A917:A921"/>
    <mergeCell ref="C917:C921"/>
    <mergeCell ref="D917:D921"/>
    <mergeCell ref="E917:E921"/>
    <mergeCell ref="F917:F921"/>
    <mergeCell ref="G917:G921"/>
    <mergeCell ref="M917:M921"/>
    <mergeCell ref="N917:N921"/>
    <mergeCell ref="A922:A926"/>
    <mergeCell ref="C922:C926"/>
    <mergeCell ref="D922:D926"/>
    <mergeCell ref="E922:E926"/>
    <mergeCell ref="F922:F926"/>
    <mergeCell ref="G922:G926"/>
    <mergeCell ref="M922:M926"/>
    <mergeCell ref="N922:N926"/>
    <mergeCell ref="A927:A931"/>
    <mergeCell ref="C927:C931"/>
    <mergeCell ref="D927:D931"/>
    <mergeCell ref="E927:E931"/>
    <mergeCell ref="F927:F931"/>
    <mergeCell ref="G927:G931"/>
    <mergeCell ref="M927:M931"/>
    <mergeCell ref="N927:N931"/>
    <mergeCell ref="A932:A936"/>
    <mergeCell ref="C932:C936"/>
    <mergeCell ref="D932:D936"/>
    <mergeCell ref="E932:E936"/>
    <mergeCell ref="F932:F936"/>
    <mergeCell ref="G932:G936"/>
    <mergeCell ref="M932:M936"/>
    <mergeCell ref="N932:N936"/>
    <mergeCell ref="A937:A941"/>
    <mergeCell ref="C937:C941"/>
    <mergeCell ref="D937:D941"/>
    <mergeCell ref="E937:E941"/>
    <mergeCell ref="F937:F941"/>
    <mergeCell ref="G937:G941"/>
    <mergeCell ref="M937:M941"/>
    <mergeCell ref="N937:N941"/>
    <mergeCell ref="A942:A946"/>
    <mergeCell ref="C942:C946"/>
    <mergeCell ref="D942:D946"/>
    <mergeCell ref="E942:E946"/>
    <mergeCell ref="F942:F946"/>
    <mergeCell ref="G942:G946"/>
    <mergeCell ref="M942:M946"/>
    <mergeCell ref="N942:N946"/>
    <mergeCell ref="A947:A951"/>
    <mergeCell ref="C947:C951"/>
    <mergeCell ref="D947:D951"/>
    <mergeCell ref="E947:E951"/>
    <mergeCell ref="F947:F951"/>
    <mergeCell ref="G947:G951"/>
    <mergeCell ref="M947:M951"/>
    <mergeCell ref="N947:N951"/>
    <mergeCell ref="A952:A956"/>
    <mergeCell ref="C952:C956"/>
    <mergeCell ref="D952:D956"/>
    <mergeCell ref="E952:E956"/>
    <mergeCell ref="F952:F956"/>
    <mergeCell ref="G952:G956"/>
    <mergeCell ref="M952:M956"/>
    <mergeCell ref="N952:N956"/>
    <mergeCell ref="A957:A961"/>
    <mergeCell ref="C957:C961"/>
    <mergeCell ref="D957:D961"/>
    <mergeCell ref="E957:E961"/>
    <mergeCell ref="F957:F961"/>
    <mergeCell ref="G957:G961"/>
    <mergeCell ref="M957:M961"/>
    <mergeCell ref="N957:N961"/>
    <mergeCell ref="A962:A966"/>
    <mergeCell ref="C962:C966"/>
    <mergeCell ref="D962:D966"/>
    <mergeCell ref="E962:E966"/>
    <mergeCell ref="F962:F966"/>
    <mergeCell ref="G962:G966"/>
    <mergeCell ref="M962:M966"/>
    <mergeCell ref="N962:N966"/>
    <mergeCell ref="A967:A971"/>
    <mergeCell ref="C967:C971"/>
    <mergeCell ref="D967:D971"/>
    <mergeCell ref="E967:E971"/>
    <mergeCell ref="F967:F971"/>
    <mergeCell ref="G967:G971"/>
    <mergeCell ref="M967:M971"/>
    <mergeCell ref="N967:N971"/>
    <mergeCell ref="A972:A976"/>
    <mergeCell ref="C972:C976"/>
    <mergeCell ref="D972:D976"/>
    <mergeCell ref="E972:E976"/>
    <mergeCell ref="F972:F976"/>
    <mergeCell ref="G972:G976"/>
    <mergeCell ref="M972:M976"/>
    <mergeCell ref="N972:N976"/>
    <mergeCell ref="A977:A981"/>
    <mergeCell ref="C977:C981"/>
    <mergeCell ref="D977:D981"/>
    <mergeCell ref="E977:E981"/>
    <mergeCell ref="F977:F981"/>
    <mergeCell ref="G977:G981"/>
    <mergeCell ref="M977:M981"/>
    <mergeCell ref="N977:N981"/>
    <mergeCell ref="A982:A986"/>
    <mergeCell ref="C982:C986"/>
    <mergeCell ref="D982:D986"/>
    <mergeCell ref="E982:E986"/>
    <mergeCell ref="F982:F986"/>
    <mergeCell ref="G982:G986"/>
    <mergeCell ref="M982:M986"/>
    <mergeCell ref="N982:N986"/>
    <mergeCell ref="A987:A991"/>
    <mergeCell ref="C987:C991"/>
    <mergeCell ref="D987:D991"/>
    <mergeCell ref="E987:E991"/>
    <mergeCell ref="F987:F991"/>
    <mergeCell ref="G987:G991"/>
    <mergeCell ref="M987:M991"/>
    <mergeCell ref="N987:N991"/>
    <mergeCell ref="A992:A996"/>
    <mergeCell ref="C992:C996"/>
    <mergeCell ref="D992:D996"/>
    <mergeCell ref="E992:E996"/>
    <mergeCell ref="F992:F996"/>
    <mergeCell ref="G992:G996"/>
    <mergeCell ref="M992:M996"/>
    <mergeCell ref="N992:N996"/>
    <mergeCell ref="A997:A1001"/>
    <mergeCell ref="C997:C1001"/>
    <mergeCell ref="D997:D1001"/>
    <mergeCell ref="E997:E1001"/>
    <mergeCell ref="F997:F1001"/>
    <mergeCell ref="G997:G1001"/>
    <mergeCell ref="M997:M1001"/>
    <mergeCell ref="N997:N1001"/>
    <mergeCell ref="A1002:A1006"/>
    <mergeCell ref="C1002:C1006"/>
    <mergeCell ref="D1002:D1006"/>
    <mergeCell ref="E1002:E1006"/>
    <mergeCell ref="F1002:F1006"/>
    <mergeCell ref="G1002:G1006"/>
    <mergeCell ref="M1002:M1006"/>
    <mergeCell ref="N1002:N1006"/>
    <mergeCell ref="A1007:A1011"/>
    <mergeCell ref="C1007:C1011"/>
    <mergeCell ref="D1007:D1011"/>
    <mergeCell ref="E1007:E1011"/>
    <mergeCell ref="F1007:F1011"/>
    <mergeCell ref="G1007:G1011"/>
    <mergeCell ref="M1007:M1011"/>
    <mergeCell ref="N1007:N1011"/>
    <mergeCell ref="A1012:A1016"/>
    <mergeCell ref="C1012:C1016"/>
    <mergeCell ref="D1012:D1016"/>
    <mergeCell ref="E1012:E1016"/>
    <mergeCell ref="F1012:F1016"/>
    <mergeCell ref="G1012:G1016"/>
    <mergeCell ref="M1012:M1016"/>
    <mergeCell ref="N1012:N1016"/>
    <mergeCell ref="A1017:A1021"/>
    <mergeCell ref="C1017:C1021"/>
    <mergeCell ref="D1017:D1021"/>
    <mergeCell ref="E1017:E1021"/>
    <mergeCell ref="F1017:F1021"/>
    <mergeCell ref="G1017:G1021"/>
    <mergeCell ref="M1017:M1021"/>
    <mergeCell ref="N1017:N1021"/>
    <mergeCell ref="A1022:A1026"/>
    <mergeCell ref="C1022:C1026"/>
    <mergeCell ref="D1022:D1026"/>
    <mergeCell ref="E1022:E1026"/>
    <mergeCell ref="F1022:F1026"/>
    <mergeCell ref="G1022:G1026"/>
    <mergeCell ref="M1022:M1026"/>
    <mergeCell ref="N1022:N1026"/>
    <mergeCell ref="A1027:A1031"/>
    <mergeCell ref="C1027:C1031"/>
    <mergeCell ref="D1027:D1031"/>
    <mergeCell ref="E1027:E1031"/>
    <mergeCell ref="F1027:F1031"/>
    <mergeCell ref="G1027:G1031"/>
    <mergeCell ref="M1027:M1031"/>
    <mergeCell ref="N1027:N1031"/>
    <mergeCell ref="A1032:A1036"/>
    <mergeCell ref="C1032:C1036"/>
    <mergeCell ref="D1032:D1036"/>
    <mergeCell ref="E1032:E1036"/>
    <mergeCell ref="F1032:F1036"/>
    <mergeCell ref="G1032:G1036"/>
    <mergeCell ref="M1032:M1036"/>
    <mergeCell ref="N1032:N1036"/>
    <mergeCell ref="A1037:A1041"/>
    <mergeCell ref="C1037:C1041"/>
    <mergeCell ref="D1037:D1041"/>
    <mergeCell ref="E1037:E1041"/>
    <mergeCell ref="F1037:F1041"/>
    <mergeCell ref="G1037:G1041"/>
    <mergeCell ref="M1037:M1041"/>
    <mergeCell ref="N1037:N1041"/>
    <mergeCell ref="A1042:A1046"/>
    <mergeCell ref="C1042:C1046"/>
    <mergeCell ref="D1042:D1046"/>
    <mergeCell ref="E1042:E1046"/>
    <mergeCell ref="F1042:F1046"/>
    <mergeCell ref="G1042:G1046"/>
    <mergeCell ref="M1042:M1046"/>
    <mergeCell ref="N1042:N1046"/>
    <mergeCell ref="A1047:A1051"/>
    <mergeCell ref="C1047:C1051"/>
    <mergeCell ref="D1047:D1051"/>
    <mergeCell ref="E1047:E1051"/>
    <mergeCell ref="F1047:F1051"/>
    <mergeCell ref="G1047:G1051"/>
    <mergeCell ref="M1047:M1051"/>
    <mergeCell ref="N1047:N1051"/>
    <mergeCell ref="A1052:A1056"/>
    <mergeCell ref="C1052:C1056"/>
    <mergeCell ref="D1052:D1056"/>
    <mergeCell ref="E1052:E1056"/>
    <mergeCell ref="F1052:F1056"/>
    <mergeCell ref="G1052:G1056"/>
    <mergeCell ref="M1052:M1056"/>
    <mergeCell ref="N1052:N1056"/>
    <mergeCell ref="A1057:A1061"/>
    <mergeCell ref="C1057:C1061"/>
    <mergeCell ref="D1057:D1061"/>
    <mergeCell ref="E1057:E1061"/>
    <mergeCell ref="F1057:F1061"/>
    <mergeCell ref="G1057:G1061"/>
    <mergeCell ref="M1057:M1061"/>
    <mergeCell ref="N1057:N1061"/>
    <mergeCell ref="A1062:A1066"/>
    <mergeCell ref="C1062:C1066"/>
    <mergeCell ref="D1062:D1066"/>
    <mergeCell ref="E1062:E1066"/>
    <mergeCell ref="F1062:F1066"/>
    <mergeCell ref="G1062:G1066"/>
    <mergeCell ref="M1062:M1066"/>
    <mergeCell ref="N1062:N1066"/>
    <mergeCell ref="A1067:A1071"/>
    <mergeCell ref="C1067:C1071"/>
    <mergeCell ref="D1067:D1071"/>
    <mergeCell ref="E1067:E1071"/>
    <mergeCell ref="F1067:F1071"/>
    <mergeCell ref="G1067:G1071"/>
    <mergeCell ref="M1067:M1071"/>
    <mergeCell ref="N1067:N1071"/>
    <mergeCell ref="A1072:A1076"/>
    <mergeCell ref="C1072:C1076"/>
    <mergeCell ref="D1072:D1076"/>
    <mergeCell ref="E1072:E1076"/>
    <mergeCell ref="F1072:F1076"/>
    <mergeCell ref="G1072:G1076"/>
    <mergeCell ref="M1072:M1076"/>
    <mergeCell ref="N1072:N1076"/>
    <mergeCell ref="A1077:A1081"/>
    <mergeCell ref="C1077:C1081"/>
    <mergeCell ref="D1077:D1081"/>
    <mergeCell ref="E1077:E1081"/>
    <mergeCell ref="F1077:F1081"/>
    <mergeCell ref="G1077:G1081"/>
    <mergeCell ref="M1077:M1081"/>
    <mergeCell ref="N1077:N1081"/>
    <mergeCell ref="A1082:A1086"/>
    <mergeCell ref="C1082:C1086"/>
    <mergeCell ref="D1082:D1086"/>
    <mergeCell ref="E1082:E1086"/>
    <mergeCell ref="F1082:F1086"/>
    <mergeCell ref="G1082:G1086"/>
    <mergeCell ref="M1082:M1086"/>
    <mergeCell ref="N1082:N1086"/>
    <mergeCell ref="A1087:A1091"/>
    <mergeCell ref="C1087:C1091"/>
    <mergeCell ref="D1087:D1091"/>
    <mergeCell ref="E1087:E1091"/>
    <mergeCell ref="F1087:F1091"/>
    <mergeCell ref="G1087:G1091"/>
    <mergeCell ref="M1087:M1091"/>
    <mergeCell ref="N1087:N1091"/>
    <mergeCell ref="A1092:A1096"/>
    <mergeCell ref="C1092:C1096"/>
    <mergeCell ref="D1092:D1096"/>
    <mergeCell ref="E1092:E1096"/>
    <mergeCell ref="F1092:F1096"/>
    <mergeCell ref="G1092:G1096"/>
    <mergeCell ref="M1092:M1096"/>
    <mergeCell ref="N1092:N1096"/>
    <mergeCell ref="A1097:A1101"/>
    <mergeCell ref="C1097:C1101"/>
    <mergeCell ref="D1097:D1101"/>
    <mergeCell ref="E1097:E1101"/>
    <mergeCell ref="F1097:F1101"/>
    <mergeCell ref="G1097:G1101"/>
    <mergeCell ref="M1097:M1101"/>
    <mergeCell ref="N1097:N1101"/>
    <mergeCell ref="A1102:A1106"/>
    <mergeCell ref="C1102:C1106"/>
    <mergeCell ref="D1102:D1106"/>
    <mergeCell ref="E1102:E1106"/>
    <mergeCell ref="F1102:F1106"/>
    <mergeCell ref="G1102:G1106"/>
    <mergeCell ref="M1102:M1106"/>
    <mergeCell ref="N1102:N1106"/>
    <mergeCell ref="A1107:A1111"/>
    <mergeCell ref="C1107:C1111"/>
    <mergeCell ref="D1107:D1111"/>
    <mergeCell ref="E1107:E1111"/>
    <mergeCell ref="F1107:F1111"/>
    <mergeCell ref="G1107:G1111"/>
    <mergeCell ref="M1107:M1111"/>
    <mergeCell ref="N1107:N1111"/>
    <mergeCell ref="A1112:A1116"/>
    <mergeCell ref="C1112:C1116"/>
    <mergeCell ref="D1112:D1116"/>
    <mergeCell ref="E1112:E1116"/>
    <mergeCell ref="F1112:F1116"/>
    <mergeCell ref="G1112:G1116"/>
    <mergeCell ref="M1112:M1116"/>
    <mergeCell ref="N1112:N1116"/>
    <mergeCell ref="A1117:A1121"/>
    <mergeCell ref="C1117:C1121"/>
    <mergeCell ref="D1117:D1121"/>
    <mergeCell ref="E1117:E1121"/>
    <mergeCell ref="F1117:F1121"/>
    <mergeCell ref="G1117:G1121"/>
    <mergeCell ref="M1117:M1121"/>
    <mergeCell ref="N1117:N1121"/>
    <mergeCell ref="A1122:A1126"/>
    <mergeCell ref="C1122:C1126"/>
    <mergeCell ref="D1122:D1126"/>
    <mergeCell ref="E1122:E1126"/>
    <mergeCell ref="F1122:F1126"/>
    <mergeCell ref="G1122:G1126"/>
    <mergeCell ref="M1122:M1126"/>
    <mergeCell ref="N1122:N1126"/>
    <mergeCell ref="A1127:A1131"/>
    <mergeCell ref="C1127:C1131"/>
    <mergeCell ref="D1127:D1131"/>
    <mergeCell ref="E1127:E1131"/>
    <mergeCell ref="F1127:F1131"/>
    <mergeCell ref="G1127:G1131"/>
    <mergeCell ref="M1127:M1131"/>
    <mergeCell ref="N1127:N1131"/>
    <mergeCell ref="A1132:A1136"/>
    <mergeCell ref="C1132:C1136"/>
    <mergeCell ref="D1132:D1136"/>
    <mergeCell ref="E1132:E1136"/>
    <mergeCell ref="F1132:F1136"/>
    <mergeCell ref="G1132:G1136"/>
    <mergeCell ref="M1132:M1136"/>
    <mergeCell ref="N1132:N1136"/>
    <mergeCell ref="A1137:A1141"/>
    <mergeCell ref="C1137:C1141"/>
    <mergeCell ref="D1137:D1141"/>
    <mergeCell ref="E1137:E1141"/>
    <mergeCell ref="F1137:F1141"/>
    <mergeCell ref="G1137:G1141"/>
    <mergeCell ref="M1137:M1141"/>
    <mergeCell ref="N1137:N1141"/>
    <mergeCell ref="A1142:A1146"/>
    <mergeCell ref="C1142:C1146"/>
    <mergeCell ref="D1142:D1146"/>
    <mergeCell ref="E1142:E1146"/>
    <mergeCell ref="F1142:F1146"/>
    <mergeCell ref="G1142:G1146"/>
    <mergeCell ref="M1142:M1146"/>
    <mergeCell ref="N1142:N1146"/>
    <mergeCell ref="A1147:A1151"/>
    <mergeCell ref="C1147:C1151"/>
    <mergeCell ref="D1147:D1151"/>
    <mergeCell ref="E1147:E1151"/>
    <mergeCell ref="F1147:F1151"/>
    <mergeCell ref="G1147:G1151"/>
    <mergeCell ref="M1147:M1151"/>
    <mergeCell ref="N1147:N1151"/>
    <mergeCell ref="A1152:A1156"/>
    <mergeCell ref="C1152:C1156"/>
    <mergeCell ref="D1152:D1156"/>
    <mergeCell ref="E1152:E1156"/>
    <mergeCell ref="F1152:F1156"/>
    <mergeCell ref="G1152:G1156"/>
    <mergeCell ref="M1152:M1156"/>
    <mergeCell ref="N1152:N1156"/>
    <mergeCell ref="A1157:A1161"/>
    <mergeCell ref="C1157:C1161"/>
    <mergeCell ref="D1157:D1161"/>
    <mergeCell ref="E1157:E1161"/>
    <mergeCell ref="F1157:F1161"/>
    <mergeCell ref="G1157:G1161"/>
    <mergeCell ref="M1157:M1161"/>
    <mergeCell ref="N1157:N1161"/>
    <mergeCell ref="A1162:A1166"/>
    <mergeCell ref="C1162:C1166"/>
    <mergeCell ref="D1162:D1166"/>
    <mergeCell ref="E1162:E1166"/>
    <mergeCell ref="F1162:F1166"/>
    <mergeCell ref="G1162:G1166"/>
    <mergeCell ref="M1162:M1166"/>
    <mergeCell ref="N1162:N1166"/>
    <mergeCell ref="A1167:A1171"/>
    <mergeCell ref="C1167:C1171"/>
    <mergeCell ref="D1167:D1171"/>
    <mergeCell ref="E1167:E1171"/>
    <mergeCell ref="F1167:F1171"/>
    <mergeCell ref="G1167:G1171"/>
    <mergeCell ref="M1167:M1171"/>
    <mergeCell ref="N1167:N1171"/>
    <mergeCell ref="A1172:A1176"/>
    <mergeCell ref="C1172:C1176"/>
    <mergeCell ref="D1172:D1176"/>
    <mergeCell ref="E1172:E1176"/>
    <mergeCell ref="F1172:F1176"/>
    <mergeCell ref="G1172:G1176"/>
    <mergeCell ref="M1172:M1176"/>
    <mergeCell ref="N1172:N1176"/>
    <mergeCell ref="A1177:A1181"/>
    <mergeCell ref="C1177:C1181"/>
    <mergeCell ref="D1177:D1181"/>
    <mergeCell ref="E1177:E1181"/>
    <mergeCell ref="F1177:F1181"/>
    <mergeCell ref="G1177:G1181"/>
    <mergeCell ref="M1177:M1181"/>
    <mergeCell ref="N1177:N1181"/>
    <mergeCell ref="A1182:A1186"/>
    <mergeCell ref="C1182:C1186"/>
    <mergeCell ref="D1182:D1186"/>
    <mergeCell ref="E1182:E1186"/>
    <mergeCell ref="F1182:F1186"/>
    <mergeCell ref="G1182:G1186"/>
    <mergeCell ref="M1182:M1186"/>
    <mergeCell ref="N1182:N1186"/>
    <mergeCell ref="A1187:A1191"/>
    <mergeCell ref="C1187:C1191"/>
    <mergeCell ref="D1187:D1191"/>
    <mergeCell ref="E1187:E1191"/>
    <mergeCell ref="F1187:F1191"/>
    <mergeCell ref="G1187:G1191"/>
    <mergeCell ref="M1187:M1191"/>
    <mergeCell ref="N1187:N1191"/>
    <mergeCell ref="A1192:A1196"/>
    <mergeCell ref="C1192:C1196"/>
    <mergeCell ref="D1192:D1196"/>
    <mergeCell ref="E1192:E1196"/>
    <mergeCell ref="F1192:F1196"/>
    <mergeCell ref="G1192:G1196"/>
    <mergeCell ref="M1192:M1196"/>
    <mergeCell ref="N1192:N1196"/>
    <mergeCell ref="A1197:A1201"/>
    <mergeCell ref="C1197:C1201"/>
    <mergeCell ref="D1197:D1201"/>
    <mergeCell ref="E1197:E1201"/>
    <mergeCell ref="F1197:F1201"/>
    <mergeCell ref="G1197:G1201"/>
    <mergeCell ref="M1197:M1201"/>
    <mergeCell ref="N1197:N1201"/>
    <mergeCell ref="A1202:A1206"/>
    <mergeCell ref="C1202:C1206"/>
    <mergeCell ref="D1202:D1206"/>
    <mergeCell ref="E1202:E1206"/>
    <mergeCell ref="F1202:F1206"/>
    <mergeCell ref="G1202:G1206"/>
    <mergeCell ref="M1202:M1206"/>
    <mergeCell ref="N1202:N1206"/>
    <mergeCell ref="A1207:A1211"/>
    <mergeCell ref="C1207:C1211"/>
    <mergeCell ref="D1207:D1211"/>
    <mergeCell ref="E1207:E1211"/>
    <mergeCell ref="F1207:F1211"/>
    <mergeCell ref="G1207:G1211"/>
    <mergeCell ref="M1207:M1211"/>
    <mergeCell ref="N1207:N1211"/>
    <mergeCell ref="A1212:A1216"/>
    <mergeCell ref="C1212:C1216"/>
    <mergeCell ref="D1212:D1216"/>
    <mergeCell ref="E1212:E1216"/>
    <mergeCell ref="F1212:F1216"/>
    <mergeCell ref="G1212:G1216"/>
    <mergeCell ref="M1212:M1216"/>
    <mergeCell ref="N1212:N1216"/>
    <mergeCell ref="A1217:A1221"/>
    <mergeCell ref="C1217:C1221"/>
    <mergeCell ref="D1217:D1221"/>
    <mergeCell ref="E1217:E1221"/>
    <mergeCell ref="F1217:F1221"/>
    <mergeCell ref="G1217:G1221"/>
    <mergeCell ref="M1217:M1221"/>
    <mergeCell ref="N1217:N1221"/>
    <mergeCell ref="A1222:A1226"/>
    <mergeCell ref="C1222:C1226"/>
    <mergeCell ref="D1222:D1226"/>
    <mergeCell ref="E1222:E1226"/>
    <mergeCell ref="F1222:F1226"/>
    <mergeCell ref="G1222:G1226"/>
    <mergeCell ref="M1222:M1226"/>
    <mergeCell ref="N1222:N1226"/>
    <mergeCell ref="A1227:A1231"/>
    <mergeCell ref="C1227:C1231"/>
    <mergeCell ref="D1227:D1231"/>
    <mergeCell ref="E1227:E1231"/>
    <mergeCell ref="F1227:F1231"/>
    <mergeCell ref="G1227:G1231"/>
    <mergeCell ref="M1227:M1231"/>
    <mergeCell ref="N1227:N1231"/>
    <mergeCell ref="A1232:A1236"/>
    <mergeCell ref="C1232:C1236"/>
    <mergeCell ref="D1232:D1236"/>
    <mergeCell ref="E1232:E1236"/>
    <mergeCell ref="F1232:F1236"/>
    <mergeCell ref="G1232:G1236"/>
    <mergeCell ref="M1232:M1236"/>
    <mergeCell ref="N1232:N1236"/>
    <mergeCell ref="A1237:A1241"/>
    <mergeCell ref="C1237:C1241"/>
    <mergeCell ref="D1237:D1241"/>
    <mergeCell ref="E1237:E1241"/>
    <mergeCell ref="F1237:F1241"/>
    <mergeCell ref="G1237:G1241"/>
    <mergeCell ref="M1237:M1241"/>
    <mergeCell ref="N1237:N1241"/>
    <mergeCell ref="A1242:A1246"/>
    <mergeCell ref="C1242:C1246"/>
    <mergeCell ref="D1242:D1246"/>
    <mergeCell ref="E1242:E1246"/>
    <mergeCell ref="F1242:F1246"/>
    <mergeCell ref="G1242:G1246"/>
    <mergeCell ref="M1242:M1246"/>
    <mergeCell ref="N1242:N1246"/>
    <mergeCell ref="A1247:A1251"/>
    <mergeCell ref="C1247:C1251"/>
    <mergeCell ref="D1247:D1251"/>
    <mergeCell ref="E1247:E1251"/>
    <mergeCell ref="F1247:F1251"/>
    <mergeCell ref="G1247:G1251"/>
    <mergeCell ref="M1247:M1251"/>
    <mergeCell ref="N1247:N1251"/>
    <mergeCell ref="A1252:A1256"/>
    <mergeCell ref="C1252:C1256"/>
    <mergeCell ref="D1252:D1256"/>
    <mergeCell ref="E1252:E1256"/>
    <mergeCell ref="F1252:F1256"/>
    <mergeCell ref="G1252:G1256"/>
    <mergeCell ref="M1252:M1256"/>
    <mergeCell ref="N1252:N1256"/>
    <mergeCell ref="A1257:A1261"/>
    <mergeCell ref="C1257:C1261"/>
    <mergeCell ref="D1257:D1261"/>
    <mergeCell ref="E1257:E1261"/>
    <mergeCell ref="F1257:F1261"/>
    <mergeCell ref="G1257:G1261"/>
    <mergeCell ref="M1257:M1261"/>
    <mergeCell ref="N1257:N1261"/>
    <mergeCell ref="A1262:A1266"/>
    <mergeCell ref="C1262:C1266"/>
    <mergeCell ref="D1262:D1266"/>
    <mergeCell ref="E1262:E1266"/>
    <mergeCell ref="F1262:F1266"/>
    <mergeCell ref="G1262:G1266"/>
    <mergeCell ref="M1262:M1266"/>
    <mergeCell ref="N1262:N1266"/>
    <mergeCell ref="A1267:A1271"/>
    <mergeCell ref="C1267:C1271"/>
    <mergeCell ref="D1267:D1271"/>
    <mergeCell ref="E1267:E1271"/>
    <mergeCell ref="F1267:F1271"/>
    <mergeCell ref="G1267:G1271"/>
    <mergeCell ref="M1267:M1271"/>
    <mergeCell ref="N1267:N1271"/>
    <mergeCell ref="A1272:A1276"/>
    <mergeCell ref="C1272:C1276"/>
    <mergeCell ref="D1272:D1276"/>
    <mergeCell ref="E1272:E1276"/>
    <mergeCell ref="F1272:F1276"/>
    <mergeCell ref="G1272:G1276"/>
    <mergeCell ref="M1272:M1276"/>
    <mergeCell ref="N1272:N1276"/>
    <mergeCell ref="A1277:A1281"/>
    <mergeCell ref="C1277:C1281"/>
    <mergeCell ref="D1277:D1281"/>
    <mergeCell ref="E1277:E1281"/>
    <mergeCell ref="F1277:F1281"/>
    <mergeCell ref="G1277:G1281"/>
    <mergeCell ref="M1277:M1281"/>
    <mergeCell ref="N1277:N1281"/>
    <mergeCell ref="A1282:A1286"/>
    <mergeCell ref="C1282:C1286"/>
    <mergeCell ref="D1282:D1286"/>
    <mergeCell ref="E1282:E1286"/>
    <mergeCell ref="F1282:F1286"/>
    <mergeCell ref="G1282:G1286"/>
    <mergeCell ref="M1282:M1286"/>
    <mergeCell ref="N1282:N1286"/>
    <mergeCell ref="A1287:A1291"/>
    <mergeCell ref="C1287:C1291"/>
    <mergeCell ref="D1287:D1291"/>
    <mergeCell ref="E1287:E1291"/>
    <mergeCell ref="F1287:F1291"/>
    <mergeCell ref="G1287:G1291"/>
    <mergeCell ref="M1287:M1291"/>
    <mergeCell ref="N1287:N1291"/>
    <mergeCell ref="A1292:A1296"/>
    <mergeCell ref="C1292:C1296"/>
    <mergeCell ref="D1292:D1296"/>
    <mergeCell ref="E1292:E1296"/>
    <mergeCell ref="F1292:F1296"/>
    <mergeCell ref="G1292:G1296"/>
    <mergeCell ref="M1292:M1296"/>
    <mergeCell ref="N1292:N1296"/>
    <mergeCell ref="A1297:A1301"/>
    <mergeCell ref="C1297:C1301"/>
    <mergeCell ref="D1297:D1301"/>
    <mergeCell ref="E1297:E1301"/>
    <mergeCell ref="F1297:F1301"/>
    <mergeCell ref="G1297:G1301"/>
    <mergeCell ref="M1297:M1301"/>
    <mergeCell ref="N1297:N1301"/>
    <mergeCell ref="A1302:A1306"/>
    <mergeCell ref="C1302:C1306"/>
    <mergeCell ref="D1302:D1306"/>
    <mergeCell ref="E1302:E1306"/>
    <mergeCell ref="F1302:F1306"/>
    <mergeCell ref="G1302:G1306"/>
    <mergeCell ref="M1302:M1306"/>
    <mergeCell ref="N1302:N1306"/>
    <mergeCell ref="A1307:A1311"/>
    <mergeCell ref="C1307:C1311"/>
    <mergeCell ref="D1307:D1311"/>
    <mergeCell ref="E1307:E1311"/>
    <mergeCell ref="F1307:F1311"/>
    <mergeCell ref="G1307:G1311"/>
    <mergeCell ref="M1307:M1311"/>
    <mergeCell ref="N1307:N1311"/>
    <mergeCell ref="A1312:A1316"/>
    <mergeCell ref="C1312:C1316"/>
    <mergeCell ref="D1312:D1316"/>
    <mergeCell ref="E1312:E1316"/>
    <mergeCell ref="F1312:F1316"/>
    <mergeCell ref="G1312:G1316"/>
    <mergeCell ref="M1312:M1316"/>
    <mergeCell ref="N1312:N1316"/>
    <mergeCell ref="A1317:A1321"/>
    <mergeCell ref="C1317:C1321"/>
    <mergeCell ref="D1317:D1321"/>
    <mergeCell ref="E1317:E1321"/>
    <mergeCell ref="F1317:F1321"/>
    <mergeCell ref="G1317:G1321"/>
    <mergeCell ref="M1317:M1321"/>
    <mergeCell ref="N1317:N1321"/>
    <mergeCell ref="A1322:A1326"/>
    <mergeCell ref="C1322:C1326"/>
    <mergeCell ref="D1322:D1326"/>
    <mergeCell ref="E1322:E1326"/>
    <mergeCell ref="F1322:F1326"/>
    <mergeCell ref="G1322:G1326"/>
    <mergeCell ref="M1322:M1326"/>
    <mergeCell ref="N1322:N1326"/>
    <mergeCell ref="A1327:A1331"/>
    <mergeCell ref="C1327:C1331"/>
    <mergeCell ref="D1327:D1331"/>
    <mergeCell ref="E1327:E1331"/>
    <mergeCell ref="F1327:F1331"/>
    <mergeCell ref="G1327:G1331"/>
    <mergeCell ref="M1327:M1331"/>
    <mergeCell ref="N1327:N1331"/>
    <mergeCell ref="A1332:A1336"/>
    <mergeCell ref="C1332:C1336"/>
    <mergeCell ref="D1332:D1336"/>
    <mergeCell ref="E1332:E1336"/>
    <mergeCell ref="F1332:F1336"/>
    <mergeCell ref="G1332:G1336"/>
    <mergeCell ref="M1332:M1336"/>
    <mergeCell ref="N1332:N1336"/>
    <mergeCell ref="A1337:A1341"/>
    <mergeCell ref="C1337:C1341"/>
    <mergeCell ref="D1337:D1341"/>
    <mergeCell ref="E1337:E1341"/>
    <mergeCell ref="F1337:F1341"/>
    <mergeCell ref="G1337:G1341"/>
    <mergeCell ref="M1337:M1341"/>
    <mergeCell ref="N1337:N1341"/>
    <mergeCell ref="A1342:A1346"/>
    <mergeCell ref="C1342:C1346"/>
    <mergeCell ref="D1342:D1346"/>
    <mergeCell ref="E1342:E1346"/>
    <mergeCell ref="F1342:F1346"/>
    <mergeCell ref="G1342:G1346"/>
    <mergeCell ref="M1342:M1346"/>
    <mergeCell ref="N1342:N1346"/>
    <mergeCell ref="A1347:A1351"/>
    <mergeCell ref="C1347:C1351"/>
    <mergeCell ref="D1347:D1351"/>
    <mergeCell ref="E1347:E1351"/>
    <mergeCell ref="F1347:F1351"/>
    <mergeCell ref="G1347:G1351"/>
    <mergeCell ref="M1347:M1351"/>
    <mergeCell ref="N1347:N1351"/>
    <mergeCell ref="A1352:A1356"/>
    <mergeCell ref="C1352:C1356"/>
    <mergeCell ref="D1352:D1356"/>
    <mergeCell ref="E1352:E1356"/>
    <mergeCell ref="F1352:F1356"/>
    <mergeCell ref="G1352:G1356"/>
    <mergeCell ref="M1352:M1356"/>
    <mergeCell ref="N1352:N1356"/>
    <mergeCell ref="A1357:A1361"/>
    <mergeCell ref="C1357:C1361"/>
    <mergeCell ref="D1357:D1361"/>
    <mergeCell ref="E1357:E1361"/>
    <mergeCell ref="F1357:F1361"/>
    <mergeCell ref="G1357:G1361"/>
    <mergeCell ref="M1357:M1361"/>
    <mergeCell ref="N1357:N1361"/>
    <mergeCell ref="A1362:A1366"/>
    <mergeCell ref="C1362:C1366"/>
    <mergeCell ref="D1362:D1366"/>
    <mergeCell ref="E1362:E1366"/>
    <mergeCell ref="F1362:F1366"/>
    <mergeCell ref="G1362:G1366"/>
    <mergeCell ref="M1362:M1366"/>
    <mergeCell ref="N1362:N1366"/>
    <mergeCell ref="A1367:A1371"/>
    <mergeCell ref="C1367:C1371"/>
    <mergeCell ref="D1367:D1371"/>
    <mergeCell ref="E1367:E1371"/>
    <mergeCell ref="F1367:F1371"/>
    <mergeCell ref="G1367:G1371"/>
    <mergeCell ref="M1367:M1371"/>
    <mergeCell ref="N1367:N1371"/>
    <mergeCell ref="A1372:A1376"/>
    <mergeCell ref="C1372:C1376"/>
    <mergeCell ref="D1372:D1376"/>
    <mergeCell ref="E1372:E1376"/>
    <mergeCell ref="F1372:F1376"/>
    <mergeCell ref="G1372:G1376"/>
    <mergeCell ref="M1372:M1376"/>
    <mergeCell ref="N1372:N1376"/>
    <mergeCell ref="A1377:A1381"/>
    <mergeCell ref="C1377:C1381"/>
    <mergeCell ref="D1377:D1381"/>
    <mergeCell ref="E1377:E1381"/>
    <mergeCell ref="F1377:F1381"/>
    <mergeCell ref="G1377:G1381"/>
    <mergeCell ref="M1377:M1381"/>
    <mergeCell ref="N1377:N1381"/>
    <mergeCell ref="A1382:A1386"/>
    <mergeCell ref="C1382:C1386"/>
    <mergeCell ref="D1382:D1386"/>
    <mergeCell ref="E1382:E1386"/>
    <mergeCell ref="F1382:F1386"/>
    <mergeCell ref="G1382:G1386"/>
    <mergeCell ref="M1382:M1386"/>
    <mergeCell ref="N1382:N1386"/>
    <mergeCell ref="A1387:A1391"/>
    <mergeCell ref="C1387:C1391"/>
    <mergeCell ref="D1387:D1391"/>
    <mergeCell ref="E1387:E1391"/>
    <mergeCell ref="F1387:F1391"/>
    <mergeCell ref="G1387:G1391"/>
    <mergeCell ref="M1387:M1391"/>
    <mergeCell ref="N1387:N1391"/>
    <mergeCell ref="A1392:A1396"/>
    <mergeCell ref="C1392:C1396"/>
    <mergeCell ref="D1392:D1396"/>
    <mergeCell ref="E1392:E1396"/>
    <mergeCell ref="F1392:F1396"/>
    <mergeCell ref="G1392:G1396"/>
    <mergeCell ref="M1392:M1396"/>
    <mergeCell ref="N1392:N1396"/>
    <mergeCell ref="A1397:A1401"/>
    <mergeCell ref="C1397:C1401"/>
    <mergeCell ref="D1397:D1401"/>
    <mergeCell ref="E1397:E1401"/>
    <mergeCell ref="F1397:F1401"/>
    <mergeCell ref="G1397:G1401"/>
    <mergeCell ref="M1397:M1401"/>
    <mergeCell ref="N1397:N1401"/>
    <mergeCell ref="A1402:A1406"/>
    <mergeCell ref="C1402:C1406"/>
    <mergeCell ref="D1402:D1406"/>
    <mergeCell ref="E1402:E1406"/>
    <mergeCell ref="F1402:F1406"/>
    <mergeCell ref="G1402:G1406"/>
    <mergeCell ref="M1402:M1406"/>
    <mergeCell ref="N1402:N1406"/>
    <mergeCell ref="A1407:A1411"/>
    <mergeCell ref="C1407:C1411"/>
    <mergeCell ref="D1407:D1411"/>
    <mergeCell ref="E1407:E1411"/>
    <mergeCell ref="F1407:F1411"/>
    <mergeCell ref="G1407:G1411"/>
    <mergeCell ref="M1407:M1411"/>
    <mergeCell ref="N1407:N1411"/>
    <mergeCell ref="A1412:A1416"/>
    <mergeCell ref="C1412:C1416"/>
    <mergeCell ref="D1412:D1416"/>
    <mergeCell ref="E1412:E1416"/>
    <mergeCell ref="F1412:F1416"/>
    <mergeCell ref="G1412:G1416"/>
    <mergeCell ref="M1412:M1416"/>
    <mergeCell ref="N1412:N1416"/>
    <mergeCell ref="A1417:A1421"/>
    <mergeCell ref="C1417:C1421"/>
    <mergeCell ref="D1417:D1421"/>
    <mergeCell ref="E1417:E1421"/>
    <mergeCell ref="F1417:F1421"/>
    <mergeCell ref="G1417:G1421"/>
    <mergeCell ref="M1417:M1421"/>
    <mergeCell ref="N1417:N1421"/>
    <mergeCell ref="A1422:A1426"/>
    <mergeCell ref="C1422:C1426"/>
    <mergeCell ref="D1422:D1426"/>
    <mergeCell ref="E1422:E1426"/>
    <mergeCell ref="F1422:F1426"/>
    <mergeCell ref="G1422:G1426"/>
    <mergeCell ref="M1422:M1426"/>
    <mergeCell ref="N1422:N1426"/>
    <mergeCell ref="A1427:A1431"/>
    <mergeCell ref="C1427:C1431"/>
    <mergeCell ref="D1427:D1431"/>
    <mergeCell ref="E1427:E1431"/>
    <mergeCell ref="F1427:F1431"/>
    <mergeCell ref="G1427:G1431"/>
    <mergeCell ref="M1427:M1431"/>
    <mergeCell ref="N1427:N1431"/>
    <mergeCell ref="A1432:A1436"/>
    <mergeCell ref="C1432:C1436"/>
    <mergeCell ref="D1432:D1436"/>
    <mergeCell ref="E1432:E1436"/>
    <mergeCell ref="F1432:F1436"/>
    <mergeCell ref="G1432:G1436"/>
    <mergeCell ref="M1432:M1436"/>
    <mergeCell ref="N1432:N1436"/>
    <mergeCell ref="A1437:A1441"/>
    <mergeCell ref="C1437:C1441"/>
    <mergeCell ref="D1437:D1441"/>
    <mergeCell ref="E1437:E1441"/>
    <mergeCell ref="F1437:F1441"/>
    <mergeCell ref="G1437:G1441"/>
    <mergeCell ref="M1437:M1441"/>
    <mergeCell ref="N1437:N1441"/>
    <mergeCell ref="A1442:A1446"/>
    <mergeCell ref="C1442:C1446"/>
    <mergeCell ref="D1442:D1446"/>
    <mergeCell ref="E1442:E1446"/>
    <mergeCell ref="F1442:F1446"/>
    <mergeCell ref="G1442:G1446"/>
    <mergeCell ref="M1442:M1446"/>
    <mergeCell ref="N1442:N1446"/>
    <mergeCell ref="A1447:A1451"/>
    <mergeCell ref="C1447:C1451"/>
    <mergeCell ref="D1447:D1451"/>
    <mergeCell ref="E1447:E1451"/>
    <mergeCell ref="F1447:F1451"/>
    <mergeCell ref="G1447:G1451"/>
    <mergeCell ref="M1447:M1451"/>
    <mergeCell ref="N1447:N1451"/>
    <mergeCell ref="A1452:A1456"/>
    <mergeCell ref="C1452:C1456"/>
    <mergeCell ref="D1452:D1456"/>
    <mergeCell ref="E1452:E1456"/>
    <mergeCell ref="F1452:F1456"/>
    <mergeCell ref="G1452:G1456"/>
    <mergeCell ref="M1452:M1456"/>
    <mergeCell ref="N1452:N1456"/>
    <mergeCell ref="A1457:A1461"/>
    <mergeCell ref="C1457:C1461"/>
    <mergeCell ref="D1457:D1461"/>
    <mergeCell ref="E1457:E1461"/>
    <mergeCell ref="F1457:F1461"/>
    <mergeCell ref="G1457:G1461"/>
    <mergeCell ref="M1457:M1461"/>
    <mergeCell ref="N1457:N1461"/>
    <mergeCell ref="A1462:A1466"/>
    <mergeCell ref="C1462:C1466"/>
    <mergeCell ref="D1462:D1466"/>
    <mergeCell ref="E1462:E1466"/>
    <mergeCell ref="F1462:F1466"/>
    <mergeCell ref="G1462:G1466"/>
    <mergeCell ref="M1462:M1466"/>
    <mergeCell ref="N1462:N1466"/>
    <mergeCell ref="A1467:A1471"/>
    <mergeCell ref="C1467:C1471"/>
    <mergeCell ref="D1467:D1471"/>
    <mergeCell ref="E1467:E1471"/>
    <mergeCell ref="F1467:F1471"/>
    <mergeCell ref="G1467:G1471"/>
    <mergeCell ref="M1467:M1471"/>
    <mergeCell ref="N1467:N1471"/>
    <mergeCell ref="A1472:A1476"/>
    <mergeCell ref="C1472:C1476"/>
    <mergeCell ref="D1472:D1476"/>
    <mergeCell ref="E1472:E1476"/>
    <mergeCell ref="F1472:F1476"/>
    <mergeCell ref="G1472:G1476"/>
    <mergeCell ref="M1472:M1476"/>
    <mergeCell ref="N1472:N1476"/>
    <mergeCell ref="A1477:A1481"/>
    <mergeCell ref="C1477:C1481"/>
    <mergeCell ref="D1477:D1481"/>
    <mergeCell ref="E1477:E1481"/>
    <mergeCell ref="F1477:F1481"/>
    <mergeCell ref="G1477:G1481"/>
    <mergeCell ref="M1477:M1481"/>
    <mergeCell ref="N1477:N1481"/>
    <mergeCell ref="A1482:A1486"/>
    <mergeCell ref="C1482:C1486"/>
    <mergeCell ref="D1482:D1486"/>
    <mergeCell ref="E1482:E1486"/>
    <mergeCell ref="F1482:F1486"/>
    <mergeCell ref="G1482:G1486"/>
    <mergeCell ref="M1482:M1486"/>
    <mergeCell ref="N1482:N1486"/>
  </mergeCells>
  <phoneticPr fontId="1" type="noConversion"/>
  <pageMargins left="0.70" right="0.70" top="0.75" bottom="0.75" header="0.30" footer="0.30"/>
  <pageSetup paperSize="9" orientation="portrait"/>
  <tableParts count="8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bdbdbd"/>
  </sheetPr>
  <dimension ref="A1:AG917"/>
  <sheetViews>
    <sheetView workbookViewId="0">
      <selection activeCell="A1" sqref="A1"/>
    </sheetView>
  </sheetViews>
  <sheetFormatPr defaultColWidth="12.63000000" defaultRowHeight="15.750000" customHeight="1"/>
  <cols>
    <col min="9" max="9" width="28.29071508" customWidth="1" outlineLevel="0"/>
    <col min="13" max="13" width="32.29071508" customWidth="1" outlineLevel="0"/>
    <col min="18" max="18" width="20.14785658" customWidth="1" outlineLevel="0"/>
  </cols>
  <sheetData>
    <row r="1" spans="1:33">
      <c r="A1" s="155"/>
      <c r="B1" s="148" t="s">
        <v>100</v>
      </c>
      <c r="C1" s="143" t="s">
        <v>101</v>
      </c>
      <c r="D1" s="143" t="s">
        <v>102</v>
      </c>
      <c r="E1" s="145" t="s">
        <v>103</v>
      </c>
      <c r="F1" s="145" t="s">
        <v>104</v>
      </c>
      <c r="G1" s="146" t="s">
        <v>105</v>
      </c>
      <c r="H1" s="147" t="s">
        <v>106</v>
      </c>
      <c r="I1" s="148" t="s">
        <v>107</v>
      </c>
      <c r="J1" s="148" t="s">
        <v>108</v>
      </c>
      <c r="K1" s="148" t="s">
        <v>109</v>
      </c>
      <c r="L1" s="148" t="s">
        <v>110</v>
      </c>
      <c r="M1" s="149" t="s">
        <v>111</v>
      </c>
      <c r="N1" s="149" t="s">
        <v>112</v>
      </c>
      <c r="O1" s="149" t="s">
        <v>113</v>
      </c>
      <c r="P1" s="479" t="s">
        <v>114</v>
      </c>
      <c r="Q1" s="152" t="s">
        <v>115</v>
      </c>
      <c r="R1" s="155"/>
      <c r="S1" s="154"/>
      <c r="T1" s="154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</row>
    <row r="2" spans="1:33" ht="15.750000" customHeight="1">
      <c r="A2" s="156" t="s">
        <v>116</v>
      </c>
      <c r="B2" s="141" t="s">
        <v>696</v>
      </c>
      <c r="C2" s="480"/>
      <c r="D2" s="480"/>
      <c r="E2" s="481">
        <f>F2*120%</f>
        <v>0</v>
      </c>
      <c r="F2" s="481">
        <f>(D2-C2+1)*G2</f>
        <v>0</v>
      </c>
      <c r="G2" s="482">
        <f>IF(OR((H2=""),(H2=5)),N2*40,IF(H2=10,N2*55,"포인트 열 재확인"))</f>
        <v>0</v>
      </c>
      <c r="H2" s="247"/>
      <c r="I2" s="483"/>
      <c r="J2" s="175"/>
      <c r="K2" s="175"/>
      <c r="L2" s="188"/>
      <c r="M2" s="65"/>
      <c r="N2" s="13"/>
      <c r="O2" s="163">
        <f>LEN(K2)</f>
        <v>0</v>
      </c>
      <c r="P2" s="182"/>
      <c r="Q2" s="182"/>
      <c r="R2" s="188"/>
      <c r="S2" s="180"/>
      <c r="T2" s="165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</row>
    <row r="3" spans="1:33" ht="15.750000" customHeight="1">
      <c r="B3" s="141" t="s">
        <v>117</v>
      </c>
      <c r="I3" s="483"/>
      <c r="J3" s="65"/>
      <c r="K3" s="190"/>
      <c r="L3" s="65"/>
      <c r="M3" s="65"/>
      <c r="P3" s="182"/>
      <c r="Q3" s="182"/>
      <c r="R3" s="188"/>
      <c r="S3" s="179"/>
      <c r="T3" s="165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</row>
    <row r="4" spans="1:33" ht="15.750000" customHeight="1">
      <c r="B4" s="141"/>
      <c r="I4" s="277"/>
      <c r="J4" s="13"/>
      <c r="K4" s="165"/>
      <c r="L4" s="446"/>
      <c r="M4" s="446"/>
      <c r="P4" s="180"/>
      <c r="Q4" s="180"/>
      <c r="R4" s="180"/>
      <c r="S4" s="180"/>
      <c r="T4" s="165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</row>
    <row r="5" spans="1:33" ht="15.750000" customHeight="1">
      <c r="B5" s="141"/>
      <c r="I5" s="277"/>
      <c r="J5" s="13"/>
      <c r="K5" s="165"/>
      <c r="L5" s="447"/>
      <c r="M5" s="447"/>
      <c r="P5" s="179"/>
      <c r="Q5" s="179"/>
      <c r="R5" s="179"/>
      <c r="S5" s="179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</row>
    <row r="6" spans="1:33" ht="15.750000" customHeight="1">
      <c r="B6" s="141"/>
      <c r="I6" s="277"/>
      <c r="J6" s="13"/>
      <c r="K6" s="165"/>
      <c r="L6" s="446"/>
      <c r="M6" s="446"/>
      <c r="P6" s="180"/>
      <c r="Q6" s="180"/>
      <c r="R6" s="180"/>
      <c r="S6" s="180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</row>
    <row r="7" spans="1:33" ht="15.750000" customHeight="1">
      <c r="A7" s="156" t="s">
        <v>116</v>
      </c>
      <c r="B7" s="141" t="s">
        <v>696</v>
      </c>
      <c r="C7" s="480"/>
      <c r="D7" s="480"/>
      <c r="E7" s="481">
        <f>F7*120%</f>
        <v>0</v>
      </c>
      <c r="F7" s="481">
        <f>(D7-C7+1)*G7</f>
        <v>0</v>
      </c>
      <c r="G7" s="482">
        <f>IF(OR((H7=""),(H7=5)),N7*40,IF(H7=10,N7*55,"포인트 열 재확인"))</f>
        <v>0</v>
      </c>
      <c r="H7" s="484"/>
      <c r="I7" s="162"/>
      <c r="J7" s="65"/>
      <c r="K7" s="65"/>
      <c r="L7" s="65"/>
      <c r="M7" s="65"/>
      <c r="N7" s="179"/>
      <c r="O7" s="163">
        <f>LEN(K7)</f>
        <v>0</v>
      </c>
      <c r="P7" s="13"/>
      <c r="Q7" s="13"/>
      <c r="R7" s="188"/>
      <c r="S7" s="13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</row>
    <row r="8" spans="1:33" ht="15.750000" customHeight="1">
      <c r="B8" s="141" t="s">
        <v>117</v>
      </c>
      <c r="I8" s="162"/>
      <c r="J8" s="65"/>
      <c r="K8" s="65"/>
      <c r="L8" s="65"/>
      <c r="M8" s="65"/>
      <c r="P8" s="13"/>
      <c r="Q8" s="13"/>
      <c r="R8" s="188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</row>
    <row r="9" spans="1:33" ht="15.750000" customHeight="1">
      <c r="B9" s="141"/>
      <c r="I9" s="162"/>
      <c r="J9" s="175"/>
      <c r="K9" s="175"/>
      <c r="L9" s="181"/>
      <c r="M9" s="175"/>
      <c r="P9" s="13"/>
      <c r="Q9" s="13"/>
      <c r="R9" s="188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</row>
    <row r="10" spans="1:33" ht="15.750000" customHeight="1">
      <c r="B10" s="141"/>
      <c r="I10" s="162"/>
      <c r="J10" s="65"/>
      <c r="K10" s="65"/>
      <c r="L10" s="188"/>
      <c r="M10" s="65"/>
      <c r="P10" s="13"/>
      <c r="Q10" s="13"/>
      <c r="R10" s="188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</row>
    <row r="11" spans="1:33" ht="15.750000" customHeight="1">
      <c r="B11" s="141"/>
      <c r="I11" s="162"/>
      <c r="J11" s="175"/>
      <c r="K11" s="175"/>
      <c r="L11" s="175"/>
      <c r="M11" s="175"/>
      <c r="P11" s="13"/>
      <c r="Q11" s="13"/>
      <c r="R11" s="188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</row>
    <row r="12" spans="1:33" ht="15.750000" customHeight="1">
      <c r="A12" s="156" t="s">
        <v>116</v>
      </c>
      <c r="B12" s="141"/>
      <c r="C12" s="480"/>
      <c r="D12" s="480"/>
      <c r="E12" s="481">
        <f>F12*120%</f>
        <v>0</v>
      </c>
      <c r="F12" s="481">
        <f>(D12-C12+1)*G12</f>
        <v>0</v>
      </c>
      <c r="G12" s="482">
        <f>IF(OR((H12=""),(H12=5)),N12*40,IF(H12=10,N12*55,"포인트 열 재확인"))</f>
        <v>0</v>
      </c>
      <c r="H12" s="484"/>
      <c r="I12" s="162"/>
      <c r="J12" s="65"/>
      <c r="K12" s="65"/>
      <c r="L12" s="65"/>
      <c r="M12" s="65"/>
      <c r="N12" s="179"/>
      <c r="O12" s="163">
        <f>LEN(K12)</f>
        <v>0</v>
      </c>
      <c r="P12" s="13"/>
      <c r="Q12" s="13"/>
      <c r="R12" s="188"/>
      <c r="S12" s="13"/>
      <c r="T12" s="13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</row>
    <row r="13" spans="1:33" ht="15.750000" customHeight="1">
      <c r="B13" s="141"/>
      <c r="I13" s="162"/>
      <c r="J13" s="175"/>
      <c r="K13" s="175"/>
      <c r="L13" s="175"/>
      <c r="M13" s="175"/>
      <c r="P13" s="13"/>
      <c r="Q13" s="13"/>
      <c r="R13" s="188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</row>
    <row r="14" spans="1:33" ht="15.750000" customHeight="1">
      <c r="B14" s="141"/>
      <c r="I14" s="162"/>
      <c r="J14" s="65"/>
      <c r="K14" s="65"/>
      <c r="L14" s="188"/>
      <c r="M14" s="65"/>
      <c r="P14" s="13"/>
      <c r="Q14" s="13"/>
      <c r="R14" s="188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</row>
    <row r="15" spans="1:33" ht="15.750000" customHeight="1">
      <c r="B15" s="141"/>
      <c r="I15" s="162"/>
      <c r="J15" s="65"/>
      <c r="K15" s="65"/>
      <c r="L15" s="188"/>
      <c r="M15" s="65"/>
      <c r="P15" s="13"/>
      <c r="Q15" s="13"/>
      <c r="R15" s="188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</row>
    <row r="16" spans="1:33" ht="15.750000" customHeight="1">
      <c r="B16" s="141"/>
      <c r="I16" s="162"/>
      <c r="J16" s="175"/>
      <c r="K16" s="191"/>
      <c r="L16" s="175"/>
      <c r="M16" s="175"/>
      <c r="P16" s="13"/>
      <c r="Q16" s="13"/>
      <c r="R16" s="188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</row>
    <row r="17" spans="1:33" ht="15.750000" customHeight="1">
      <c r="A17" s="156" t="s">
        <v>116</v>
      </c>
      <c r="B17" s="141"/>
      <c r="C17" s="480"/>
      <c r="D17" s="480"/>
      <c r="E17" s="481">
        <f>F17*120%</f>
        <v>0</v>
      </c>
      <c r="F17" s="481">
        <f>(D17-C17+1)*G17</f>
        <v>0</v>
      </c>
      <c r="G17" s="482">
        <f>IF(OR((H17=""),(H17=5)),N17*40,IF(H17=10,N17*55,"포인트 열 재확인"))</f>
        <v>0</v>
      </c>
      <c r="H17" s="484"/>
      <c r="I17" s="162"/>
      <c r="J17" s="65"/>
      <c r="K17" s="65"/>
      <c r="L17" s="65"/>
      <c r="M17" s="65"/>
      <c r="N17" s="179"/>
      <c r="O17" s="163">
        <f>LEN(K17)</f>
        <v>0</v>
      </c>
      <c r="P17" s="13"/>
      <c r="Q17" s="13"/>
      <c r="R17" s="188"/>
      <c r="S17" s="13"/>
      <c r="T17" s="13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</row>
    <row r="18" spans="1:33" ht="15.750000" customHeight="1">
      <c r="B18" s="141"/>
      <c r="I18" s="65"/>
      <c r="J18" s="175"/>
      <c r="K18" s="175"/>
      <c r="L18" s="175"/>
      <c r="M18" s="175"/>
      <c r="P18" s="13"/>
      <c r="Q18" s="13"/>
      <c r="R18" s="188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</row>
    <row r="19" spans="1:33" ht="15.750000" customHeight="1">
      <c r="B19" s="141"/>
      <c r="I19" s="65"/>
      <c r="J19" s="65"/>
      <c r="K19" s="65"/>
      <c r="L19" s="188"/>
      <c r="M19" s="65"/>
      <c r="P19" s="13"/>
      <c r="Q19" s="13"/>
      <c r="R19" s="188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</row>
    <row r="20" spans="1:33" ht="15.750000" customHeight="1">
      <c r="B20" s="141"/>
      <c r="I20" s="65"/>
      <c r="J20" s="65"/>
      <c r="K20" s="65"/>
      <c r="L20" s="188"/>
      <c r="M20" s="65"/>
      <c r="P20" s="13"/>
      <c r="Q20" s="13"/>
      <c r="R20" s="188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</row>
    <row r="21" spans="1:33" ht="15.750000" customHeight="1">
      <c r="B21" s="141"/>
      <c r="I21" s="65"/>
      <c r="J21" s="175"/>
      <c r="K21" s="175"/>
      <c r="L21" s="175"/>
      <c r="M21" s="175"/>
      <c r="P21" s="13"/>
      <c r="Q21" s="13"/>
      <c r="R21" s="188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</row>
    <row r="22" spans="1:33" ht="15.750000" customHeight="1">
      <c r="A22" s="156" t="s">
        <v>116</v>
      </c>
      <c r="B22" s="141"/>
      <c r="C22" s="480"/>
      <c r="D22" s="480"/>
      <c r="E22" s="481">
        <f>F22*120%</f>
        <v>0</v>
      </c>
      <c r="F22" s="481">
        <f>(D22-C22+1)*G22</f>
        <v>0</v>
      </c>
      <c r="G22" s="482">
        <f>IF(OR((H22=""),(H22=5)),N22*40,IF(H22=10,N22*55,"포인트 열 재확인"))</f>
        <v>0</v>
      </c>
      <c r="H22" s="484"/>
      <c r="I22" s="162"/>
      <c r="J22" s="65"/>
      <c r="K22" s="65"/>
      <c r="L22" s="65"/>
      <c r="M22" s="65"/>
      <c r="N22" s="179"/>
      <c r="O22" s="163">
        <f>LEN(K22)</f>
        <v>0</v>
      </c>
      <c r="P22" s="13"/>
      <c r="Q22" s="13"/>
      <c r="R22" s="188"/>
      <c r="S22" s="13"/>
      <c r="T22" s="13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</row>
    <row r="23" spans="1:33" ht="15.750000" customHeight="1">
      <c r="B23" s="141"/>
      <c r="I23" s="65"/>
      <c r="J23" s="175"/>
      <c r="K23" s="175"/>
      <c r="L23" s="175"/>
      <c r="M23" s="175"/>
      <c r="P23" s="13"/>
      <c r="Q23" s="13"/>
      <c r="R23" s="188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</row>
    <row r="24" spans="1:33" ht="15.750000" customHeight="1">
      <c r="B24" s="141"/>
      <c r="I24" s="65"/>
      <c r="J24" s="65"/>
      <c r="K24" s="65"/>
      <c r="L24" s="188"/>
      <c r="M24" s="65"/>
      <c r="P24" s="13"/>
      <c r="Q24" s="13"/>
      <c r="R24" s="188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</row>
    <row r="25" spans="1:33" ht="15.750000" customHeight="1">
      <c r="B25" s="141"/>
      <c r="I25" s="65"/>
      <c r="J25" s="65"/>
      <c r="K25" s="65"/>
      <c r="L25" s="188"/>
      <c r="M25" s="65"/>
      <c r="P25" s="13"/>
      <c r="Q25" s="13"/>
      <c r="R25" s="188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</row>
    <row r="26" spans="1:33" ht="15.750000" customHeight="1">
      <c r="B26" s="141"/>
      <c r="I26" s="65"/>
      <c r="J26" s="175"/>
      <c r="K26" s="175"/>
      <c r="L26" s="175"/>
      <c r="M26" s="175"/>
      <c r="P26" s="13"/>
      <c r="Q26" s="13"/>
      <c r="R26" s="188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</row>
    <row r="27" spans="1:33" ht="15.750000" customHeight="1">
      <c r="A27" s="156" t="s">
        <v>116</v>
      </c>
      <c r="B27" s="141"/>
      <c r="C27" s="480"/>
      <c r="D27" s="480"/>
      <c r="E27" s="481">
        <f>F27*120%</f>
        <v>0</v>
      </c>
      <c r="F27" s="481">
        <f>(D27-C27+1)*G27</f>
        <v>0</v>
      </c>
      <c r="G27" s="482">
        <f>IF(OR((H27=""),(H27=5)),N27*40,IF(H27=10,N27*55,"포인트 열 재확인"))</f>
        <v>0</v>
      </c>
      <c r="H27" s="484"/>
      <c r="I27" s="162"/>
      <c r="J27" s="65"/>
      <c r="K27" s="65"/>
      <c r="L27" s="65"/>
      <c r="M27" s="65"/>
      <c r="N27" s="179"/>
      <c r="O27" s="163">
        <f>LEN(K27)</f>
        <v>0</v>
      </c>
      <c r="P27" s="13"/>
      <c r="Q27" s="13"/>
      <c r="R27" s="188"/>
      <c r="S27" s="13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</row>
    <row r="28" spans="1:33" ht="15.750000" customHeight="1">
      <c r="B28" s="141"/>
      <c r="I28" s="65"/>
      <c r="J28" s="175"/>
      <c r="K28" s="175"/>
      <c r="L28" s="181"/>
      <c r="M28" s="175"/>
      <c r="P28" s="13"/>
      <c r="Q28" s="13"/>
      <c r="R28" s="188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</row>
    <row r="29" spans="1:33" ht="15.750000" customHeight="1">
      <c r="B29" s="141"/>
      <c r="I29" s="65"/>
      <c r="J29" s="65"/>
      <c r="K29" s="65"/>
      <c r="L29" s="188"/>
      <c r="M29" s="65"/>
      <c r="P29" s="13"/>
      <c r="Q29" s="13"/>
      <c r="R29" s="188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</row>
    <row r="30" spans="1:33" ht="15.750000" customHeight="1">
      <c r="B30" s="141"/>
      <c r="I30" s="65"/>
      <c r="J30" s="65"/>
      <c r="K30" s="65"/>
      <c r="L30" s="65"/>
      <c r="M30" s="65"/>
      <c r="P30" s="13"/>
      <c r="Q30" s="13"/>
      <c r="R30" s="188"/>
      <c r="S30" s="165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</row>
    <row r="31" spans="1:33" ht="15.750000" customHeight="1">
      <c r="B31" s="485"/>
      <c r="I31" s="65"/>
      <c r="J31" s="65"/>
      <c r="K31" s="65"/>
      <c r="L31" s="65"/>
      <c r="M31" s="65"/>
      <c r="P31" s="13"/>
      <c r="Q31" s="13"/>
      <c r="R31" s="188"/>
      <c r="S31" s="168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</row>
    <row r="32" spans="1:33" ht="15.750000" customHeight="1">
      <c r="A32" s="156" t="s">
        <v>116</v>
      </c>
      <c r="B32" s="141"/>
      <c r="C32" s="480"/>
      <c r="D32" s="480"/>
      <c r="E32" s="481">
        <f>F32*120%</f>
        <v>0</v>
      </c>
      <c r="F32" s="481">
        <f>(D32-C32+1)*G32</f>
        <v>0</v>
      </c>
      <c r="G32" s="482">
        <f>IF(OR((H32=""),(H32=5)),N32*40,IF(H32=10,N32*55,"포인트 열 재확인"))</f>
        <v>0</v>
      </c>
      <c r="H32" s="484"/>
      <c r="I32" s="162"/>
      <c r="J32" s="65"/>
      <c r="K32" s="65"/>
      <c r="L32" s="65"/>
      <c r="M32" s="65"/>
      <c r="N32" s="179"/>
      <c r="O32" s="163">
        <f>LEN(K32)</f>
        <v>0</v>
      </c>
      <c r="P32" s="13"/>
      <c r="Q32" s="13"/>
      <c r="R32" s="188"/>
      <c r="S32" s="13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</row>
    <row r="33" spans="1:33" ht="15.750000" customHeight="1">
      <c r="B33" s="141"/>
      <c r="I33" s="65"/>
      <c r="J33" s="175"/>
      <c r="K33" s="175"/>
      <c r="L33" s="175"/>
      <c r="M33" s="175"/>
      <c r="P33" s="13"/>
      <c r="Q33" s="13"/>
      <c r="R33" s="188"/>
      <c r="S33" s="180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</row>
    <row r="34" spans="1:33" ht="15.750000" customHeight="1">
      <c r="B34" s="141"/>
      <c r="I34" s="65"/>
      <c r="J34" s="65"/>
      <c r="K34" s="65"/>
      <c r="L34" s="188"/>
      <c r="M34" s="65"/>
      <c r="P34" s="13"/>
      <c r="Q34" s="13"/>
      <c r="R34" s="188"/>
      <c r="S34" s="179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</row>
    <row r="35" spans="1:33" ht="15.750000" customHeight="1">
      <c r="B35" s="141"/>
      <c r="I35" s="65"/>
      <c r="J35" s="65"/>
      <c r="K35" s="65"/>
      <c r="L35" s="188"/>
      <c r="M35" s="65"/>
      <c r="P35" s="13"/>
      <c r="Q35" s="13"/>
      <c r="R35" s="188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</row>
    <row r="36" spans="1:33" ht="15.750000" customHeight="1">
      <c r="B36" s="141"/>
      <c r="I36" s="65"/>
      <c r="J36" s="175"/>
      <c r="K36" s="175"/>
      <c r="L36" s="175"/>
      <c r="M36" s="175"/>
      <c r="P36" s="13"/>
      <c r="Q36" s="13"/>
      <c r="R36" s="188"/>
      <c r="S36" s="179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</row>
    <row r="37" spans="1:33" ht="15.750000" customHeight="1">
      <c r="A37" s="156" t="s">
        <v>116</v>
      </c>
      <c r="B37" s="141"/>
      <c r="C37" s="480"/>
      <c r="D37" s="486"/>
      <c r="E37" s="481">
        <f>F37*120%</f>
        <v>0</v>
      </c>
      <c r="F37" s="481">
        <f>(D37-C37+1)*G37</f>
        <v>0</v>
      </c>
      <c r="G37" s="482">
        <f>IF(OR((H37=""),(H37=5)),N37*40,IF(H37=10,N37*55,"포인트 열 재확인"))</f>
        <v>0</v>
      </c>
      <c r="H37" s="487"/>
      <c r="I37" s="65"/>
      <c r="J37" s="65"/>
      <c r="K37" s="65"/>
      <c r="L37" s="188"/>
      <c r="M37" s="65"/>
      <c r="N37" s="175"/>
      <c r="O37" s="163">
        <f>LEN(K37)</f>
        <v>0</v>
      </c>
      <c r="P37" s="13"/>
      <c r="Q37" s="13"/>
      <c r="R37" s="188"/>
      <c r="S37" s="182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</row>
    <row r="38" spans="1:33" ht="15.750000" customHeight="1">
      <c r="B38" s="141"/>
      <c r="I38" s="65"/>
      <c r="J38" s="175"/>
      <c r="K38" s="175"/>
      <c r="L38" s="175"/>
      <c r="M38" s="175"/>
      <c r="P38" s="13"/>
      <c r="Q38" s="13"/>
      <c r="R38" s="188"/>
      <c r="S38" s="179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</row>
    <row r="39" spans="1:33" ht="15.750000" customHeight="1">
      <c r="B39" s="485"/>
      <c r="I39" s="65"/>
      <c r="J39" s="1"/>
      <c r="K39" s="1"/>
      <c r="L39" s="1"/>
      <c r="M39" s="1"/>
      <c r="P39" s="488"/>
      <c r="Q39" s="180"/>
      <c r="R39" s="180"/>
      <c r="S39" s="180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</row>
    <row r="40" spans="1:33" ht="15.750000" customHeight="1">
      <c r="B40" s="485"/>
      <c r="I40" s="65"/>
      <c r="J40" s="1"/>
      <c r="K40" s="1"/>
      <c r="L40" s="1"/>
      <c r="M40" s="1"/>
      <c r="P40" s="489"/>
      <c r="Q40" s="179"/>
      <c r="R40" s="179"/>
      <c r="S40" s="179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</row>
    <row r="41" spans="1:33" ht="15.750000" customHeight="1">
      <c r="B41" s="485"/>
      <c r="I41" s="65"/>
      <c r="J41" s="1"/>
      <c r="K41" s="1"/>
      <c r="L41" s="1"/>
      <c r="M41" s="1"/>
      <c r="P41" s="488"/>
      <c r="Q41" s="180"/>
      <c r="R41" s="180"/>
      <c r="S41" s="180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</row>
    <row r="42" spans="1:33" ht="15.750000" customHeight="1">
      <c r="A42" s="156" t="s">
        <v>116</v>
      </c>
      <c r="B42" s="141"/>
      <c r="C42" s="490"/>
      <c r="D42" s="490"/>
      <c r="E42" s="481">
        <f>F42*120%</f>
        <v>0</v>
      </c>
      <c r="F42" s="481">
        <f>(D42-C42+1)*G42</f>
        <v>0</v>
      </c>
      <c r="G42" s="482">
        <f>IF(OR((H42=""),(H42=5)),N42*40,IF(H42=10,N42*55,"포인트 열 재확인"))</f>
        <v>0</v>
      </c>
      <c r="H42" s="491"/>
      <c r="I42" s="162"/>
      <c r="J42" s="65"/>
      <c r="K42" s="65"/>
      <c r="L42" s="188"/>
      <c r="M42" s="65"/>
      <c r="N42" s="65"/>
      <c r="O42" s="163">
        <f>LEN(K42)</f>
        <v>0</v>
      </c>
      <c r="P42" s="13"/>
      <c r="Q42" s="13"/>
      <c r="R42" s="188"/>
      <c r="S42" s="13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</row>
    <row r="43" spans="1:33" ht="15.750000" customHeight="1">
      <c r="B43" s="155"/>
      <c r="I43" s="162"/>
      <c r="J43" s="65"/>
      <c r="K43" s="65"/>
      <c r="L43" s="175"/>
      <c r="M43" s="65"/>
      <c r="P43" s="13"/>
      <c r="Q43" s="13"/>
      <c r="R43" s="188"/>
      <c r="S43" s="180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</row>
    <row r="44" spans="1:33" ht="15.750000" customHeight="1">
      <c r="B44" s="155"/>
      <c r="I44" s="65"/>
      <c r="J44" s="1"/>
      <c r="K44" s="1"/>
      <c r="L44" s="1"/>
      <c r="M44" s="1"/>
      <c r="P44" s="489"/>
      <c r="Q44" s="179"/>
      <c r="R44" s="179"/>
      <c r="S44" s="179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</row>
    <row r="45" spans="1:33" ht="15.750000" customHeight="1">
      <c r="B45" s="155"/>
      <c r="I45" s="65"/>
      <c r="J45" s="1"/>
      <c r="K45" s="1"/>
      <c r="L45" s="1"/>
      <c r="M45" s="1"/>
      <c r="P45" s="488"/>
      <c r="Q45" s="180"/>
      <c r="R45" s="180"/>
      <c r="S45" s="180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</row>
    <row r="46" spans="1:33" ht="15.750000" customHeight="1">
      <c r="B46" s="155"/>
      <c r="I46" s="65"/>
      <c r="J46" s="1"/>
      <c r="K46" s="1"/>
      <c r="L46" s="1"/>
      <c r="M46" s="1"/>
      <c r="P46" s="489"/>
      <c r="Q46" s="179"/>
      <c r="R46" s="179"/>
      <c r="S46" s="179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</row>
    <row r="47" spans="1:33" ht="15.750000" customHeight="1">
      <c r="A47" s="156" t="s">
        <v>116</v>
      </c>
      <c r="B47" s="141"/>
      <c r="C47" s="490"/>
      <c r="D47" s="490"/>
      <c r="E47" s="481">
        <f>F47*120%</f>
        <v>0</v>
      </c>
      <c r="F47" s="481">
        <f>(D47-C47+1)*G47</f>
        <v>0</v>
      </c>
      <c r="G47" s="482">
        <f>IF(OR((H47=""),(H47=5)),N47*40,IF(H47=10,N47*55,"포인트 열 재확인"))</f>
        <v>0</v>
      </c>
      <c r="H47" s="491"/>
      <c r="I47" s="162"/>
      <c r="J47" s="175"/>
      <c r="K47" s="175"/>
      <c r="L47" s="65"/>
      <c r="M47" s="65"/>
      <c r="N47" s="65"/>
      <c r="O47" s="163">
        <f>LEN(K47)</f>
        <v>0</v>
      </c>
      <c r="P47" s="13"/>
      <c r="Q47" s="13"/>
      <c r="R47" s="188"/>
      <c r="S47" s="182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</row>
    <row r="48" spans="1:33" ht="15.750000" customHeight="1">
      <c r="B48" s="141"/>
      <c r="I48" s="65"/>
      <c r="J48" s="65"/>
      <c r="K48" s="65"/>
      <c r="L48" s="188"/>
      <c r="M48" s="65"/>
      <c r="P48" s="13"/>
      <c r="Q48" s="13"/>
      <c r="R48" s="188"/>
      <c r="S48" s="179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</row>
    <row r="49" spans="1:33" ht="15.750000" customHeight="1">
      <c r="B49" s="141"/>
      <c r="I49" s="65"/>
      <c r="J49" s="175"/>
      <c r="K49" s="175"/>
      <c r="L49" s="175"/>
      <c r="M49" s="65"/>
      <c r="P49" s="13"/>
      <c r="Q49" s="13"/>
      <c r="R49" s="188"/>
      <c r="S49" s="180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</row>
    <row r="50" spans="1:33" ht="15.750000" customHeight="1">
      <c r="B50" s="155"/>
      <c r="I50" s="65"/>
      <c r="J50" s="1"/>
      <c r="K50" s="1"/>
      <c r="L50" s="1"/>
      <c r="M50" s="1"/>
      <c r="P50" s="489"/>
      <c r="Q50" s="179"/>
      <c r="R50" s="179"/>
      <c r="S50" s="179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</row>
    <row r="51" spans="1:33" ht="15.750000" customHeight="1">
      <c r="B51" s="155"/>
      <c r="I51" s="65"/>
      <c r="J51" s="1"/>
      <c r="K51" s="1"/>
      <c r="L51" s="1"/>
      <c r="M51" s="1"/>
      <c r="P51" s="488"/>
      <c r="Q51" s="180"/>
      <c r="R51" s="180"/>
      <c r="S51" s="180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</row>
    <row r="52" spans="1:33" ht="15.750000" customHeight="1">
      <c r="A52" s="156" t="s">
        <v>116</v>
      </c>
      <c r="B52" s="141"/>
      <c r="C52" s="490"/>
      <c r="D52" s="490"/>
      <c r="E52" s="481">
        <f>F52*120%</f>
        <v>0</v>
      </c>
      <c r="F52" s="481">
        <f>(D52-C52+1)*G52</f>
        <v>0</v>
      </c>
      <c r="G52" s="482">
        <f>IF(OR((H52=""),(H52=5)),N52*40,IF(H52=10,N52*55,"포인트 열 재확인"))</f>
        <v>0</v>
      </c>
      <c r="H52" s="491"/>
      <c r="I52" s="162"/>
      <c r="J52" s="65"/>
      <c r="K52" s="175"/>
      <c r="L52" s="65"/>
      <c r="M52" s="162"/>
      <c r="N52" s="13"/>
      <c r="O52" s="163">
        <f>LEN(K52)</f>
        <v>0</v>
      </c>
      <c r="P52" s="13"/>
      <c r="Q52" s="13"/>
      <c r="R52" s="188"/>
      <c r="S52" s="13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</row>
    <row r="53" spans="1:33" ht="15.750000" customHeight="1">
      <c r="B53" s="141"/>
      <c r="I53" s="162"/>
      <c r="J53" s="65"/>
      <c r="K53" s="65"/>
      <c r="L53" s="65"/>
      <c r="M53" s="162"/>
      <c r="P53" s="13"/>
      <c r="Q53" s="13"/>
      <c r="R53" s="188"/>
      <c r="S53" s="180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</row>
    <row r="54" spans="1:33" ht="15.750000" customHeight="1">
      <c r="B54" s="155"/>
      <c r="I54" s="165"/>
      <c r="J54" s="165"/>
      <c r="K54" s="165"/>
      <c r="L54" s="165"/>
      <c r="M54" s="165"/>
      <c r="P54" s="489"/>
      <c r="Q54" s="179"/>
      <c r="R54" s="179"/>
      <c r="S54" s="179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</row>
    <row r="55" spans="1:33" ht="15.750000" customHeight="1">
      <c r="B55" s="155"/>
      <c r="I55" s="165"/>
      <c r="J55" s="165"/>
      <c r="K55" s="165"/>
      <c r="L55" s="165"/>
      <c r="M55" s="165"/>
      <c r="P55" s="488"/>
      <c r="Q55" s="180"/>
      <c r="R55" s="180"/>
      <c r="S55" s="180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</row>
    <row r="56" spans="1:33" ht="15.750000" customHeight="1">
      <c r="B56" s="155"/>
      <c r="I56" s="165"/>
      <c r="J56" s="165"/>
      <c r="K56" s="165"/>
      <c r="L56" s="165"/>
      <c r="M56" s="165"/>
      <c r="P56" s="489"/>
      <c r="Q56" s="179"/>
      <c r="R56" s="179"/>
      <c r="S56" s="179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</row>
    <row r="57" spans="1:33" ht="15.750000" customHeight="1">
      <c r="A57" s="156" t="s">
        <v>116</v>
      </c>
      <c r="B57" s="141"/>
      <c r="C57" s="490"/>
      <c r="D57" s="490"/>
      <c r="E57" s="481">
        <f>F57*120%</f>
        <v>0</v>
      </c>
      <c r="F57" s="481">
        <f>(D57-C57+1)*G57</f>
        <v>0</v>
      </c>
      <c r="G57" s="482">
        <f>IF(OR((H57=""),(H57=5)),N57*40,IF(H57=10,N57*55,"포인트 열 재확인"))</f>
        <v>0</v>
      </c>
      <c r="H57" s="491"/>
      <c r="I57" s="162"/>
      <c r="J57" s="65"/>
      <c r="K57" s="191"/>
      <c r="L57" s="188"/>
      <c r="M57" s="65"/>
      <c r="N57" s="13"/>
      <c r="O57" s="163">
        <f>LEN(K57)</f>
        <v>0</v>
      </c>
      <c r="P57" s="13"/>
      <c r="Q57" s="13"/>
      <c r="R57" s="188"/>
      <c r="S57" s="182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</row>
    <row r="58" spans="1:33" ht="15.750000" customHeight="1">
      <c r="B58" s="141"/>
      <c r="I58" s="65"/>
      <c r="J58" s="65"/>
      <c r="K58" s="190"/>
      <c r="L58" s="188"/>
      <c r="M58" s="65"/>
      <c r="P58" s="13"/>
      <c r="Q58" s="13"/>
      <c r="R58" s="188"/>
      <c r="S58" s="179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</row>
    <row r="59" spans="1:33" ht="15.750000" customHeight="1">
      <c r="B59" s="141"/>
      <c r="I59" s="65"/>
      <c r="J59" s="65"/>
      <c r="K59" s="191"/>
      <c r="L59" s="188"/>
      <c r="M59" s="65"/>
      <c r="P59" s="13"/>
      <c r="Q59" s="13"/>
      <c r="R59" s="188"/>
      <c r="S59" s="180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</row>
    <row r="60" spans="1:33" ht="15.750000" customHeight="1">
      <c r="B60" s="141"/>
      <c r="I60" s="65"/>
      <c r="J60" s="65"/>
      <c r="K60" s="190"/>
      <c r="L60" s="65"/>
      <c r="M60" s="65"/>
      <c r="P60" s="13"/>
      <c r="Q60" s="13"/>
      <c r="R60" s="188"/>
      <c r="S60" s="179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</row>
    <row r="61" spans="1:33" ht="15.750000" customHeight="1">
      <c r="B61" s="155"/>
      <c r="I61" s="165"/>
      <c r="J61" s="165"/>
      <c r="K61" s="165"/>
      <c r="L61" s="165"/>
      <c r="M61" s="165"/>
      <c r="P61" s="488"/>
      <c r="Q61" s="180"/>
      <c r="R61" s="180"/>
      <c r="S61" s="180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</row>
    <row r="62" spans="1:33" ht="15.750000" customHeight="1">
      <c r="A62" s="156" t="s">
        <v>116</v>
      </c>
      <c r="B62" s="141"/>
      <c r="C62" s="490"/>
      <c r="D62" s="490"/>
      <c r="E62" s="481">
        <f>F62*120%</f>
        <v>0</v>
      </c>
      <c r="F62" s="481">
        <f>(D62-C62+1)*G62</f>
        <v>0</v>
      </c>
      <c r="G62" s="482">
        <f>IF(OR((H62=""),(H62=5)),N62*40,IF(H62=10,N62*55,"포인트 열 재확인"))</f>
        <v>0</v>
      </c>
      <c r="H62" s="491"/>
      <c r="I62" s="13"/>
      <c r="J62" s="13"/>
      <c r="K62" s="13"/>
      <c r="L62" s="277"/>
      <c r="M62" s="13"/>
      <c r="N62" s="13"/>
      <c r="O62" s="163">
        <f>LEN(K62)</f>
        <v>0</v>
      </c>
      <c r="P62" s="179"/>
      <c r="Q62" s="179"/>
      <c r="R62" s="179"/>
      <c r="S62" s="179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</row>
    <row r="63" spans="1:33" ht="15.750000" customHeight="1">
      <c r="B63" s="141"/>
      <c r="I63" s="13"/>
      <c r="J63" s="13"/>
      <c r="K63" s="13"/>
      <c r="L63" s="277"/>
      <c r="M63" s="13"/>
      <c r="P63" s="180"/>
      <c r="Q63" s="180"/>
      <c r="R63" s="180"/>
      <c r="S63" s="180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</row>
    <row r="64" spans="1:33" ht="15.750000" customHeight="1">
      <c r="B64" s="141"/>
      <c r="I64" s="13"/>
      <c r="J64" s="13"/>
      <c r="K64" s="13"/>
      <c r="L64" s="277"/>
      <c r="M64" s="13"/>
      <c r="P64" s="179"/>
      <c r="Q64" s="179"/>
      <c r="R64" s="179"/>
      <c r="S64" s="179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</row>
    <row r="65" spans="1:33" ht="15.750000" customHeight="1">
      <c r="B65" s="155"/>
      <c r="I65" s="165"/>
      <c r="J65" s="165"/>
      <c r="K65" s="165"/>
      <c r="L65" s="165"/>
      <c r="M65" s="165"/>
      <c r="P65" s="488"/>
      <c r="Q65" s="180"/>
      <c r="R65" s="180"/>
      <c r="S65" s="180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</row>
    <row r="66" spans="1:33" ht="15.750000" customHeight="1">
      <c r="B66" s="155"/>
      <c r="I66" s="165"/>
      <c r="J66" s="165"/>
      <c r="K66" s="165"/>
      <c r="L66" s="165"/>
      <c r="M66" s="165"/>
      <c r="P66" s="489"/>
      <c r="Q66" s="179"/>
      <c r="R66" s="179"/>
      <c r="S66" s="179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</row>
    <row r="67" spans="1:33" ht="15.750000" customHeight="1">
      <c r="A67" s="156" t="s">
        <v>116</v>
      </c>
      <c r="B67" s="141"/>
      <c r="C67" s="490"/>
      <c r="D67" s="490"/>
      <c r="E67" s="481">
        <f>F67*120%</f>
        <v>0</v>
      </c>
      <c r="F67" s="481">
        <f>(D67-C67+1)*G67</f>
        <v>0</v>
      </c>
      <c r="G67" s="482">
        <f>IF(OR((H67=""),(H67=5)),N67*40,IF(H67=10,N67*55,"포인트 열 재확인"))</f>
        <v>0</v>
      </c>
      <c r="H67" s="491"/>
      <c r="I67" s="13"/>
      <c r="J67" s="13"/>
      <c r="K67" s="13"/>
      <c r="L67" s="277"/>
      <c r="M67" s="13"/>
      <c r="N67" s="13"/>
      <c r="O67" s="163">
        <f>LEN(K67)</f>
        <v>0</v>
      </c>
      <c r="P67" s="488"/>
      <c r="Q67" s="180"/>
      <c r="R67" s="180"/>
      <c r="S67" s="180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</row>
    <row r="68" spans="1:33" ht="15.750000" customHeight="1">
      <c r="B68" s="155"/>
      <c r="I68" s="165"/>
      <c r="J68" s="165"/>
      <c r="K68" s="165"/>
      <c r="L68" s="165"/>
      <c r="M68" s="165"/>
      <c r="P68" s="489"/>
      <c r="Q68" s="179"/>
      <c r="R68" s="179"/>
      <c r="S68" s="179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</row>
    <row r="69" spans="1:33" ht="15.750000" customHeight="1">
      <c r="B69" s="155"/>
      <c r="I69" s="165"/>
      <c r="J69" s="165"/>
      <c r="K69" s="165"/>
      <c r="L69" s="165"/>
      <c r="M69" s="165"/>
      <c r="P69" s="488"/>
      <c r="Q69" s="180"/>
      <c r="R69" s="180"/>
      <c r="S69" s="180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</row>
    <row r="70" spans="1:33" ht="15.750000" customHeight="1">
      <c r="B70" s="155"/>
      <c r="I70" s="165"/>
      <c r="J70" s="165"/>
      <c r="K70" s="165"/>
      <c r="L70" s="165"/>
      <c r="M70" s="165"/>
      <c r="P70" s="489"/>
      <c r="Q70" s="179"/>
      <c r="R70" s="179"/>
      <c r="S70" s="179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</row>
    <row r="71" spans="1:33" ht="15.750000" customHeight="1">
      <c r="B71" s="155"/>
      <c r="I71" s="165"/>
      <c r="J71" s="165"/>
      <c r="K71" s="165"/>
      <c r="L71" s="165"/>
      <c r="M71" s="165"/>
      <c r="P71" s="488"/>
      <c r="Q71" s="180"/>
      <c r="R71" s="180"/>
      <c r="S71" s="180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</row>
    <row r="72" spans="1:33" ht="15.750000" customHeight="1">
      <c r="A72" s="156" t="s">
        <v>116</v>
      </c>
      <c r="B72" s="141"/>
      <c r="C72" s="490"/>
      <c r="D72" s="490"/>
      <c r="E72" s="481">
        <f>F72*120%</f>
        <v>0</v>
      </c>
      <c r="F72" s="481">
        <f>(D72-C72+1)*G72</f>
        <v>0</v>
      </c>
      <c r="G72" s="482">
        <f>IF(OR((H72=""),(H72=5)),N72*40,IF(H72=10,N72*55,"포인트 열 재확인"))</f>
        <v>0</v>
      </c>
      <c r="H72" s="491"/>
      <c r="I72" s="162"/>
      <c r="J72" s="13"/>
      <c r="K72" s="165"/>
      <c r="L72" s="277"/>
      <c r="M72" s="13"/>
      <c r="N72" s="13"/>
      <c r="O72" s="163">
        <f>LEN(K72)</f>
        <v>0</v>
      </c>
      <c r="P72" s="492"/>
      <c r="Q72" s="492"/>
      <c r="R72" s="166"/>
      <c r="S72" s="88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</row>
    <row r="73" spans="1:33" ht="15.750000" customHeight="1">
      <c r="B73" s="155"/>
      <c r="I73" s="165"/>
      <c r="J73" s="165"/>
      <c r="K73" s="165"/>
      <c r="L73" s="165"/>
      <c r="M73" s="165"/>
      <c r="P73" s="180"/>
      <c r="Q73" s="180"/>
      <c r="R73" s="180"/>
      <c r="S73" s="180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</row>
    <row r="74" spans="1:33" ht="15.750000" customHeight="1">
      <c r="B74" s="155"/>
      <c r="I74" s="165"/>
      <c r="J74" s="165"/>
      <c r="K74" s="165"/>
      <c r="L74" s="165"/>
      <c r="M74" s="165"/>
      <c r="P74" s="179"/>
      <c r="Q74" s="179"/>
      <c r="R74" s="179"/>
      <c r="S74" s="179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</row>
    <row r="75" spans="1:33" ht="15.750000" customHeight="1">
      <c r="B75" s="155"/>
      <c r="I75" s="165"/>
      <c r="J75" s="165"/>
      <c r="K75" s="165"/>
      <c r="L75" s="165"/>
      <c r="M75" s="165"/>
      <c r="P75" s="180"/>
      <c r="Q75" s="180"/>
      <c r="R75" s="180"/>
      <c r="S75" s="180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</row>
    <row r="76" spans="1:33" ht="15.750000" customHeight="1">
      <c r="B76" s="155"/>
      <c r="I76" s="165"/>
      <c r="J76" s="165"/>
      <c r="K76" s="165"/>
      <c r="L76" s="165"/>
      <c r="M76" s="165"/>
      <c r="P76" s="179"/>
      <c r="Q76" s="179"/>
      <c r="R76" s="179"/>
      <c r="S76" s="179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</row>
    <row r="77" spans="1:33" ht="15.750000" customHeight="1">
      <c r="A77" s="156" t="s">
        <v>116</v>
      </c>
      <c r="B77" s="141"/>
      <c r="C77" s="490"/>
      <c r="D77" s="490"/>
      <c r="E77" s="481">
        <f>F77*120%</f>
        <v>0</v>
      </c>
      <c r="F77" s="481">
        <f>(D77-C77+1)*G77</f>
        <v>0</v>
      </c>
      <c r="G77" s="482">
        <f>IF(OR((H77=""),(H77=5)),N77*40,IF(H77=10,N77*55,"포인트 열 재확인"))</f>
        <v>0</v>
      </c>
      <c r="H77" s="491"/>
      <c r="I77" s="13"/>
      <c r="J77" s="13"/>
      <c r="K77" s="13"/>
      <c r="L77" s="277"/>
      <c r="M77" s="277"/>
      <c r="N77" s="13"/>
      <c r="O77" s="163">
        <f>LEN(K77)</f>
        <v>0</v>
      </c>
      <c r="P77" s="180"/>
      <c r="Q77" s="180"/>
      <c r="S77" s="182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</row>
    <row r="78" spans="1:33" ht="15.750000" customHeight="1">
      <c r="B78" s="155"/>
      <c r="I78" s="13"/>
      <c r="J78" s="13"/>
      <c r="K78" s="13"/>
      <c r="L78" s="277"/>
      <c r="M78" s="277"/>
      <c r="P78" s="180"/>
      <c r="Q78" s="180"/>
      <c r="S78" s="182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</row>
    <row r="79" spans="1:33" ht="15.750000" customHeight="1">
      <c r="B79" s="155"/>
      <c r="I79" s="165"/>
      <c r="J79" s="165"/>
      <c r="K79" s="165"/>
      <c r="L79" s="165"/>
      <c r="M79" s="165"/>
      <c r="P79" s="179"/>
      <c r="Q79" s="179"/>
      <c r="R79" s="179"/>
      <c r="S79" s="179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</row>
    <row r="80" spans="1:33" ht="15.750000" customHeight="1">
      <c r="B80" s="155"/>
      <c r="I80" s="165"/>
      <c r="J80" s="165"/>
      <c r="K80" s="165"/>
      <c r="L80" s="165"/>
      <c r="M80" s="165"/>
      <c r="P80" s="180"/>
      <c r="Q80" s="180"/>
      <c r="R80" s="180"/>
      <c r="S80" s="180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</row>
    <row r="81" spans="1:33" ht="15.750000" customHeight="1">
      <c r="B81" s="155"/>
      <c r="I81" s="165"/>
      <c r="J81" s="165"/>
      <c r="K81" s="165"/>
      <c r="L81" s="165"/>
      <c r="M81" s="165"/>
      <c r="P81" s="179"/>
      <c r="Q81" s="179"/>
      <c r="R81" s="179"/>
      <c r="S81" s="179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</row>
    <row r="82" spans="1:33" ht="15.750000" customHeight="1">
      <c r="A82" s="156" t="s">
        <v>116</v>
      </c>
      <c r="B82" s="141"/>
      <c r="C82" s="470"/>
      <c r="D82" s="470"/>
      <c r="E82" s="481">
        <f>F82*120%</f>
        <v>0</v>
      </c>
      <c r="F82" s="481">
        <f>(D82-C82+1)*G82</f>
        <v>0</v>
      </c>
      <c r="G82" s="482">
        <f>IF(OR((H82=""),(H82=5)),N82*40,IF(H82=10,N82*55,"포인트 열 재확인"))</f>
        <v>0</v>
      </c>
      <c r="H82" s="171"/>
      <c r="I82" s="165"/>
      <c r="J82" s="13"/>
      <c r="K82" s="13"/>
      <c r="L82" s="277"/>
      <c r="M82" s="13"/>
      <c r="N82" s="13"/>
      <c r="O82" s="163">
        <f>LEN(K82)</f>
        <v>0</v>
      </c>
      <c r="P82" s="180"/>
      <c r="Q82" s="180"/>
      <c r="R82" s="180"/>
      <c r="S82" s="182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</row>
    <row r="83" spans="1:33" ht="15.750000" customHeight="1">
      <c r="B83" s="155"/>
      <c r="I83" s="165"/>
      <c r="J83" s="165"/>
      <c r="K83" s="165"/>
      <c r="L83" s="165"/>
      <c r="M83" s="165"/>
      <c r="P83" s="180"/>
      <c r="Q83" s="180"/>
      <c r="R83" s="180"/>
      <c r="S83" s="180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</row>
    <row r="84" spans="1:33" ht="15.750000" customHeight="1">
      <c r="B84" s="155"/>
      <c r="I84" s="165"/>
      <c r="J84" s="165"/>
      <c r="K84" s="165"/>
      <c r="L84" s="165"/>
      <c r="M84" s="165"/>
      <c r="P84" s="179"/>
      <c r="Q84" s="179"/>
      <c r="R84" s="179"/>
      <c r="S84" s="179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</row>
    <row r="85" spans="1:33" ht="15.750000" customHeight="1">
      <c r="B85" s="155"/>
      <c r="I85" s="165"/>
      <c r="J85" s="165"/>
      <c r="K85" s="165"/>
      <c r="L85" s="165"/>
      <c r="M85" s="165"/>
      <c r="P85" s="180"/>
      <c r="Q85" s="180"/>
      <c r="R85" s="180"/>
      <c r="S85" s="180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</row>
    <row r="86" spans="1:33" ht="15.750000" customHeight="1">
      <c r="B86" s="155"/>
      <c r="I86" s="165"/>
      <c r="J86" s="165"/>
      <c r="K86" s="165"/>
      <c r="L86" s="165"/>
      <c r="M86" s="165"/>
      <c r="P86" s="179"/>
      <c r="Q86" s="179"/>
      <c r="R86" s="179"/>
      <c r="S86" s="179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</row>
    <row r="87" spans="1:33" ht="15.750000" customHeight="1">
      <c r="A87" s="156" t="s">
        <v>116</v>
      </c>
      <c r="B87" s="141"/>
      <c r="C87" s="470"/>
      <c r="D87" s="470"/>
      <c r="E87" s="481">
        <f>F87*120%</f>
        <v>0</v>
      </c>
      <c r="F87" s="481">
        <f>(D87-C87+1)*G87</f>
        <v>0</v>
      </c>
      <c r="G87" s="482">
        <f>IF(OR((H87=""),(H87=5)),N87*40,IF(H87=10,N87*55,"포인트 열 재확인"))</f>
        <v>0</v>
      </c>
      <c r="H87" s="171"/>
      <c r="I87" s="13"/>
      <c r="J87" s="13"/>
      <c r="K87" s="13"/>
      <c r="L87" s="277"/>
      <c r="M87" s="277"/>
      <c r="N87" s="13"/>
      <c r="O87" s="163">
        <f>LEN(K87)</f>
        <v>0</v>
      </c>
      <c r="P87" s="180"/>
      <c r="Q87" s="180"/>
      <c r="S87" s="182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</row>
    <row r="88" spans="1:33" ht="15.750000" customHeight="1">
      <c r="B88" s="155"/>
      <c r="I88" s="165"/>
      <c r="J88" s="165"/>
      <c r="K88" s="165"/>
      <c r="L88" s="165"/>
      <c r="M88" s="165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</row>
    <row r="89" spans="1:33" ht="15.750000" customHeight="1">
      <c r="B89" s="155"/>
      <c r="I89" s="165"/>
      <c r="J89" s="165"/>
      <c r="K89" s="165"/>
      <c r="L89" s="165"/>
      <c r="M89" s="165"/>
      <c r="P89" s="489"/>
      <c r="Q89" s="179"/>
      <c r="R89" s="179"/>
      <c r="S89" s="179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</row>
    <row r="90" spans="1:33" ht="15.750000" customHeight="1">
      <c r="B90" s="155"/>
      <c r="I90" s="165"/>
      <c r="J90" s="165"/>
      <c r="K90" s="165"/>
      <c r="L90" s="165"/>
      <c r="M90" s="165"/>
      <c r="P90" s="488"/>
      <c r="Q90" s="180"/>
      <c r="R90" s="180"/>
      <c r="S90" s="180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</row>
    <row r="91" spans="1:33" ht="15.750000" customHeight="1">
      <c r="B91" s="155"/>
      <c r="I91" s="165"/>
      <c r="J91" s="165"/>
      <c r="K91" s="165"/>
      <c r="L91" s="165"/>
      <c r="M91" s="165"/>
      <c r="P91" s="489"/>
      <c r="Q91" s="179"/>
      <c r="R91" s="179"/>
      <c r="S91" s="179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66"/>
    </row>
    <row r="92" spans="1:33" ht="15.750000" customHeight="1">
      <c r="A92" s="156" t="s">
        <v>116</v>
      </c>
      <c r="B92" s="141"/>
      <c r="C92" s="493"/>
      <c r="D92" s="493"/>
      <c r="E92" s="481">
        <f>F92*120%</f>
        <v>0</v>
      </c>
      <c r="F92" s="481">
        <f>(D92-C92+1)*G92</f>
        <v>0</v>
      </c>
      <c r="G92" s="482">
        <f>IF(OR((H92=""),(H92=5)),N92*40,IF(H92=10,N92*55,"포인트 열 재확인"))</f>
        <v>0</v>
      </c>
      <c r="H92" s="171"/>
      <c r="I92" s="13"/>
      <c r="J92" s="13"/>
      <c r="K92" s="13"/>
      <c r="L92" s="277"/>
      <c r="M92" s="13"/>
      <c r="N92" s="13"/>
      <c r="O92" s="163">
        <f>LEN(K92)</f>
        <v>0</v>
      </c>
      <c r="P92" s="180"/>
      <c r="Q92" s="180"/>
      <c r="R92" s="176"/>
      <c r="S92" s="182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  <c r="AD92" s="166"/>
      <c r="AE92" s="166"/>
      <c r="AF92" s="166"/>
      <c r="AG92" s="166"/>
    </row>
    <row r="93" spans="1:33" ht="15.750000" customHeight="1">
      <c r="B93" s="155"/>
      <c r="I93" s="165"/>
      <c r="J93" s="165"/>
      <c r="K93" s="165"/>
      <c r="L93" s="165"/>
      <c r="M93" s="165"/>
      <c r="P93" s="489"/>
      <c r="Q93" s="179"/>
      <c r="R93" s="179"/>
      <c r="S93" s="179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  <c r="AG93" s="166"/>
    </row>
    <row r="94" spans="1:33" ht="15.750000" customHeight="1">
      <c r="B94" s="155"/>
      <c r="I94" s="165"/>
      <c r="J94" s="165"/>
      <c r="K94" s="165"/>
      <c r="L94" s="165"/>
      <c r="M94" s="165"/>
      <c r="P94" s="488"/>
      <c r="Q94" s="180"/>
      <c r="R94" s="180"/>
      <c r="S94" s="180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/>
    </row>
    <row r="95" spans="1:33" ht="15.750000" customHeight="1">
      <c r="B95" s="155"/>
      <c r="I95" s="165"/>
      <c r="J95" s="165"/>
      <c r="K95" s="165"/>
      <c r="L95" s="165"/>
      <c r="M95" s="165"/>
      <c r="P95" s="489"/>
      <c r="Q95" s="179"/>
      <c r="R95" s="179"/>
      <c r="S95" s="179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  <c r="AG95" s="166"/>
    </row>
    <row r="96" spans="1:33" ht="15.750000" customHeight="1">
      <c r="B96" s="155"/>
      <c r="I96" s="165"/>
      <c r="J96" s="165"/>
      <c r="K96" s="165"/>
      <c r="L96" s="165"/>
      <c r="M96" s="165"/>
      <c r="P96" s="488"/>
      <c r="Q96" s="180"/>
      <c r="R96" s="180"/>
      <c r="S96" s="180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</row>
    <row r="97" spans="1:33" ht="15.750000" customHeight="1">
      <c r="A97" s="156" t="s">
        <v>116</v>
      </c>
      <c r="B97" s="141"/>
      <c r="C97" s="470"/>
      <c r="D97" s="470"/>
      <c r="E97" s="481">
        <f>F97*120%</f>
        <v>0</v>
      </c>
      <c r="F97" s="481">
        <f>(D97-C97+1)*G97</f>
        <v>0</v>
      </c>
      <c r="G97" s="482">
        <f>IF(OR((H97=""),(H97=5)),N97*40,IF(H97=10,N97*55,"포인트 열 재확인"))</f>
        <v>0</v>
      </c>
      <c r="H97" s="160"/>
      <c r="I97" s="162"/>
      <c r="J97" s="13"/>
      <c r="K97" s="165"/>
      <c r="L97" s="277"/>
      <c r="M97" s="162"/>
      <c r="N97" s="13"/>
      <c r="O97" s="163">
        <f>LEN(K97)</f>
        <v>0</v>
      </c>
      <c r="P97" s="179"/>
      <c r="Q97" s="179"/>
      <c r="R97" s="179"/>
      <c r="S97" s="179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  <c r="AG97" s="166"/>
    </row>
    <row r="98" spans="1:33" ht="15.750000" customHeight="1">
      <c r="B98" s="155"/>
      <c r="I98" s="165"/>
      <c r="J98" s="165"/>
      <c r="K98" s="165"/>
      <c r="L98" s="165"/>
      <c r="M98" s="165"/>
      <c r="P98" s="488"/>
      <c r="Q98" s="180"/>
      <c r="R98" s="180"/>
      <c r="S98" s="180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  <c r="AG98" s="166"/>
    </row>
    <row r="99" spans="1:33" ht="15.750000" customHeight="1">
      <c r="B99" s="155"/>
      <c r="I99" s="165"/>
      <c r="J99" s="165"/>
      <c r="K99" s="165"/>
      <c r="L99" s="165"/>
      <c r="M99" s="165"/>
      <c r="P99" s="489"/>
      <c r="Q99" s="179"/>
      <c r="R99" s="179"/>
      <c r="S99" s="179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6"/>
      <c r="AE99" s="166"/>
      <c r="AF99" s="166"/>
      <c r="AG99" s="166"/>
    </row>
    <row r="100" spans="1:33" ht="15.750000" customHeight="1">
      <c r="B100" s="155"/>
      <c r="I100" s="165"/>
      <c r="J100" s="165"/>
      <c r="K100" s="165"/>
      <c r="L100" s="165"/>
      <c r="M100" s="165"/>
      <c r="P100" s="488"/>
      <c r="Q100" s="180"/>
      <c r="R100" s="180"/>
      <c r="S100" s="180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</row>
    <row r="101" spans="1:33" ht="15.750000" customHeight="1">
      <c r="B101" s="155"/>
      <c r="I101" s="165"/>
      <c r="J101" s="165"/>
      <c r="K101" s="165"/>
      <c r="L101" s="165"/>
      <c r="M101" s="165"/>
      <c r="P101" s="489"/>
      <c r="Q101" s="179"/>
      <c r="R101" s="179"/>
      <c r="S101" s="179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</row>
    <row r="102" spans="1:33" ht="15.750000" customHeight="1">
      <c r="A102" s="156" t="s">
        <v>116</v>
      </c>
      <c r="B102" s="141"/>
      <c r="C102" s="493"/>
      <c r="D102" s="493"/>
      <c r="E102" s="481">
        <f>F102*120%</f>
        <v>0</v>
      </c>
      <c r="F102" s="481">
        <f>(D102-C102+1)*G102</f>
        <v>0</v>
      </c>
      <c r="G102" s="482">
        <f>IF(OR((H102=""),(H102=5)),N102*40,IF(H102=10,N102*55,"포인트 열 재확인"))</f>
        <v>0</v>
      </c>
      <c r="H102" s="171"/>
      <c r="I102" s="162"/>
      <c r="J102" s="13"/>
      <c r="K102" s="165"/>
      <c r="L102" s="277"/>
      <c r="M102" s="162"/>
      <c r="N102" s="13"/>
      <c r="O102" s="163">
        <f>LEN(K102)</f>
        <v>0</v>
      </c>
      <c r="P102" s="180"/>
      <c r="Q102" s="180"/>
      <c r="R102" s="180"/>
      <c r="S102" s="180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</row>
    <row r="103" spans="1:33" ht="15.750000" customHeight="1">
      <c r="B103" s="155"/>
      <c r="I103" s="165"/>
      <c r="J103" s="165"/>
      <c r="K103" s="165"/>
      <c r="L103" s="277"/>
      <c r="M103" s="165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  <c r="AG103" s="166"/>
    </row>
    <row r="104" spans="1:33" ht="15.750000" customHeight="1">
      <c r="B104" s="155"/>
      <c r="I104" s="165"/>
      <c r="J104" s="165"/>
      <c r="K104" s="165"/>
      <c r="L104" s="165"/>
      <c r="M104" s="165"/>
      <c r="P104" s="180"/>
      <c r="Q104" s="180"/>
      <c r="R104" s="180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  <c r="AG104" s="166"/>
    </row>
    <row r="105" spans="1:33" ht="15.750000" customHeight="1">
      <c r="B105" s="155"/>
      <c r="I105" s="165"/>
      <c r="J105" s="165"/>
      <c r="K105" s="165"/>
      <c r="L105" s="165"/>
      <c r="M105" s="165"/>
      <c r="P105" s="179"/>
      <c r="Q105" s="179"/>
      <c r="R105" s="179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</row>
    <row r="106" spans="1:33" ht="15.750000" customHeight="1">
      <c r="B106" s="155"/>
      <c r="I106" s="165"/>
      <c r="J106" s="165"/>
      <c r="K106" s="165"/>
      <c r="L106" s="165"/>
      <c r="M106" s="165"/>
      <c r="P106" s="180"/>
      <c r="Q106" s="180"/>
      <c r="R106" s="180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  <c r="AG106" s="166"/>
    </row>
    <row r="107" spans="1:33" ht="15.750000" customHeight="1">
      <c r="A107" s="156" t="s">
        <v>116</v>
      </c>
      <c r="B107" s="141"/>
      <c r="C107" s="493"/>
      <c r="D107" s="493"/>
      <c r="E107" s="481">
        <f>F107*120%</f>
        <v>0</v>
      </c>
      <c r="F107" s="481">
        <f>(D107-C107+1)*G107</f>
        <v>0</v>
      </c>
      <c r="G107" s="482">
        <f>IF(OR((H107=""),(H107=5)),N107*40,IF(H107=10,N107*55,"포인트 열 재확인"))</f>
        <v>0</v>
      </c>
      <c r="H107" s="160"/>
      <c r="I107" s="13"/>
      <c r="J107" s="13"/>
      <c r="K107" s="13"/>
      <c r="L107" s="277"/>
      <c r="M107" s="277"/>
      <c r="N107" s="13"/>
      <c r="O107" s="163">
        <f>LEN(K107)</f>
        <v>0</v>
      </c>
      <c r="P107" s="179"/>
      <c r="Q107" s="179"/>
      <c r="R107" s="179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  <c r="AG107" s="166"/>
    </row>
    <row r="108" spans="1:33" ht="15.750000" customHeight="1">
      <c r="B108" s="155"/>
      <c r="I108" s="165"/>
      <c r="J108" s="165"/>
      <c r="K108" s="165"/>
      <c r="L108" s="165"/>
      <c r="M108" s="165"/>
      <c r="P108" s="180"/>
      <c r="Q108" s="180"/>
      <c r="R108" s="180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</row>
    <row r="109" spans="1:33" ht="15.750000" customHeight="1">
      <c r="B109" s="155"/>
      <c r="I109" s="165"/>
      <c r="J109" s="165"/>
      <c r="K109" s="165"/>
      <c r="L109" s="165"/>
      <c r="M109" s="165"/>
      <c r="P109" s="180"/>
      <c r="Q109" s="180"/>
      <c r="R109" s="180"/>
      <c r="S109" s="166"/>
      <c r="T109" s="166"/>
      <c r="U109" s="166"/>
      <c r="V109" s="166"/>
      <c r="W109" s="166"/>
      <c r="X109" s="166"/>
      <c r="Y109" s="166"/>
      <c r="Z109" s="166"/>
      <c r="AA109" s="166"/>
      <c r="AB109" s="166"/>
      <c r="AC109" s="166"/>
      <c r="AD109" s="166"/>
      <c r="AE109" s="166"/>
      <c r="AF109" s="166"/>
      <c r="AG109" s="166"/>
    </row>
    <row r="110" spans="1:33" ht="15.750000" customHeight="1">
      <c r="B110" s="155"/>
      <c r="I110" s="165"/>
      <c r="J110" s="165"/>
      <c r="K110" s="165"/>
      <c r="L110" s="165"/>
      <c r="M110" s="165"/>
      <c r="P110" s="179"/>
      <c r="Q110" s="179"/>
      <c r="R110" s="179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6"/>
      <c r="AE110" s="166"/>
      <c r="AF110" s="166"/>
      <c r="AG110" s="166"/>
    </row>
    <row r="111" spans="1:33" ht="15.750000" customHeight="1">
      <c r="B111" s="155"/>
      <c r="I111" s="165"/>
      <c r="J111" s="165"/>
      <c r="K111" s="165"/>
      <c r="L111" s="165"/>
      <c r="M111" s="165"/>
      <c r="P111" s="180"/>
      <c r="Q111" s="180"/>
      <c r="R111" s="180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  <c r="AC111" s="166"/>
      <c r="AD111" s="166"/>
      <c r="AE111" s="166"/>
      <c r="AF111" s="166"/>
      <c r="AG111" s="166"/>
    </row>
    <row r="112" spans="1:33" ht="15.750000" customHeight="1">
      <c r="A112" s="156" t="s">
        <v>116</v>
      </c>
      <c r="B112" s="141"/>
      <c r="C112" s="493"/>
      <c r="D112" s="493"/>
      <c r="E112" s="481">
        <f>F112*120%</f>
        <v>0</v>
      </c>
      <c r="F112" s="481">
        <f>(D112-C112+1)*G112</f>
        <v>0</v>
      </c>
      <c r="G112" s="482">
        <f>IF(OR((H112=""),(H112=5)),N112*40,IF(H112=10,N112*55,"포인트 열 재확인"))</f>
        <v>0</v>
      </c>
      <c r="H112" s="160"/>
      <c r="I112" s="13"/>
      <c r="J112" s="13"/>
      <c r="K112" s="165"/>
      <c r="L112" s="277"/>
      <c r="M112" s="277"/>
      <c r="N112" s="13"/>
      <c r="O112" s="163">
        <f>LEN(K112)</f>
        <v>0</v>
      </c>
      <c r="P112" s="179"/>
      <c r="Q112" s="179"/>
      <c r="R112" s="179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  <c r="AC112" s="166"/>
      <c r="AD112" s="166"/>
      <c r="AE112" s="166"/>
      <c r="AF112" s="166"/>
      <c r="AG112" s="166"/>
    </row>
    <row r="113" spans="1:33" ht="15.750000" customHeight="1">
      <c r="B113" s="155"/>
      <c r="I113" s="165"/>
      <c r="J113" s="165"/>
      <c r="K113" s="165"/>
      <c r="L113" s="165"/>
      <c r="M113" s="165"/>
      <c r="P113" s="180"/>
      <c r="Q113" s="180"/>
      <c r="R113" s="180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  <c r="AC113" s="166"/>
      <c r="AD113" s="166"/>
      <c r="AE113" s="166"/>
      <c r="AF113" s="166"/>
      <c r="AG113" s="166"/>
    </row>
    <row r="114" spans="1:33" ht="15.750000" customHeight="1">
      <c r="B114" s="155"/>
      <c r="I114" s="165"/>
      <c r="J114" s="165"/>
      <c r="K114" s="165"/>
      <c r="L114" s="165"/>
      <c r="M114" s="165"/>
      <c r="P114" s="180"/>
      <c r="Q114" s="180"/>
      <c r="R114" s="180"/>
      <c r="S114" s="180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6"/>
      <c r="AF114" s="166"/>
      <c r="AG114" s="166"/>
    </row>
    <row r="115" spans="1:33" ht="15.750000" customHeight="1">
      <c r="B115" s="155"/>
      <c r="I115" s="165"/>
      <c r="J115" s="165"/>
      <c r="K115" s="165"/>
      <c r="L115" s="165"/>
      <c r="M115" s="165"/>
      <c r="P115" s="179"/>
      <c r="Q115" s="179"/>
      <c r="R115" s="179"/>
      <c r="S115" s="179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  <c r="AD115" s="166"/>
      <c r="AE115" s="166"/>
      <c r="AF115" s="166"/>
      <c r="AG115" s="166"/>
    </row>
    <row r="116" spans="1:33" ht="15.750000" customHeight="1">
      <c r="B116" s="155"/>
      <c r="I116" s="165"/>
      <c r="J116" s="165"/>
      <c r="K116" s="165"/>
      <c r="L116" s="165"/>
      <c r="M116" s="165"/>
      <c r="P116" s="180"/>
      <c r="Q116" s="180"/>
      <c r="R116" s="180"/>
      <c r="S116" s="180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  <c r="AD116" s="166"/>
      <c r="AE116" s="166"/>
      <c r="AF116" s="166"/>
      <c r="AG116" s="166"/>
    </row>
    <row r="117" spans="1:33" ht="15.750000" customHeight="1">
      <c r="A117" s="156" t="s">
        <v>116</v>
      </c>
      <c r="B117" s="141"/>
      <c r="C117" s="493"/>
      <c r="D117" s="493"/>
      <c r="E117" s="481">
        <f>F117*120%</f>
        <v>0</v>
      </c>
      <c r="F117" s="481">
        <f>(D117-C117+1)*G117</f>
        <v>0</v>
      </c>
      <c r="G117" s="482">
        <f>IF(OR((H117=""),(H117=5)),N117*40,IF(H117=10,N117*55,"포인트 열 재확인"))</f>
        <v>0</v>
      </c>
      <c r="H117" s="160"/>
      <c r="I117" s="13"/>
      <c r="J117" s="13"/>
      <c r="K117" s="165"/>
      <c r="L117" s="277"/>
      <c r="M117" s="277"/>
      <c r="N117" s="13"/>
      <c r="O117" s="163">
        <f>LEN(K117)</f>
        <v>0</v>
      </c>
      <c r="P117" s="179"/>
      <c r="Q117" s="179"/>
      <c r="R117" s="179"/>
      <c r="S117" s="179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</row>
    <row r="118" spans="1:33" ht="15.750000" customHeight="1">
      <c r="B118" s="141"/>
      <c r="I118" s="13"/>
      <c r="J118" s="13"/>
      <c r="K118" s="165"/>
      <c r="L118" s="277"/>
      <c r="M118" s="277"/>
      <c r="P118" s="180"/>
      <c r="Q118" s="180"/>
      <c r="R118" s="180"/>
      <c r="S118" s="180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</row>
    <row r="119" spans="1:33" ht="15.750000" customHeight="1">
      <c r="B119" s="141"/>
      <c r="I119" s="13"/>
      <c r="J119" s="13"/>
      <c r="K119" s="165"/>
      <c r="L119" s="277"/>
      <c r="M119" s="277"/>
      <c r="P119" s="180"/>
      <c r="Q119" s="180"/>
      <c r="R119" s="180"/>
      <c r="S119" s="179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</row>
    <row r="120" spans="1:33" ht="15.750000" customHeight="1">
      <c r="B120" s="141"/>
      <c r="I120" s="13"/>
      <c r="J120" s="13"/>
      <c r="K120" s="165"/>
      <c r="L120" s="277"/>
      <c r="M120" s="277"/>
      <c r="P120" s="179"/>
      <c r="Q120" s="179"/>
      <c r="R120" s="179"/>
      <c r="S120" s="179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</row>
    <row r="121" spans="1:33" ht="15.750000" customHeight="1">
      <c r="B121" s="141"/>
      <c r="I121" s="13"/>
      <c r="J121" s="13"/>
      <c r="K121" s="165"/>
      <c r="L121" s="277"/>
      <c r="M121" s="277"/>
      <c r="P121" s="180"/>
      <c r="Q121" s="180"/>
      <c r="R121" s="180"/>
      <c r="S121" s="179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</row>
    <row r="122" spans="1:33" ht="15.750000" customHeight="1">
      <c r="A122" s="156" t="s">
        <v>116</v>
      </c>
      <c r="B122" s="141"/>
      <c r="C122" s="493"/>
      <c r="D122" s="493"/>
      <c r="E122" s="481">
        <f>F122*120%</f>
        <v>0</v>
      </c>
      <c r="F122" s="481">
        <f>(D122-C122+1)*G122</f>
        <v>0</v>
      </c>
      <c r="G122" s="482">
        <f>IF(OR((H122=""),(H122=5)),N122*40,IF(H122=10,N122*55,"포인트 열 재확인"))</f>
        <v>0</v>
      </c>
      <c r="H122" s="160"/>
      <c r="I122" s="13"/>
      <c r="J122" s="13"/>
      <c r="K122" s="165"/>
      <c r="L122" s="277"/>
      <c r="M122" s="277"/>
      <c r="N122" s="13"/>
      <c r="O122" s="163">
        <f>LEN(K122)</f>
        <v>0</v>
      </c>
      <c r="P122" s="180"/>
      <c r="Q122" s="180"/>
      <c r="R122" s="180"/>
      <c r="S122" s="179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</row>
    <row r="123" spans="1:33" ht="15.750000" customHeight="1">
      <c r="B123" s="141"/>
      <c r="I123" s="13"/>
      <c r="J123" s="13"/>
      <c r="K123" s="165"/>
      <c r="L123" s="277"/>
      <c r="M123" s="277"/>
      <c r="P123" s="179"/>
      <c r="Q123" s="179"/>
      <c r="R123" s="179"/>
      <c r="S123" s="179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</row>
    <row r="124" spans="1:33" ht="15.750000" customHeight="1">
      <c r="B124" s="141"/>
      <c r="I124" s="13"/>
      <c r="J124" s="13"/>
      <c r="K124" s="165"/>
      <c r="L124" s="277"/>
      <c r="M124" s="277"/>
      <c r="P124" s="180"/>
      <c r="Q124" s="180"/>
      <c r="R124" s="180"/>
      <c r="S124" s="179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</row>
    <row r="125" spans="1:33" ht="15.750000" customHeight="1">
      <c r="B125" s="141"/>
      <c r="I125" s="165"/>
      <c r="J125" s="165"/>
      <c r="K125" s="165"/>
      <c r="L125" s="165"/>
      <c r="M125" s="165"/>
      <c r="P125" s="489"/>
      <c r="Q125" s="179"/>
      <c r="R125" s="179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</row>
    <row r="126" spans="1:33" ht="15.750000" customHeight="1">
      <c r="B126" s="155"/>
      <c r="I126" s="165"/>
      <c r="J126" s="165"/>
      <c r="K126" s="165"/>
      <c r="L126" s="165"/>
      <c r="M126" s="165"/>
      <c r="P126" s="488"/>
      <c r="Q126" s="180"/>
      <c r="R126" s="180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</row>
    <row r="127" spans="1:33" ht="15.750000" customHeight="1">
      <c r="A127" s="156" t="s">
        <v>116</v>
      </c>
      <c r="B127" s="141"/>
      <c r="C127" s="470"/>
      <c r="D127" s="470"/>
      <c r="E127" s="481">
        <f>F127*120%</f>
        <v>0</v>
      </c>
      <c r="F127" s="481">
        <f>(D127-C127+1)*G127</f>
        <v>0</v>
      </c>
      <c r="G127" s="482">
        <f>IF(OR((H127=""),(H127=5)),N127*40,IF(H127=10,N127*55,"포인트 열 재확인"))</f>
        <v>0</v>
      </c>
      <c r="H127" s="171"/>
      <c r="I127" s="165"/>
      <c r="J127" s="13"/>
      <c r="K127" s="13"/>
      <c r="L127" s="277"/>
      <c r="M127" s="13"/>
      <c r="N127" s="13"/>
      <c r="O127" s="163">
        <f>LEN(K127)</f>
        <v>0</v>
      </c>
      <c r="P127" s="180"/>
      <c r="Q127" s="180"/>
      <c r="R127" s="180"/>
      <c r="S127" s="180"/>
      <c r="T127" s="494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</row>
    <row r="128" spans="1:33" ht="15.750000" customHeight="1">
      <c r="B128" s="155"/>
      <c r="I128" s="165"/>
      <c r="J128" s="165"/>
      <c r="K128" s="165"/>
      <c r="L128" s="165"/>
      <c r="M128" s="165"/>
      <c r="P128" s="179"/>
      <c r="Q128" s="179"/>
      <c r="R128" s="179"/>
      <c r="S128" s="179"/>
      <c r="T128" s="179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</row>
    <row r="129" spans="1:33" ht="15.750000" customHeight="1">
      <c r="B129" s="155"/>
      <c r="I129" s="165"/>
      <c r="J129" s="165"/>
      <c r="K129" s="165"/>
      <c r="L129" s="165"/>
      <c r="M129" s="165"/>
      <c r="P129" s="180"/>
      <c r="Q129" s="180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</row>
    <row r="130" spans="1:33" ht="15.750000" customHeight="1">
      <c r="B130" s="155"/>
      <c r="I130" s="165"/>
      <c r="J130" s="165"/>
      <c r="K130" s="165"/>
      <c r="L130" s="165"/>
      <c r="M130" s="165"/>
      <c r="P130" s="179"/>
      <c r="Q130" s="179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</row>
    <row r="131" spans="1:33" ht="15.750000" customHeight="1">
      <c r="B131" s="155"/>
      <c r="I131" s="165"/>
      <c r="J131" s="165"/>
      <c r="K131" s="165"/>
      <c r="L131" s="165"/>
      <c r="M131" s="165"/>
      <c r="P131" s="180"/>
      <c r="Q131" s="180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</row>
    <row r="132" spans="1:33" ht="15.750000" customHeight="1">
      <c r="A132" s="156" t="s">
        <v>116</v>
      </c>
      <c r="B132" s="141"/>
      <c r="C132" s="493"/>
      <c r="D132" s="493"/>
      <c r="E132" s="481">
        <f>F132*120%</f>
        <v>0</v>
      </c>
      <c r="F132" s="481">
        <f>(D132-C132+1)*G132</f>
        <v>0</v>
      </c>
      <c r="G132" s="482">
        <f>IF(OR((H132=""),(H132=5)),N132*40,IF(H132=10,N132*55,"포인트 열 재확인"))</f>
        <v>0</v>
      </c>
      <c r="H132" s="160"/>
      <c r="I132" s="13"/>
      <c r="J132" s="13"/>
      <c r="K132" s="253"/>
      <c r="L132" s="277"/>
      <c r="M132" s="13"/>
      <c r="N132" s="13"/>
      <c r="O132" s="163">
        <f>LEN(K132)</f>
        <v>0</v>
      </c>
      <c r="P132" s="179"/>
      <c r="Q132" s="179"/>
      <c r="R132" s="88"/>
      <c r="S132" s="88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</row>
    <row r="133" spans="1:33" ht="15.750000" customHeight="1">
      <c r="B133" s="155"/>
      <c r="I133" s="165"/>
      <c r="J133" s="165"/>
      <c r="K133" s="165"/>
      <c r="L133" s="165"/>
      <c r="M133" s="165"/>
      <c r="P133" s="180"/>
      <c r="Q133" s="180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</row>
    <row r="134" spans="1:33" ht="15.750000" customHeight="1">
      <c r="B134" s="155"/>
      <c r="I134" s="165"/>
      <c r="J134" s="165"/>
      <c r="K134" s="165"/>
      <c r="L134" s="165"/>
      <c r="M134" s="165"/>
      <c r="P134" s="180"/>
      <c r="Q134" s="180"/>
      <c r="R134" s="180"/>
      <c r="S134" s="180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</row>
    <row r="135" spans="1:33" ht="15.750000" customHeight="1">
      <c r="B135" s="155"/>
      <c r="I135" s="165"/>
      <c r="J135" s="165"/>
      <c r="K135" s="165"/>
      <c r="L135" s="165"/>
      <c r="M135" s="165"/>
      <c r="P135" s="179"/>
      <c r="Q135" s="179"/>
      <c r="R135" s="179"/>
      <c r="S135" s="179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</row>
    <row r="136" spans="1:33" ht="15.750000" customHeight="1">
      <c r="B136" s="155"/>
      <c r="I136" s="165"/>
      <c r="J136" s="165"/>
      <c r="K136" s="165"/>
      <c r="L136" s="165"/>
      <c r="M136" s="165"/>
      <c r="P136" s="180"/>
      <c r="Q136" s="180"/>
      <c r="R136" s="180"/>
      <c r="S136" s="180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</row>
    <row r="137" spans="1:33" ht="15.750000" customHeight="1">
      <c r="A137" s="156" t="s">
        <v>116</v>
      </c>
      <c r="B137" s="141"/>
      <c r="C137" s="493"/>
      <c r="D137" s="493"/>
      <c r="E137" s="481">
        <f>F137*120%</f>
        <v>0</v>
      </c>
      <c r="F137" s="481">
        <f>(D137-C137+1)*G137</f>
        <v>0</v>
      </c>
      <c r="G137" s="482">
        <f>IF(OR((H137=""),(H137=5)),N137*40,IF(H137=10,N137*55,"포인트 열 재확인"))</f>
        <v>0</v>
      </c>
      <c r="H137" s="160"/>
      <c r="I137" s="13"/>
      <c r="J137" s="13"/>
      <c r="K137" s="165"/>
      <c r="L137" s="277"/>
      <c r="M137" s="277"/>
      <c r="N137" s="13"/>
      <c r="O137" s="163">
        <f>LEN(K137)</f>
        <v>0</v>
      </c>
      <c r="P137" s="179"/>
      <c r="Q137" s="179"/>
      <c r="S137" s="13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</row>
    <row r="138" spans="1:33" ht="15.750000" customHeight="1">
      <c r="B138" s="155"/>
      <c r="I138" s="165"/>
      <c r="J138" s="165"/>
      <c r="K138" s="165"/>
      <c r="L138" s="165"/>
      <c r="M138" s="165"/>
      <c r="P138" s="180"/>
      <c r="Q138" s="180"/>
      <c r="R138" s="180"/>
      <c r="S138" s="180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</row>
    <row r="139" spans="1:33" ht="15.750000" customHeight="1">
      <c r="B139" s="155"/>
      <c r="I139" s="165"/>
      <c r="J139" s="165"/>
      <c r="K139" s="165"/>
      <c r="L139" s="165"/>
      <c r="M139" s="165"/>
      <c r="P139" s="180"/>
      <c r="Q139" s="180"/>
      <c r="R139" s="180"/>
      <c r="S139" s="180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166"/>
    </row>
    <row r="140" spans="1:33" ht="15.750000" customHeight="1">
      <c r="B140" s="155"/>
      <c r="I140" s="165"/>
      <c r="J140" s="165"/>
      <c r="K140" s="165"/>
      <c r="L140" s="165"/>
      <c r="M140" s="165"/>
      <c r="P140" s="179"/>
      <c r="Q140" s="179"/>
      <c r="R140" s="179"/>
      <c r="S140" s="179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</row>
    <row r="141" spans="1:33" ht="15.750000" customHeight="1">
      <c r="B141" s="155"/>
      <c r="I141" s="165"/>
      <c r="J141" s="165"/>
      <c r="K141" s="165"/>
      <c r="L141" s="165"/>
      <c r="M141" s="165"/>
      <c r="P141" s="180"/>
      <c r="Q141" s="180"/>
      <c r="R141" s="180"/>
      <c r="S141" s="180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</row>
    <row r="142" spans="1:33" ht="15.750000" customHeight="1">
      <c r="A142" s="156" t="s">
        <v>116</v>
      </c>
      <c r="B142" s="141"/>
      <c r="C142" s="493"/>
      <c r="D142" s="493"/>
      <c r="E142" s="481">
        <f>F142*120%</f>
        <v>0</v>
      </c>
      <c r="F142" s="481">
        <f>(D142-C142+1)*G142</f>
        <v>0</v>
      </c>
      <c r="G142" s="482">
        <f>IF(OR((H142=""),(H142=5)),N142*40,IF(H142=10,N142*55,"포인트 열 재확인"))</f>
        <v>0</v>
      </c>
      <c r="H142" s="160"/>
      <c r="I142" s="13"/>
      <c r="J142" s="13"/>
      <c r="K142" s="13"/>
      <c r="L142" s="277"/>
      <c r="M142" s="277"/>
      <c r="N142" s="13"/>
      <c r="O142" s="163">
        <f>LEN(K142)</f>
        <v>0</v>
      </c>
      <c r="P142" s="179"/>
      <c r="Q142" s="179"/>
      <c r="R142" s="179"/>
      <c r="S142" s="13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G142" s="166"/>
    </row>
    <row r="143" spans="1:33" ht="15.750000" customHeight="1">
      <c r="B143" s="155"/>
      <c r="I143" s="165"/>
      <c r="J143" s="165"/>
      <c r="K143" s="165"/>
      <c r="L143" s="165"/>
      <c r="M143" s="165"/>
      <c r="P143" s="180"/>
      <c r="Q143" s="180"/>
      <c r="R143" s="180"/>
      <c r="S143" s="180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G143" s="166"/>
    </row>
    <row r="144" spans="1:33" ht="15.750000" customHeight="1">
      <c r="B144" s="155"/>
      <c r="I144" s="165"/>
      <c r="J144" s="165"/>
      <c r="K144" s="165"/>
      <c r="L144" s="165"/>
      <c r="M144" s="165"/>
      <c r="P144" s="180"/>
      <c r="Q144" s="180"/>
      <c r="R144" s="180"/>
      <c r="S144" s="180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66"/>
    </row>
    <row r="145" spans="1:33" ht="15.750000" customHeight="1">
      <c r="B145" s="155"/>
      <c r="I145" s="165"/>
      <c r="J145" s="165"/>
      <c r="K145" s="165"/>
      <c r="L145" s="165"/>
      <c r="M145" s="165"/>
      <c r="P145" s="179"/>
      <c r="Q145" s="179"/>
      <c r="R145" s="179"/>
      <c r="S145" s="179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G145" s="166"/>
    </row>
    <row r="146" spans="1:33" ht="15.750000" customHeight="1">
      <c r="B146" s="155"/>
      <c r="I146" s="165"/>
      <c r="J146" s="165"/>
      <c r="K146" s="165"/>
      <c r="L146" s="165"/>
      <c r="M146" s="165"/>
      <c r="P146" s="180"/>
      <c r="Q146" s="180"/>
      <c r="R146" s="180"/>
      <c r="S146" s="180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66"/>
    </row>
    <row r="147" spans="1:33" ht="15.750000" customHeight="1">
      <c r="A147" s="156" t="s">
        <v>116</v>
      </c>
      <c r="B147" s="141"/>
      <c r="C147" s="493"/>
      <c r="D147" s="493"/>
      <c r="E147" s="481">
        <f>F147*120%</f>
        <v>0</v>
      </c>
      <c r="F147" s="481">
        <f>(D147-C147+1)*G147</f>
        <v>0</v>
      </c>
      <c r="G147" s="482">
        <f>IF(OR((H147=""),(H147=5)),N147*40,IF(H147=10,N147*55,"포인트 열 재확인"))</f>
        <v>0</v>
      </c>
      <c r="H147" s="160"/>
      <c r="I147" s="13"/>
      <c r="J147" s="13"/>
      <c r="K147" s="165"/>
      <c r="L147" s="277"/>
      <c r="M147" s="277"/>
      <c r="N147" s="13"/>
      <c r="O147" s="163">
        <f>LEN(K147)</f>
        <v>0</v>
      </c>
      <c r="P147" s="179"/>
      <c r="Q147" s="179"/>
      <c r="R147" s="179"/>
      <c r="S147" s="13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  <c r="AG147" s="166"/>
    </row>
    <row r="148" spans="1:33" ht="15.750000" customHeight="1">
      <c r="B148" s="155"/>
      <c r="I148" s="165"/>
      <c r="J148" s="165"/>
      <c r="K148" s="165"/>
      <c r="L148" s="165"/>
      <c r="M148" s="165"/>
      <c r="P148" s="180"/>
      <c r="Q148" s="180"/>
      <c r="R148" s="180"/>
      <c r="S148" s="180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66"/>
    </row>
    <row r="149" spans="1:33" ht="15.750000" customHeight="1">
      <c r="B149" s="155"/>
      <c r="I149" s="165"/>
      <c r="J149" s="165"/>
      <c r="K149" s="165"/>
      <c r="L149" s="165"/>
      <c r="M149" s="165"/>
      <c r="P149" s="180"/>
      <c r="Q149" s="180"/>
      <c r="R149" s="180"/>
      <c r="S149" s="180"/>
      <c r="T149" s="166"/>
      <c r="U149" s="166"/>
      <c r="V149" s="166"/>
      <c r="W149" s="166"/>
      <c r="X149" s="166"/>
      <c r="Y149" s="166"/>
      <c r="Z149" s="166"/>
      <c r="AA149" s="166"/>
      <c r="AB149" s="166"/>
      <c r="AC149" s="166"/>
      <c r="AD149" s="166"/>
      <c r="AE149" s="166"/>
      <c r="AF149" s="166"/>
      <c r="AG149" s="166"/>
    </row>
    <row r="150" spans="1:33" ht="15.750000" customHeight="1">
      <c r="B150" s="155"/>
      <c r="I150" s="165"/>
      <c r="J150" s="165"/>
      <c r="K150" s="165"/>
      <c r="L150" s="165"/>
      <c r="M150" s="165"/>
      <c r="P150" s="179"/>
      <c r="Q150" s="179"/>
      <c r="R150" s="179"/>
      <c r="S150" s="179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  <c r="AG150" s="166"/>
    </row>
    <row r="151" spans="1:33" ht="15.750000" customHeight="1">
      <c r="B151" s="155"/>
      <c r="I151" s="165"/>
      <c r="J151" s="165"/>
      <c r="K151" s="165"/>
      <c r="L151" s="165"/>
      <c r="M151" s="165"/>
      <c r="P151" s="180"/>
      <c r="Q151" s="180"/>
      <c r="R151" s="180"/>
      <c r="S151" s="180"/>
      <c r="T151" s="166"/>
      <c r="U151" s="166"/>
      <c r="V151" s="166"/>
      <c r="W151" s="166"/>
      <c r="X151" s="166"/>
      <c r="Y151" s="166"/>
      <c r="Z151" s="166"/>
      <c r="AA151" s="166"/>
      <c r="AB151" s="166"/>
      <c r="AC151" s="166"/>
      <c r="AD151" s="166"/>
      <c r="AE151" s="166"/>
      <c r="AF151" s="166"/>
      <c r="AG151" s="166"/>
    </row>
    <row r="152" spans="1:33" ht="15.750000" customHeight="1">
      <c r="A152" s="156" t="s">
        <v>116</v>
      </c>
      <c r="B152" s="141"/>
      <c r="C152" s="493"/>
      <c r="D152" s="493"/>
      <c r="E152" s="481">
        <f>F152*120%</f>
        <v>0</v>
      </c>
      <c r="F152" s="481">
        <f>(D152-C152+1)*G152</f>
        <v>0</v>
      </c>
      <c r="G152" s="482">
        <f>IF(OR((H152=""),(H152=5)),N152*40,IF(H152=10,N152*55,"포인트 열 재확인"))</f>
        <v>0</v>
      </c>
      <c r="H152" s="160"/>
      <c r="I152" s="13"/>
      <c r="J152" s="13"/>
      <c r="K152" s="165"/>
      <c r="L152" s="277"/>
      <c r="M152" s="277"/>
      <c r="N152" s="13"/>
      <c r="O152" s="163">
        <f>LEN(K152)</f>
        <v>0</v>
      </c>
      <c r="P152" s="179"/>
      <c r="Q152" s="179"/>
      <c r="R152" s="179"/>
      <c r="S152" s="13"/>
      <c r="T152" s="166"/>
      <c r="U152" s="166"/>
      <c r="V152" s="166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6"/>
      <c r="AG152" s="166"/>
    </row>
    <row r="153" spans="1:33" ht="15.750000" customHeight="1">
      <c r="B153" s="155"/>
      <c r="I153" s="13"/>
      <c r="J153" s="13"/>
      <c r="K153" s="165"/>
      <c r="L153" s="277"/>
      <c r="M153" s="277"/>
      <c r="P153" s="180"/>
      <c r="Q153" s="180"/>
      <c r="R153" s="180"/>
      <c r="S153" s="182"/>
      <c r="T153" s="166"/>
      <c r="U153" s="166"/>
      <c r="V153" s="166"/>
      <c r="W153" s="166"/>
      <c r="X153" s="166"/>
      <c r="Y153" s="166"/>
      <c r="Z153" s="166"/>
      <c r="AA153" s="166"/>
      <c r="AB153" s="166"/>
      <c r="AC153" s="166"/>
      <c r="AD153" s="166"/>
      <c r="AE153" s="166"/>
      <c r="AF153" s="166"/>
      <c r="AG153" s="166"/>
    </row>
    <row r="154" spans="1:33" ht="15.750000" customHeight="1">
      <c r="B154" s="155"/>
      <c r="I154" s="165"/>
      <c r="J154" s="165"/>
      <c r="K154" s="165"/>
      <c r="L154" s="165"/>
      <c r="M154" s="165"/>
      <c r="P154" s="180"/>
      <c r="Q154" s="180"/>
      <c r="R154" s="180"/>
      <c r="S154" s="180"/>
      <c r="T154" s="166"/>
      <c r="U154" s="166"/>
      <c r="V154" s="166"/>
      <c r="W154" s="166"/>
      <c r="X154" s="166"/>
      <c r="Y154" s="166"/>
      <c r="Z154" s="166"/>
      <c r="AA154" s="166"/>
      <c r="AB154" s="166"/>
      <c r="AC154" s="166"/>
      <c r="AD154" s="166"/>
      <c r="AE154" s="166"/>
      <c r="AF154" s="166"/>
      <c r="AG154" s="166"/>
    </row>
    <row r="155" spans="1:33" ht="15.750000" customHeight="1">
      <c r="B155" s="155"/>
      <c r="I155" s="165"/>
      <c r="J155" s="165"/>
      <c r="K155" s="165"/>
      <c r="L155" s="165"/>
      <c r="M155" s="165"/>
      <c r="P155" s="179"/>
      <c r="Q155" s="179"/>
      <c r="R155" s="179"/>
      <c r="S155" s="179"/>
      <c r="T155" s="166"/>
      <c r="U155" s="166"/>
      <c r="V155" s="166"/>
      <c r="W155" s="166"/>
      <c r="X155" s="166"/>
      <c r="Y155" s="166"/>
      <c r="Z155" s="166"/>
      <c r="AA155" s="166"/>
      <c r="AB155" s="166"/>
      <c r="AC155" s="166"/>
      <c r="AD155" s="166"/>
      <c r="AE155" s="166"/>
      <c r="AF155" s="166"/>
      <c r="AG155" s="166"/>
    </row>
    <row r="156" spans="1:33" ht="15.750000" customHeight="1">
      <c r="B156" s="155"/>
      <c r="I156" s="165"/>
      <c r="J156" s="165"/>
      <c r="K156" s="165"/>
      <c r="L156" s="165"/>
      <c r="M156" s="165"/>
      <c r="P156" s="180"/>
      <c r="Q156" s="180"/>
      <c r="R156" s="180"/>
      <c r="S156" s="180"/>
      <c r="T156" s="166"/>
      <c r="U156" s="166"/>
      <c r="V156" s="166"/>
      <c r="W156" s="166"/>
      <c r="X156" s="166"/>
      <c r="Y156" s="166"/>
      <c r="Z156" s="166"/>
      <c r="AA156" s="166"/>
      <c r="AB156" s="166"/>
      <c r="AC156" s="166"/>
      <c r="AD156" s="166"/>
      <c r="AE156" s="166"/>
      <c r="AF156" s="166"/>
      <c r="AG156" s="166"/>
    </row>
    <row r="157" spans="1:33" ht="15.750000" customHeight="1">
      <c r="A157" s="156" t="s">
        <v>116</v>
      </c>
      <c r="B157" s="141"/>
      <c r="C157" s="493"/>
      <c r="D157" s="493"/>
      <c r="E157" s="481">
        <f>F157*120%</f>
        <v>0</v>
      </c>
      <c r="F157" s="481">
        <f>(D157-C157+1)*G157</f>
        <v>0</v>
      </c>
      <c r="G157" s="482">
        <f>IF(OR((H157=""),(H157=5)),N157*40,IF(H157=10,N157*55,"포인트 열 재확인"))</f>
        <v>0</v>
      </c>
      <c r="H157" s="160"/>
      <c r="I157" s="13"/>
      <c r="J157" s="13"/>
      <c r="K157" s="165"/>
      <c r="L157" s="277"/>
      <c r="M157" s="13"/>
      <c r="N157" s="13"/>
      <c r="O157" s="163">
        <f>LEN(K157)</f>
        <v>0</v>
      </c>
      <c r="P157" s="179"/>
      <c r="Q157" s="179"/>
      <c r="R157" s="179"/>
      <c r="S157" s="13"/>
      <c r="T157" s="166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6"/>
      <c r="AG157" s="166"/>
    </row>
    <row r="158" spans="1:33" ht="15.750000" customHeight="1">
      <c r="B158" s="155"/>
      <c r="I158" s="165"/>
      <c r="J158" s="165"/>
      <c r="K158" s="165"/>
      <c r="L158" s="165"/>
      <c r="M158" s="165"/>
      <c r="P158" s="180"/>
      <c r="Q158" s="180"/>
      <c r="R158" s="180"/>
      <c r="S158" s="180"/>
      <c r="T158" s="166"/>
      <c r="U158" s="166"/>
      <c r="V158" s="166"/>
      <c r="W158" s="166"/>
      <c r="X158" s="166"/>
      <c r="Y158" s="166"/>
      <c r="Z158" s="166"/>
      <c r="AA158" s="166"/>
      <c r="AB158" s="166"/>
      <c r="AC158" s="166"/>
      <c r="AD158" s="166"/>
      <c r="AE158" s="166"/>
      <c r="AF158" s="166"/>
      <c r="AG158" s="166"/>
    </row>
    <row r="159" spans="1:33" ht="15.750000" customHeight="1">
      <c r="B159" s="155"/>
      <c r="I159" s="165"/>
      <c r="J159" s="165"/>
      <c r="K159" s="165"/>
      <c r="L159" s="165"/>
      <c r="M159" s="165"/>
      <c r="P159" s="180"/>
      <c r="Q159" s="180"/>
      <c r="R159" s="180"/>
      <c r="S159" s="180"/>
      <c r="T159" s="180"/>
      <c r="U159" s="166"/>
      <c r="V159" s="166"/>
      <c r="W159" s="166"/>
      <c r="X159" s="166"/>
      <c r="Y159" s="166"/>
      <c r="Z159" s="166"/>
      <c r="AA159" s="166"/>
      <c r="AB159" s="166"/>
      <c r="AC159" s="166"/>
      <c r="AD159" s="166"/>
      <c r="AE159" s="166"/>
      <c r="AF159" s="166"/>
      <c r="AG159" s="166"/>
    </row>
    <row r="160" spans="1:33" ht="15.750000" customHeight="1">
      <c r="B160" s="155"/>
      <c r="I160" s="165"/>
      <c r="J160" s="165"/>
      <c r="K160" s="165"/>
      <c r="L160" s="165"/>
      <c r="M160" s="165"/>
      <c r="P160" s="179"/>
      <c r="Q160" s="179"/>
      <c r="R160" s="179"/>
      <c r="S160" s="179"/>
      <c r="T160" s="179"/>
      <c r="U160" s="166"/>
      <c r="V160" s="166"/>
      <c r="W160" s="166"/>
      <c r="X160" s="166"/>
      <c r="Y160" s="166"/>
      <c r="Z160" s="166"/>
      <c r="AA160" s="166"/>
      <c r="AB160" s="166"/>
      <c r="AC160" s="166"/>
      <c r="AD160" s="166"/>
      <c r="AE160" s="166"/>
      <c r="AF160" s="166"/>
      <c r="AG160" s="166"/>
    </row>
    <row r="161" spans="1:33" ht="15.750000" customHeight="1">
      <c r="B161" s="155"/>
      <c r="I161" s="165"/>
      <c r="J161" s="165"/>
      <c r="K161" s="165"/>
      <c r="L161" s="165"/>
      <c r="M161" s="165"/>
      <c r="P161" s="180"/>
      <c r="Q161" s="180"/>
      <c r="R161" s="180"/>
      <c r="S161" s="180"/>
      <c r="T161" s="180"/>
      <c r="U161" s="166"/>
      <c r="V161" s="166"/>
      <c r="W161" s="166"/>
      <c r="X161" s="166"/>
      <c r="Y161" s="166"/>
      <c r="Z161" s="166"/>
      <c r="AA161" s="166"/>
      <c r="AB161" s="166"/>
      <c r="AC161" s="166"/>
      <c r="AD161" s="166"/>
      <c r="AE161" s="166"/>
      <c r="AF161" s="166"/>
      <c r="AG161" s="166"/>
    </row>
    <row r="162" spans="1:33" ht="15.750000" customHeight="1">
      <c r="A162" s="156" t="s">
        <v>116</v>
      </c>
      <c r="B162" s="141"/>
      <c r="C162" s="493"/>
      <c r="D162" s="493"/>
      <c r="E162" s="481">
        <f>F162*120%</f>
        <v>0</v>
      </c>
      <c r="F162" s="481">
        <f>(D162-C162+1)*G162</f>
        <v>0</v>
      </c>
      <c r="G162" s="482">
        <f>IF(OR((H162=""),(H162=5)),N162*40,IF(H162=10,N162*55,"포인트 열 재확인"))</f>
        <v>0</v>
      </c>
      <c r="H162" s="160"/>
      <c r="I162" s="419"/>
      <c r="J162" s="13"/>
      <c r="K162" s="165"/>
      <c r="L162" s="13"/>
      <c r="M162" s="13"/>
      <c r="N162" s="13"/>
      <c r="O162" s="163">
        <f>LEN(K162)</f>
        <v>0</v>
      </c>
      <c r="P162" s="179"/>
      <c r="Q162" s="179"/>
      <c r="R162" s="179"/>
      <c r="S162" s="179"/>
      <c r="T162" s="179"/>
      <c r="U162" s="166"/>
      <c r="V162" s="166"/>
      <c r="W162" s="166"/>
      <c r="X162" s="166"/>
      <c r="Y162" s="166"/>
      <c r="Z162" s="166"/>
      <c r="AA162" s="166"/>
      <c r="AB162" s="166"/>
      <c r="AC162" s="166"/>
      <c r="AD162" s="166"/>
      <c r="AE162" s="166"/>
      <c r="AF162" s="166"/>
      <c r="AG162" s="166"/>
    </row>
    <row r="163" spans="1:33" ht="15.750000" customHeight="1">
      <c r="B163" s="155"/>
      <c r="I163" s="495"/>
      <c r="J163" s="165"/>
      <c r="K163" s="165"/>
      <c r="L163" s="165"/>
      <c r="M163" s="165"/>
      <c r="P163" s="180"/>
      <c r="Q163" s="180"/>
      <c r="R163" s="180"/>
      <c r="S163" s="180"/>
      <c r="T163" s="180"/>
      <c r="U163" s="166"/>
      <c r="V163" s="166"/>
      <c r="W163" s="166"/>
      <c r="X163" s="166"/>
      <c r="Y163" s="166"/>
      <c r="Z163" s="166"/>
      <c r="AA163" s="166"/>
      <c r="AB163" s="166"/>
      <c r="AC163" s="166"/>
      <c r="AD163" s="166"/>
      <c r="AE163" s="166"/>
      <c r="AF163" s="166"/>
      <c r="AG163" s="166"/>
    </row>
    <row r="164" spans="1:33" ht="15.750000" customHeight="1">
      <c r="B164" s="155"/>
      <c r="I164" s="495"/>
      <c r="J164" s="165"/>
      <c r="K164" s="165"/>
      <c r="L164" s="165"/>
      <c r="M164" s="165"/>
      <c r="P164" s="180"/>
      <c r="Q164" s="180"/>
      <c r="R164" s="180"/>
      <c r="S164" s="180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6"/>
      <c r="AG164" s="166"/>
    </row>
    <row r="165" spans="1:33" ht="15.750000" customHeight="1">
      <c r="B165" s="155"/>
      <c r="I165" s="495"/>
      <c r="J165" s="165"/>
      <c r="K165" s="165"/>
      <c r="L165" s="165"/>
      <c r="M165" s="165"/>
      <c r="P165" s="179"/>
      <c r="Q165" s="179"/>
      <c r="R165" s="179"/>
      <c r="S165" s="179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6"/>
      <c r="AG165" s="166"/>
    </row>
    <row r="166" spans="1:33" ht="15.750000" customHeight="1">
      <c r="B166" s="155"/>
      <c r="I166" s="495"/>
      <c r="J166" s="165"/>
      <c r="K166" s="165"/>
      <c r="L166" s="165"/>
      <c r="M166" s="165"/>
      <c r="P166" s="180"/>
      <c r="Q166" s="180"/>
      <c r="R166" s="180"/>
      <c r="S166" s="180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6"/>
      <c r="AG166" s="166"/>
    </row>
    <row r="167" spans="1:33" ht="15.750000" customHeight="1">
      <c r="A167" s="156" t="s">
        <v>116</v>
      </c>
      <c r="B167" s="141"/>
      <c r="C167" s="493"/>
      <c r="D167" s="493"/>
      <c r="E167" s="481">
        <f>F167*120%</f>
        <v>0</v>
      </c>
      <c r="F167" s="481">
        <f>(D167-C167+1)*G167</f>
        <v>0</v>
      </c>
      <c r="G167" s="482">
        <f>IF(OR((H167=""),(H167=5)),N167*40,IF(H167=10,N167*55,"포인트 열 재확인"))</f>
        <v>0</v>
      </c>
      <c r="H167" s="160"/>
      <c r="I167" s="419"/>
      <c r="J167" s="13"/>
      <c r="K167" s="165"/>
      <c r="L167" s="13"/>
      <c r="M167" s="13"/>
      <c r="N167" s="13"/>
      <c r="O167" s="163">
        <f>LEN(K167)</f>
        <v>0</v>
      </c>
      <c r="P167" s="179"/>
      <c r="Q167" s="179"/>
      <c r="R167" s="179"/>
      <c r="S167" s="179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6"/>
      <c r="AG167" s="166"/>
    </row>
    <row r="168" spans="1:33" ht="15.750000" customHeight="1">
      <c r="B168" s="155"/>
      <c r="I168" s="495"/>
      <c r="J168" s="165"/>
      <c r="K168" s="165"/>
      <c r="L168" s="165"/>
      <c r="M168" s="165"/>
      <c r="P168" s="180"/>
      <c r="Q168" s="180"/>
      <c r="R168" s="180"/>
      <c r="S168" s="180"/>
      <c r="T168" s="166"/>
      <c r="U168" s="166"/>
      <c r="V168" s="166"/>
      <c r="W168" s="166"/>
      <c r="X168" s="166"/>
      <c r="Y168" s="166"/>
      <c r="Z168" s="166"/>
      <c r="AA168" s="166"/>
      <c r="AB168" s="166"/>
      <c r="AC168" s="166"/>
      <c r="AD168" s="166"/>
      <c r="AE168" s="166"/>
      <c r="AF168" s="166"/>
      <c r="AG168" s="166"/>
    </row>
    <row r="169" spans="1:33" ht="15.750000" customHeight="1">
      <c r="B169" s="155"/>
      <c r="I169" s="495"/>
      <c r="J169" s="165"/>
      <c r="K169" s="165"/>
      <c r="L169" s="165"/>
      <c r="M169" s="165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6"/>
    </row>
    <row r="170" spans="1:33" ht="15.750000" customHeight="1">
      <c r="B170" s="155"/>
      <c r="I170" s="257"/>
      <c r="J170" s="165"/>
      <c r="K170" s="165"/>
      <c r="L170" s="165"/>
      <c r="M170" s="165"/>
      <c r="P170" s="489"/>
      <c r="Q170" s="179"/>
      <c r="R170" s="179"/>
      <c r="S170" s="179"/>
      <c r="T170" s="166"/>
      <c r="U170" s="166"/>
      <c r="V170" s="166"/>
      <c r="W170" s="166"/>
      <c r="X170" s="166"/>
      <c r="Y170" s="166"/>
      <c r="Z170" s="166"/>
      <c r="AA170" s="166"/>
      <c r="AB170" s="166"/>
      <c r="AC170" s="166"/>
      <c r="AD170" s="166"/>
      <c r="AE170" s="166"/>
      <c r="AF170" s="166"/>
      <c r="AG170" s="166"/>
    </row>
    <row r="171" spans="1:33" ht="15.750000" customHeight="1">
      <c r="B171" s="155"/>
      <c r="I171" s="257"/>
      <c r="J171" s="165"/>
      <c r="K171" s="165"/>
      <c r="L171" s="165"/>
      <c r="M171" s="165"/>
      <c r="P171" s="488"/>
      <c r="Q171" s="180"/>
      <c r="R171" s="180"/>
      <c r="S171" s="180"/>
      <c r="T171" s="166"/>
      <c r="U171" s="166"/>
      <c r="V171" s="166"/>
      <c r="W171" s="166"/>
      <c r="X171" s="166"/>
      <c r="Y171" s="166"/>
      <c r="Z171" s="166"/>
      <c r="AA171" s="166"/>
      <c r="AB171" s="166"/>
      <c r="AC171" s="166"/>
      <c r="AD171" s="166"/>
      <c r="AE171" s="166"/>
      <c r="AF171" s="166"/>
      <c r="AG171" s="166"/>
    </row>
    <row r="172" spans="1:33" ht="15.750000" customHeight="1">
      <c r="A172" s="156" t="s">
        <v>116</v>
      </c>
      <c r="B172" s="141"/>
      <c r="C172" s="496"/>
      <c r="D172" s="496"/>
      <c r="E172" s="481">
        <f>F172*120%</f>
        <v>0</v>
      </c>
      <c r="F172" s="481">
        <f>(D172-C172+1)*G172</f>
        <v>0</v>
      </c>
      <c r="G172" s="482">
        <f>IF(OR((H172=""),(H172=5)),N172*40,IF(H172=10,N172*55,"포인트 열 재확인"))</f>
        <v>0</v>
      </c>
      <c r="H172" s="160"/>
      <c r="I172" s="257"/>
      <c r="J172" s="13"/>
      <c r="K172" s="165"/>
      <c r="L172" s="13"/>
      <c r="M172" s="13"/>
      <c r="N172" s="13"/>
      <c r="O172" s="163">
        <f>LEN(K172)</f>
        <v>0</v>
      </c>
      <c r="P172" s="179"/>
      <c r="Q172" s="179"/>
      <c r="R172" s="179"/>
      <c r="S172" s="179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  <c r="AD172" s="166"/>
      <c r="AE172" s="166"/>
      <c r="AF172" s="166"/>
      <c r="AG172" s="166"/>
    </row>
    <row r="173" spans="1:33" ht="15.750000" customHeight="1">
      <c r="B173" s="155"/>
      <c r="I173" s="257"/>
      <c r="J173" s="165"/>
      <c r="K173" s="165"/>
      <c r="L173" s="165"/>
      <c r="M173" s="165"/>
      <c r="P173" s="488"/>
      <c r="Q173" s="180"/>
      <c r="R173" s="180"/>
      <c r="S173" s="180"/>
      <c r="T173" s="166"/>
      <c r="U173" s="166"/>
      <c r="V173" s="166"/>
      <c r="W173" s="166"/>
      <c r="X173" s="166"/>
      <c r="Y173" s="166"/>
      <c r="Z173" s="166"/>
      <c r="AA173" s="166"/>
      <c r="AB173" s="166"/>
      <c r="AC173" s="166"/>
      <c r="AD173" s="166"/>
      <c r="AE173" s="166"/>
      <c r="AF173" s="166"/>
      <c r="AG173" s="166"/>
    </row>
    <row r="174" spans="1:33" ht="15.750000" customHeight="1">
      <c r="B174" s="155"/>
      <c r="I174" s="257"/>
      <c r="J174" s="165"/>
      <c r="K174" s="165"/>
      <c r="L174" s="165"/>
      <c r="M174" s="165"/>
      <c r="P174" s="489"/>
      <c r="Q174" s="179"/>
      <c r="R174" s="179"/>
      <c r="S174" s="179"/>
      <c r="T174" s="166"/>
      <c r="U174" s="166"/>
      <c r="V174" s="166"/>
      <c r="W174" s="166"/>
      <c r="X174" s="166"/>
      <c r="Y174" s="166"/>
      <c r="Z174" s="166"/>
      <c r="AA174" s="166"/>
      <c r="AB174" s="166"/>
      <c r="AC174" s="166"/>
      <c r="AD174" s="166"/>
      <c r="AE174" s="166"/>
      <c r="AF174" s="166"/>
      <c r="AG174" s="166"/>
    </row>
    <row r="175" spans="1:33" ht="15.750000" customHeight="1">
      <c r="B175" s="155"/>
      <c r="I175" s="257"/>
      <c r="J175" s="165"/>
      <c r="K175" s="165"/>
      <c r="L175" s="165"/>
      <c r="M175" s="165"/>
      <c r="P175" s="488"/>
      <c r="Q175" s="180"/>
      <c r="R175" s="180"/>
      <c r="S175" s="180"/>
      <c r="T175" s="166"/>
      <c r="U175" s="166"/>
      <c r="V175" s="166"/>
      <c r="W175" s="166"/>
      <c r="X175" s="166"/>
      <c r="Y175" s="166"/>
      <c r="Z175" s="166"/>
      <c r="AA175" s="166"/>
      <c r="AB175" s="166"/>
      <c r="AC175" s="166"/>
      <c r="AD175" s="166"/>
      <c r="AE175" s="166"/>
      <c r="AF175" s="166"/>
      <c r="AG175" s="166"/>
    </row>
    <row r="176" spans="1:33" ht="15.750000" customHeight="1">
      <c r="B176" s="155"/>
      <c r="I176" s="257"/>
      <c r="J176" s="165"/>
      <c r="K176" s="165"/>
      <c r="L176" s="165"/>
      <c r="M176" s="165"/>
      <c r="P176" s="489"/>
      <c r="Q176" s="179"/>
      <c r="R176" s="179"/>
      <c r="S176" s="179"/>
      <c r="T176" s="166"/>
      <c r="U176" s="166"/>
      <c r="V176" s="166"/>
      <c r="W176" s="166"/>
      <c r="X176" s="166"/>
      <c r="Y176" s="166"/>
      <c r="Z176" s="166"/>
      <c r="AA176" s="166"/>
      <c r="AB176" s="166"/>
      <c r="AC176" s="166"/>
      <c r="AD176" s="166"/>
      <c r="AE176" s="166"/>
      <c r="AF176" s="166"/>
      <c r="AG176" s="166"/>
    </row>
    <row r="177" spans="1:33" ht="15.750000" customHeight="1">
      <c r="A177" s="156" t="s">
        <v>116</v>
      </c>
      <c r="B177" s="141"/>
      <c r="C177" s="470"/>
      <c r="D177" s="470"/>
      <c r="E177" s="481">
        <f>F177*120%</f>
        <v>0</v>
      </c>
      <c r="F177" s="481">
        <f>(D177-C177+1)*G177</f>
        <v>0</v>
      </c>
      <c r="G177" s="482">
        <f>IF(OR((H177=""),(H177=5)),N177*40,IF(H177=10,N177*55,"포인트 열 재확인"))</f>
        <v>0</v>
      </c>
      <c r="H177" s="171"/>
      <c r="I177" s="257"/>
      <c r="J177" s="13"/>
      <c r="K177" s="165"/>
      <c r="L177" s="13"/>
      <c r="M177" s="13"/>
      <c r="N177" s="13"/>
      <c r="O177" s="163">
        <f>LEN(K177)</f>
        <v>0</v>
      </c>
      <c r="P177" s="180"/>
      <c r="Q177" s="180"/>
      <c r="R177" s="180"/>
      <c r="S177" s="180"/>
      <c r="T177" s="166"/>
      <c r="U177" s="166"/>
      <c r="V177" s="166"/>
      <c r="W177" s="166"/>
      <c r="X177" s="166"/>
      <c r="Y177" s="166"/>
      <c r="Z177" s="166"/>
      <c r="AA177" s="166"/>
      <c r="AB177" s="166"/>
      <c r="AC177" s="166"/>
      <c r="AD177" s="166"/>
      <c r="AE177" s="166"/>
      <c r="AF177" s="166"/>
      <c r="AG177" s="166"/>
    </row>
    <row r="178" spans="1:33" ht="15.750000" customHeight="1">
      <c r="B178" s="155"/>
      <c r="I178" s="257"/>
      <c r="J178" s="165"/>
      <c r="K178" s="165"/>
      <c r="L178" s="165"/>
      <c r="M178" s="165"/>
      <c r="P178" s="489"/>
      <c r="Q178" s="179"/>
      <c r="R178" s="179"/>
      <c r="S178" s="179"/>
      <c r="T178" s="166"/>
      <c r="U178" s="166"/>
      <c r="V178" s="166"/>
      <c r="W178" s="166"/>
      <c r="X178" s="166"/>
      <c r="Y178" s="166"/>
      <c r="Z178" s="166"/>
      <c r="AA178" s="166"/>
      <c r="AB178" s="166"/>
      <c r="AC178" s="166"/>
      <c r="AD178" s="166"/>
      <c r="AE178" s="166"/>
      <c r="AF178" s="166"/>
      <c r="AG178" s="166"/>
    </row>
    <row r="179" spans="1:33" ht="15.750000" customHeight="1">
      <c r="B179" s="155"/>
      <c r="I179" s="257"/>
      <c r="J179" s="165"/>
      <c r="K179" s="165"/>
      <c r="L179" s="165"/>
      <c r="M179" s="165"/>
      <c r="P179" s="488"/>
      <c r="Q179" s="180"/>
      <c r="R179" s="180"/>
      <c r="S179" s="180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  <c r="AD179" s="166"/>
      <c r="AE179" s="166"/>
      <c r="AF179" s="166"/>
      <c r="AG179" s="166"/>
    </row>
    <row r="180" spans="1:33" ht="15.750000" customHeight="1">
      <c r="B180" s="155"/>
      <c r="I180" s="495"/>
      <c r="J180" s="165"/>
      <c r="K180" s="165"/>
      <c r="L180" s="165"/>
      <c r="M180" s="165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6"/>
    </row>
    <row r="181" spans="1:33" ht="15.750000" customHeight="1">
      <c r="B181" s="155"/>
      <c r="I181" s="495"/>
      <c r="J181" s="165"/>
      <c r="K181" s="165"/>
      <c r="L181" s="165"/>
      <c r="M181" s="165"/>
      <c r="P181" s="180"/>
      <c r="Q181" s="180"/>
      <c r="R181" s="180"/>
      <c r="S181" s="180"/>
      <c r="T181" s="166"/>
      <c r="U181" s="166"/>
      <c r="V181" s="166"/>
      <c r="W181" s="166"/>
      <c r="X181" s="166"/>
      <c r="Y181" s="166"/>
      <c r="Z181" s="166"/>
      <c r="AA181" s="166"/>
      <c r="AB181" s="166"/>
      <c r="AC181" s="166"/>
      <c r="AD181" s="166"/>
      <c r="AE181" s="166"/>
      <c r="AF181" s="166"/>
      <c r="AG181" s="166"/>
    </row>
    <row r="182" spans="1:33" ht="15.750000" customHeight="1">
      <c r="A182" s="156" t="s">
        <v>116</v>
      </c>
      <c r="B182" s="141"/>
      <c r="C182" s="493"/>
      <c r="D182" s="493"/>
      <c r="E182" s="481">
        <f>F182*120%</f>
        <v>0</v>
      </c>
      <c r="F182" s="481">
        <f>(D182-C182+1)*G182</f>
        <v>0</v>
      </c>
      <c r="G182" s="482">
        <f>IF(OR((H182=""),(H182=5)),N182*40,IF(H182=10,N182*55,"포인트 열 재확인"))</f>
        <v>0</v>
      </c>
      <c r="H182" s="160"/>
      <c r="I182" s="162"/>
      <c r="J182" s="13"/>
      <c r="K182" s="165"/>
      <c r="L182" s="13"/>
      <c r="M182" s="162"/>
      <c r="N182" s="13"/>
      <c r="O182" s="163">
        <f>LEN(K182)</f>
        <v>0</v>
      </c>
      <c r="P182" s="179"/>
      <c r="Q182" s="179"/>
      <c r="R182" s="179"/>
      <c r="S182" s="179"/>
      <c r="T182" s="166"/>
      <c r="U182" s="166"/>
      <c r="V182" s="166"/>
      <c r="W182" s="166"/>
      <c r="X182" s="166"/>
      <c r="Y182" s="166"/>
      <c r="Z182" s="166"/>
      <c r="AA182" s="166"/>
      <c r="AB182" s="166"/>
      <c r="AC182" s="166"/>
      <c r="AD182" s="166"/>
      <c r="AE182" s="166"/>
      <c r="AF182" s="166"/>
      <c r="AG182" s="166"/>
    </row>
    <row r="183" spans="1:33" ht="15.750000" customHeight="1">
      <c r="B183" s="155"/>
      <c r="I183" s="495"/>
      <c r="J183" s="165"/>
      <c r="K183" s="165"/>
      <c r="L183" s="165"/>
      <c r="M183" s="165"/>
      <c r="P183" s="180"/>
      <c r="Q183" s="180"/>
      <c r="R183" s="180"/>
      <c r="S183" s="180"/>
      <c r="T183" s="166"/>
      <c r="U183" s="166"/>
      <c r="V183" s="166"/>
      <c r="W183" s="166"/>
      <c r="X183" s="166"/>
      <c r="Y183" s="166"/>
      <c r="Z183" s="166"/>
      <c r="AA183" s="166"/>
      <c r="AB183" s="166"/>
      <c r="AC183" s="166"/>
      <c r="AD183" s="166"/>
      <c r="AE183" s="166"/>
      <c r="AF183" s="166"/>
      <c r="AG183" s="166"/>
    </row>
    <row r="184" spans="1:33" ht="15.750000" customHeight="1">
      <c r="B184" s="155"/>
      <c r="I184" s="495"/>
      <c r="J184" s="165"/>
      <c r="K184" s="165"/>
      <c r="L184" s="165"/>
      <c r="M184" s="165"/>
      <c r="P184" s="179"/>
      <c r="Q184" s="179"/>
      <c r="R184" s="179"/>
      <c r="S184" s="179"/>
      <c r="T184" s="166"/>
      <c r="U184" s="166"/>
      <c r="V184" s="166"/>
      <c r="W184" s="166"/>
      <c r="X184" s="166"/>
      <c r="Y184" s="166"/>
      <c r="Z184" s="166"/>
      <c r="AA184" s="166"/>
      <c r="AB184" s="166"/>
      <c r="AC184" s="166"/>
      <c r="AD184" s="166"/>
      <c r="AE184" s="166"/>
      <c r="AF184" s="166"/>
      <c r="AG184" s="166"/>
    </row>
    <row r="185" spans="1:33" ht="15.750000" customHeight="1">
      <c r="B185" s="155"/>
      <c r="I185" s="495"/>
      <c r="J185" s="165"/>
      <c r="K185" s="165"/>
      <c r="L185" s="165"/>
      <c r="M185" s="165"/>
      <c r="P185" s="180"/>
      <c r="Q185" s="180"/>
      <c r="R185" s="180"/>
      <c r="S185" s="180"/>
      <c r="T185" s="166"/>
      <c r="U185" s="166"/>
      <c r="V185" s="166"/>
      <c r="W185" s="166"/>
      <c r="X185" s="166"/>
      <c r="Y185" s="166"/>
      <c r="Z185" s="166"/>
      <c r="AA185" s="166"/>
      <c r="AB185" s="166"/>
      <c r="AC185" s="166"/>
      <c r="AD185" s="166"/>
      <c r="AE185" s="166"/>
      <c r="AF185" s="166"/>
      <c r="AG185" s="166"/>
    </row>
    <row r="186" spans="1:33" ht="15.750000" customHeight="1">
      <c r="B186" s="155"/>
      <c r="I186" s="495"/>
      <c r="J186" s="165"/>
      <c r="K186" s="165"/>
      <c r="L186" s="165"/>
      <c r="M186" s="165"/>
      <c r="P186" s="180"/>
      <c r="Q186" s="180"/>
      <c r="R186" s="180"/>
      <c r="S186" s="180"/>
      <c r="T186" s="166"/>
      <c r="U186" s="166"/>
      <c r="V186" s="166"/>
      <c r="W186" s="166"/>
      <c r="X186" s="166"/>
      <c r="Y186" s="166"/>
      <c r="Z186" s="166"/>
      <c r="AA186" s="166"/>
      <c r="AB186" s="166"/>
      <c r="AC186" s="166"/>
      <c r="AD186" s="166"/>
      <c r="AE186" s="166"/>
      <c r="AF186" s="166"/>
      <c r="AG186" s="166"/>
    </row>
    <row r="187" spans="1:33" ht="15.750000" customHeight="1">
      <c r="A187" s="156" t="s">
        <v>116</v>
      </c>
      <c r="B187" s="141"/>
      <c r="C187" s="493"/>
      <c r="D187" s="493"/>
      <c r="E187" s="481">
        <f>F187*120%</f>
        <v>0</v>
      </c>
      <c r="F187" s="481">
        <f>(D187-C187+1)*G187</f>
        <v>0</v>
      </c>
      <c r="G187" s="482">
        <f>IF(OR((H187=""),(H187=5)),N187*40,IF(H187=10,N187*55,"포인트 열 재확인"))</f>
        <v>0</v>
      </c>
      <c r="H187" s="160"/>
      <c r="I187" s="162"/>
      <c r="J187" s="13"/>
      <c r="K187" s="165"/>
      <c r="L187" s="13"/>
      <c r="M187" s="162"/>
      <c r="N187" s="13"/>
      <c r="O187" s="163">
        <f>LEN(K187)</f>
        <v>0</v>
      </c>
      <c r="P187" s="179"/>
      <c r="Q187" s="179"/>
      <c r="R187" s="179"/>
      <c r="S187" s="179"/>
      <c r="T187" s="166"/>
      <c r="U187" s="166"/>
      <c r="V187" s="166"/>
      <c r="W187" s="166"/>
      <c r="X187" s="166"/>
      <c r="Y187" s="166"/>
      <c r="Z187" s="166"/>
      <c r="AA187" s="166"/>
      <c r="AB187" s="166"/>
      <c r="AC187" s="166"/>
      <c r="AD187" s="166"/>
      <c r="AE187" s="166"/>
      <c r="AF187" s="166"/>
      <c r="AG187" s="166"/>
    </row>
    <row r="188" spans="1:33" ht="15.750000" customHeight="1">
      <c r="B188" s="155"/>
      <c r="I188" s="495"/>
      <c r="J188" s="165"/>
      <c r="K188" s="165"/>
      <c r="L188" s="165"/>
      <c r="M188" s="165"/>
      <c r="P188" s="180"/>
      <c r="Q188" s="180"/>
      <c r="R188" s="180"/>
      <c r="S188" s="180"/>
      <c r="T188" s="166"/>
      <c r="U188" s="166"/>
      <c r="V188" s="166"/>
      <c r="W188" s="166"/>
      <c r="X188" s="166"/>
      <c r="Y188" s="166"/>
      <c r="Z188" s="166"/>
      <c r="AA188" s="166"/>
      <c r="AB188" s="166"/>
      <c r="AC188" s="166"/>
      <c r="AD188" s="166"/>
      <c r="AE188" s="166"/>
      <c r="AF188" s="166"/>
      <c r="AG188" s="166"/>
    </row>
    <row r="189" spans="1:33" ht="15.750000" customHeight="1">
      <c r="B189" s="155"/>
      <c r="I189" s="495"/>
      <c r="J189" s="165"/>
      <c r="K189" s="165"/>
      <c r="L189" s="165"/>
      <c r="M189" s="165"/>
      <c r="P189" s="179"/>
      <c r="Q189" s="179"/>
      <c r="R189" s="179"/>
      <c r="S189" s="179"/>
      <c r="T189" s="166"/>
      <c r="U189" s="166"/>
      <c r="V189" s="166"/>
      <c r="W189" s="166"/>
      <c r="X189" s="166"/>
      <c r="Y189" s="166"/>
      <c r="Z189" s="166"/>
      <c r="AA189" s="166"/>
      <c r="AB189" s="166"/>
      <c r="AC189" s="166"/>
      <c r="AD189" s="166"/>
      <c r="AE189" s="166"/>
      <c r="AF189" s="166"/>
      <c r="AG189" s="166"/>
    </row>
    <row r="190" spans="1:33" ht="15.750000" customHeight="1">
      <c r="B190" s="155"/>
      <c r="I190" s="495"/>
      <c r="J190" s="165"/>
      <c r="K190" s="165"/>
      <c r="L190" s="165"/>
      <c r="M190" s="165"/>
      <c r="P190" s="180"/>
      <c r="Q190" s="180"/>
      <c r="R190" s="180"/>
      <c r="S190" s="180"/>
      <c r="T190" s="166"/>
      <c r="U190" s="166"/>
      <c r="V190" s="166"/>
      <c r="W190" s="166"/>
      <c r="X190" s="166"/>
      <c r="Y190" s="166"/>
      <c r="Z190" s="166"/>
      <c r="AA190" s="166"/>
      <c r="AB190" s="166"/>
      <c r="AC190" s="166"/>
      <c r="AD190" s="166"/>
      <c r="AE190" s="166"/>
      <c r="AF190" s="166"/>
      <c r="AG190" s="166"/>
    </row>
    <row r="191" spans="1:33" ht="15.750000" customHeight="1">
      <c r="B191" s="155"/>
      <c r="I191" s="495"/>
      <c r="J191" s="165"/>
      <c r="K191" s="165"/>
      <c r="L191" s="165"/>
      <c r="M191" s="165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  <c r="AB191" s="166"/>
      <c r="AC191" s="166"/>
      <c r="AD191" s="166"/>
      <c r="AE191" s="166"/>
      <c r="AF191" s="166"/>
      <c r="AG191" s="166"/>
    </row>
    <row r="192" spans="1:33" ht="15.750000" customHeight="1">
      <c r="A192" s="156" t="s">
        <v>116</v>
      </c>
      <c r="B192" s="141"/>
      <c r="C192" s="470"/>
      <c r="D192" s="470"/>
      <c r="E192" s="481">
        <f>F192*120%</f>
        <v>0</v>
      </c>
      <c r="F192" s="481">
        <f>(D192-C192+1)*G192</f>
        <v>0</v>
      </c>
      <c r="G192" s="482">
        <f>IF(OR((H192=""),(H192=5)),N192*40,IF(H192=10,N192*55,"포인트 열 재확인"))</f>
        <v>0</v>
      </c>
      <c r="H192" s="160"/>
      <c r="I192" s="162"/>
      <c r="J192" s="13"/>
      <c r="K192" s="165"/>
      <c r="L192" s="13"/>
      <c r="M192" s="162"/>
      <c r="N192" s="13"/>
      <c r="O192" s="163">
        <f>LEN(K192)</f>
        <v>0</v>
      </c>
      <c r="P192" s="497"/>
      <c r="Q192" s="497"/>
      <c r="R192" s="497"/>
      <c r="S192" s="497"/>
      <c r="T192" s="166"/>
      <c r="U192" s="166"/>
      <c r="V192" s="166"/>
      <c r="W192" s="166"/>
      <c r="X192" s="166"/>
      <c r="Y192" s="166"/>
      <c r="Z192" s="166"/>
      <c r="AA192" s="166"/>
      <c r="AB192" s="166"/>
      <c r="AC192" s="166"/>
      <c r="AD192" s="166"/>
      <c r="AE192" s="166"/>
      <c r="AF192" s="166"/>
      <c r="AG192" s="166"/>
    </row>
    <row r="193" spans="1:33" ht="15.750000" customHeight="1">
      <c r="B193" s="155"/>
      <c r="I193" s="495"/>
      <c r="J193" s="165"/>
      <c r="K193" s="165"/>
      <c r="L193" s="165"/>
      <c r="M193" s="165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  <c r="AB193" s="166"/>
      <c r="AC193" s="166"/>
      <c r="AD193" s="166"/>
      <c r="AE193" s="166"/>
      <c r="AF193" s="166"/>
      <c r="AG193" s="166"/>
    </row>
    <row r="194" spans="1:33" ht="15.750000" customHeight="1">
      <c r="B194" s="155"/>
      <c r="I194" s="495"/>
      <c r="J194" s="165"/>
      <c r="K194" s="165"/>
      <c r="L194" s="165"/>
      <c r="M194" s="165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  <c r="AB194" s="166"/>
      <c r="AC194" s="166"/>
      <c r="AD194" s="166"/>
      <c r="AE194" s="166"/>
      <c r="AF194" s="166"/>
      <c r="AG194" s="166"/>
    </row>
    <row r="195" spans="1:33" ht="15.750000" customHeight="1">
      <c r="B195" s="155"/>
      <c r="I195" s="495"/>
      <c r="J195" s="165"/>
      <c r="K195" s="165"/>
      <c r="L195" s="165"/>
      <c r="M195" s="165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  <c r="AB195" s="166"/>
      <c r="AC195" s="166"/>
      <c r="AD195" s="166"/>
      <c r="AE195" s="166"/>
      <c r="AF195" s="166"/>
      <c r="AG195" s="166"/>
    </row>
    <row r="196" spans="1:33" ht="15.750000" customHeight="1">
      <c r="B196" s="155"/>
      <c r="I196" s="495"/>
      <c r="J196" s="165"/>
      <c r="K196" s="165"/>
      <c r="L196" s="165"/>
      <c r="M196" s="165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  <c r="AB196" s="166"/>
      <c r="AC196" s="166"/>
      <c r="AD196" s="166"/>
      <c r="AE196" s="166"/>
      <c r="AF196" s="166"/>
      <c r="AG196" s="166"/>
    </row>
    <row r="197" spans="1:33" ht="15.750000" customHeight="1">
      <c r="A197" s="156" t="s">
        <v>116</v>
      </c>
      <c r="B197" s="141"/>
      <c r="C197" s="470"/>
      <c r="D197" s="470"/>
      <c r="E197" s="481">
        <f>F197*120%</f>
        <v>0</v>
      </c>
      <c r="F197" s="481">
        <f>(D197-C197+1)*G197</f>
        <v>0</v>
      </c>
      <c r="G197" s="482">
        <f>IF(OR((H197=""),(H197=5)),N197*40,IF(H197=10,N197*55,"포인트 열 재확인"))</f>
        <v>0</v>
      </c>
      <c r="H197" s="160"/>
      <c r="I197" s="162"/>
      <c r="J197" s="13"/>
      <c r="K197" s="165"/>
      <c r="L197" s="13"/>
      <c r="M197" s="162"/>
      <c r="N197" s="13"/>
      <c r="O197" s="163">
        <f>LEN(K197)</f>
        <v>0</v>
      </c>
      <c r="P197" s="497"/>
      <c r="Q197" s="497"/>
      <c r="R197" s="497"/>
      <c r="S197" s="497"/>
      <c r="T197" s="497"/>
      <c r="U197" s="166"/>
      <c r="V197" s="166"/>
      <c r="W197" s="166"/>
      <c r="X197" s="166"/>
      <c r="Y197" s="166"/>
      <c r="Z197" s="166"/>
      <c r="AA197" s="166"/>
      <c r="AB197" s="166"/>
      <c r="AC197" s="166"/>
      <c r="AD197" s="166"/>
      <c r="AE197" s="166"/>
      <c r="AF197" s="166"/>
      <c r="AG197" s="166"/>
    </row>
    <row r="198" spans="1:33" ht="15.750000" customHeight="1">
      <c r="B198" s="155"/>
      <c r="I198" s="165"/>
      <c r="J198" s="165"/>
      <c r="K198" s="165"/>
      <c r="L198" s="165"/>
      <c r="M198" s="165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  <c r="AB198" s="166"/>
      <c r="AC198" s="166"/>
      <c r="AD198" s="166"/>
      <c r="AE198" s="166"/>
      <c r="AF198" s="166"/>
      <c r="AG198" s="166"/>
    </row>
    <row r="199" spans="1:33" ht="15.750000" customHeight="1">
      <c r="B199" s="155"/>
      <c r="I199" s="165"/>
      <c r="J199" s="165"/>
      <c r="K199" s="165"/>
      <c r="L199" s="165"/>
      <c r="M199" s="165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  <c r="AB199" s="166"/>
      <c r="AC199" s="166"/>
      <c r="AD199" s="166"/>
      <c r="AE199" s="166"/>
      <c r="AF199" s="166"/>
      <c r="AG199" s="166"/>
    </row>
    <row r="200" spans="1:33" ht="15.750000" customHeight="1">
      <c r="B200" s="155"/>
      <c r="I200" s="165"/>
      <c r="J200" s="165"/>
      <c r="K200" s="165"/>
      <c r="L200" s="165"/>
      <c r="M200" s="165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  <c r="AB200" s="166"/>
      <c r="AC200" s="166"/>
      <c r="AD200" s="166"/>
      <c r="AE200" s="166"/>
      <c r="AF200" s="166"/>
      <c r="AG200" s="166"/>
    </row>
    <row r="201" spans="1:33" ht="15.750000" customHeight="1">
      <c r="B201" s="155"/>
      <c r="I201" s="165"/>
      <c r="J201" s="165"/>
      <c r="K201" s="165"/>
      <c r="L201" s="165"/>
      <c r="M201" s="165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  <c r="AB201" s="166"/>
      <c r="AC201" s="166"/>
      <c r="AD201" s="166"/>
      <c r="AE201" s="166"/>
      <c r="AF201" s="166"/>
      <c r="AG201" s="166"/>
    </row>
    <row r="202" spans="1:33" ht="15.750000" customHeight="1">
      <c r="A202" s="156" t="s">
        <v>116</v>
      </c>
      <c r="B202" s="141"/>
      <c r="C202" s="470"/>
      <c r="D202" s="470"/>
      <c r="E202" s="481">
        <f>F202*120%</f>
        <v>0</v>
      </c>
      <c r="F202" s="481">
        <f>(D202-C202+1)*G202</f>
        <v>0</v>
      </c>
      <c r="G202" s="482">
        <f>IF(OR((H202=""),(H202=5)),N202*40,IF(H202=10,N202*55,"포인트 열 재확인"))</f>
        <v>0</v>
      </c>
      <c r="H202" s="160"/>
      <c r="I202" s="162"/>
      <c r="J202" s="13"/>
      <c r="K202" s="165"/>
      <c r="L202" s="13"/>
      <c r="M202" s="162"/>
      <c r="N202" s="13"/>
      <c r="O202" s="163">
        <f>LEN(K202)</f>
        <v>0</v>
      </c>
      <c r="P202" s="497"/>
      <c r="Q202" s="497"/>
      <c r="R202" s="497"/>
      <c r="S202" s="497"/>
      <c r="T202" s="166"/>
      <c r="U202" s="166"/>
      <c r="V202" s="166"/>
      <c r="W202" s="166"/>
      <c r="X202" s="166"/>
      <c r="Y202" s="166"/>
      <c r="Z202" s="166"/>
      <c r="AA202" s="166"/>
      <c r="AB202" s="166"/>
      <c r="AC202" s="166"/>
      <c r="AD202" s="166"/>
      <c r="AE202" s="166"/>
      <c r="AF202" s="166"/>
      <c r="AG202" s="166"/>
    </row>
    <row r="203" spans="1:33" ht="15.750000" customHeight="1">
      <c r="B203" s="155"/>
      <c r="I203" s="165"/>
      <c r="J203" s="165"/>
      <c r="K203" s="165"/>
      <c r="L203" s="165"/>
      <c r="M203" s="165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  <c r="AB203" s="166"/>
      <c r="AC203" s="166"/>
      <c r="AD203" s="166"/>
      <c r="AE203" s="166"/>
      <c r="AF203" s="166"/>
      <c r="AG203" s="166"/>
    </row>
    <row r="204" spans="1:33" ht="15.750000" customHeight="1">
      <c r="B204" s="155"/>
      <c r="I204" s="165"/>
      <c r="J204" s="165"/>
      <c r="K204" s="165"/>
      <c r="L204" s="165"/>
      <c r="M204" s="165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  <c r="AB204" s="166"/>
      <c r="AC204" s="166"/>
      <c r="AD204" s="166"/>
      <c r="AE204" s="166"/>
      <c r="AF204" s="166"/>
      <c r="AG204" s="166"/>
    </row>
    <row r="205" spans="1:33" ht="15.750000" customHeight="1">
      <c r="B205" s="155"/>
      <c r="I205" s="165"/>
      <c r="J205" s="165"/>
      <c r="K205" s="165"/>
      <c r="L205" s="165"/>
      <c r="M205" s="165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  <c r="AB205" s="166"/>
      <c r="AC205" s="166"/>
      <c r="AD205" s="166"/>
      <c r="AE205" s="166"/>
      <c r="AF205" s="166"/>
      <c r="AG205" s="166"/>
    </row>
    <row r="206" spans="1:33" ht="15.750000" customHeight="1">
      <c r="B206" s="155"/>
      <c r="I206" s="165"/>
      <c r="J206" s="165"/>
      <c r="K206" s="165"/>
      <c r="L206" s="165"/>
      <c r="M206" s="165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  <c r="AD206" s="166"/>
      <c r="AE206" s="166"/>
      <c r="AF206" s="166"/>
      <c r="AG206" s="166"/>
    </row>
    <row r="207" spans="1:33" ht="15.750000" customHeight="1">
      <c r="A207" s="156" t="s">
        <v>116</v>
      </c>
      <c r="B207" s="141"/>
      <c r="C207" s="470"/>
      <c r="D207" s="470"/>
      <c r="E207" s="481">
        <f>F207*120%</f>
        <v>0</v>
      </c>
      <c r="F207" s="481">
        <f>(D207-C207+1)*G207</f>
        <v>0</v>
      </c>
      <c r="G207" s="482">
        <f>IF(OR((H207=""),(H207=5)),N207*40,IF(H207=10,N207*55,"포인트 열 재확인"))</f>
        <v>0</v>
      </c>
      <c r="H207" s="160"/>
      <c r="I207" s="13"/>
      <c r="J207" s="13"/>
      <c r="K207" s="13"/>
      <c r="L207" s="13"/>
      <c r="M207" s="13"/>
      <c r="N207" s="13"/>
      <c r="O207" s="163">
        <f>LEN(K207)</f>
        <v>0</v>
      </c>
      <c r="P207" s="497"/>
      <c r="Q207" s="497"/>
      <c r="R207" s="497"/>
      <c r="S207" s="497"/>
      <c r="T207" s="166"/>
      <c r="U207" s="166"/>
      <c r="V207" s="166"/>
      <c r="W207" s="166"/>
      <c r="X207" s="166"/>
      <c r="Y207" s="166"/>
      <c r="Z207" s="166"/>
      <c r="AA207" s="166"/>
      <c r="AB207" s="166"/>
      <c r="AC207" s="166"/>
      <c r="AD207" s="166"/>
      <c r="AE207" s="166"/>
      <c r="AF207" s="166"/>
      <c r="AG207" s="166"/>
    </row>
    <row r="208" spans="1:33" ht="15.750000" customHeight="1">
      <c r="B208" s="155"/>
      <c r="I208" s="165"/>
      <c r="J208" s="165"/>
      <c r="K208" s="165"/>
      <c r="L208" s="165"/>
      <c r="M208" s="165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/>
      <c r="AD208" s="166"/>
      <c r="AE208" s="166"/>
      <c r="AF208" s="166"/>
      <c r="AG208" s="166"/>
    </row>
    <row r="209" spans="1:33" ht="15.750000" customHeight="1">
      <c r="B209" s="155"/>
      <c r="I209" s="165"/>
      <c r="J209" s="165"/>
      <c r="K209" s="165"/>
      <c r="L209" s="165"/>
      <c r="M209" s="165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  <c r="AG209" s="166"/>
    </row>
    <row r="210" spans="1:33" ht="15.750000" customHeight="1">
      <c r="B210" s="155"/>
      <c r="I210" s="165"/>
      <c r="J210" s="165"/>
      <c r="K210" s="165"/>
      <c r="L210" s="165"/>
      <c r="M210" s="165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  <c r="AB210" s="166"/>
      <c r="AC210" s="166"/>
      <c r="AD210" s="166"/>
      <c r="AE210" s="166"/>
      <c r="AF210" s="166"/>
      <c r="AG210" s="166"/>
    </row>
    <row r="211" spans="1:33" ht="15.750000" customHeight="1">
      <c r="B211" s="155"/>
      <c r="I211" s="165"/>
      <c r="J211" s="165"/>
      <c r="K211" s="165"/>
      <c r="L211" s="165"/>
      <c r="M211" s="165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  <c r="AB211" s="166"/>
      <c r="AC211" s="166"/>
      <c r="AD211" s="166"/>
      <c r="AE211" s="166"/>
      <c r="AF211" s="166"/>
      <c r="AG211" s="166"/>
    </row>
    <row r="212" spans="1:33" ht="15.750000" customHeight="1">
      <c r="A212" s="156" t="s">
        <v>116</v>
      </c>
      <c r="B212" s="141"/>
      <c r="C212" s="470"/>
      <c r="D212" s="470"/>
      <c r="E212" s="481">
        <f>F212*120%</f>
        <v>0</v>
      </c>
      <c r="F212" s="481">
        <f>(D212-C212+1)*G212</f>
        <v>0</v>
      </c>
      <c r="G212" s="482">
        <f>IF(OR((H212=""),(H212=5)),N212*40,IF(H212=10,N212*55,"포인트 열 재확인"))</f>
        <v>0</v>
      </c>
      <c r="H212" s="160"/>
      <c r="I212" s="13"/>
      <c r="J212" s="13"/>
      <c r="K212" s="13"/>
      <c r="L212" s="13"/>
      <c r="M212" s="13"/>
      <c r="N212" s="13"/>
      <c r="O212" s="163">
        <f>LEN(K212)</f>
        <v>0</v>
      </c>
      <c r="P212" s="88"/>
      <c r="Q212" s="88"/>
      <c r="R212" s="88"/>
      <c r="S212" s="88"/>
      <c r="T212" s="166"/>
      <c r="U212" s="166"/>
      <c r="V212" s="166"/>
      <c r="W212" s="166"/>
      <c r="X212" s="166"/>
      <c r="Y212" s="166"/>
      <c r="Z212" s="166"/>
      <c r="AA212" s="166"/>
      <c r="AB212" s="166"/>
      <c r="AC212" s="166"/>
      <c r="AD212" s="166"/>
      <c r="AE212" s="166"/>
      <c r="AF212" s="166"/>
      <c r="AG212" s="166"/>
    </row>
    <row r="213" spans="1:33" ht="15.750000" customHeight="1">
      <c r="B213" s="155"/>
      <c r="I213" s="165"/>
      <c r="J213" s="165"/>
      <c r="K213" s="165"/>
      <c r="L213" s="165"/>
      <c r="M213" s="165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  <c r="AB213" s="166"/>
      <c r="AC213" s="166"/>
      <c r="AD213" s="166"/>
      <c r="AE213" s="166"/>
      <c r="AF213" s="166"/>
      <c r="AG213" s="166"/>
    </row>
    <row r="214" spans="1:33" ht="15.750000" customHeight="1">
      <c r="B214" s="155"/>
      <c r="I214" s="165"/>
      <c r="J214" s="165"/>
      <c r="K214" s="165"/>
      <c r="L214" s="165"/>
      <c r="M214" s="165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  <c r="AB214" s="166"/>
      <c r="AC214" s="166"/>
      <c r="AD214" s="166"/>
      <c r="AE214" s="166"/>
      <c r="AF214" s="166"/>
      <c r="AG214" s="166"/>
    </row>
    <row r="215" spans="1:33" ht="15.750000" customHeight="1">
      <c r="B215" s="155"/>
      <c r="I215" s="165"/>
      <c r="J215" s="165"/>
      <c r="K215" s="165"/>
      <c r="L215" s="165"/>
      <c r="M215" s="165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  <c r="AB215" s="166"/>
      <c r="AC215" s="166"/>
      <c r="AD215" s="166"/>
      <c r="AE215" s="166"/>
      <c r="AF215" s="166"/>
      <c r="AG215" s="166"/>
    </row>
    <row r="216" spans="1:33" ht="15.750000" customHeight="1">
      <c r="B216" s="155"/>
      <c r="I216" s="165"/>
      <c r="J216" s="165"/>
      <c r="K216" s="165"/>
      <c r="L216" s="165"/>
      <c r="M216" s="165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  <c r="AB216" s="166"/>
      <c r="AC216" s="166"/>
      <c r="AD216" s="166"/>
      <c r="AE216" s="166"/>
      <c r="AF216" s="166"/>
      <c r="AG216" s="166"/>
    </row>
    <row r="217" spans="1:33" ht="15.750000" customHeight="1">
      <c r="A217" s="156" t="s">
        <v>116</v>
      </c>
      <c r="B217" s="141"/>
      <c r="C217" s="470"/>
      <c r="D217" s="470"/>
      <c r="E217" s="481">
        <f>F217*120%</f>
        <v>0</v>
      </c>
      <c r="F217" s="481">
        <f>(D217-C217+1)*G217</f>
        <v>0</v>
      </c>
      <c r="G217" s="482">
        <f>IF(OR((H217=""),(H217=5)),N217*40,IF(H217=10,N217*55,"포인트 열 재확인"))</f>
        <v>0</v>
      </c>
      <c r="H217" s="160"/>
      <c r="I217" s="166"/>
      <c r="J217" s="166"/>
      <c r="K217" s="166"/>
      <c r="L217" s="166"/>
      <c r="M217" s="166"/>
      <c r="N217" s="13"/>
      <c r="O217" s="163">
        <f>LEN(K217)</f>
        <v>0</v>
      </c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  <c r="AB217" s="166"/>
      <c r="AC217" s="166"/>
      <c r="AD217" s="166"/>
      <c r="AE217" s="166"/>
      <c r="AF217" s="166"/>
      <c r="AG217" s="166"/>
    </row>
    <row r="218" spans="1:33" ht="15.750000" customHeight="1">
      <c r="B218" s="155"/>
      <c r="I218" s="166"/>
      <c r="J218" s="166"/>
      <c r="K218" s="166"/>
      <c r="L218" s="166"/>
      <c r="M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  <c r="AB218" s="166"/>
      <c r="AC218" s="166"/>
      <c r="AD218" s="166"/>
      <c r="AE218" s="166"/>
      <c r="AF218" s="166"/>
      <c r="AG218" s="166"/>
    </row>
    <row r="219" spans="1:33" ht="15.750000" customHeight="1">
      <c r="B219" s="155"/>
      <c r="I219" s="166"/>
      <c r="J219" s="166"/>
      <c r="K219" s="166"/>
      <c r="L219" s="166"/>
      <c r="M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  <c r="AB219" s="166"/>
      <c r="AC219" s="166"/>
      <c r="AD219" s="166"/>
      <c r="AE219" s="166"/>
      <c r="AF219" s="166"/>
      <c r="AG219" s="166"/>
    </row>
    <row r="220" spans="1:33" ht="15.750000" customHeight="1">
      <c r="B220" s="155"/>
      <c r="I220" s="166"/>
      <c r="J220" s="166"/>
      <c r="K220" s="166"/>
      <c r="L220" s="166"/>
      <c r="M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  <c r="AB220" s="166"/>
      <c r="AC220" s="166"/>
      <c r="AD220" s="166"/>
      <c r="AE220" s="166"/>
      <c r="AF220" s="166"/>
      <c r="AG220" s="166"/>
    </row>
    <row r="221" spans="1:33" ht="15.750000" customHeight="1">
      <c r="B221" s="155"/>
      <c r="I221" s="166"/>
      <c r="J221" s="166"/>
      <c r="K221" s="166"/>
      <c r="L221" s="166"/>
      <c r="M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6"/>
    </row>
    <row r="222" spans="1:33" ht="15.750000" customHeight="1">
      <c r="A222" s="156" t="s">
        <v>116</v>
      </c>
      <c r="B222" s="141"/>
      <c r="C222" s="470"/>
      <c r="D222" s="470"/>
      <c r="E222" s="481">
        <f>F222*120%</f>
        <v>0</v>
      </c>
      <c r="F222" s="481">
        <f>(D222-C222+1)*G222</f>
        <v>0</v>
      </c>
      <c r="G222" s="482">
        <f>IF(OR((H222=""),(H222=5)),N222*40,IF(H222=10,N222*55,"포인트 열 재확인"))</f>
        <v>0</v>
      </c>
      <c r="H222" s="160"/>
      <c r="I222" s="166"/>
      <c r="J222" s="166"/>
      <c r="K222" s="166"/>
      <c r="L222" s="166"/>
      <c r="M222" s="166"/>
      <c r="N222" s="13"/>
      <c r="O222" s="163">
        <f>LEN(K222)</f>
        <v>0</v>
      </c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  <c r="AA222" s="166"/>
      <c r="AB222" s="166"/>
      <c r="AC222" s="166"/>
      <c r="AD222" s="166"/>
      <c r="AE222" s="166"/>
      <c r="AF222" s="166"/>
      <c r="AG222" s="166"/>
    </row>
    <row r="223" spans="1:33" ht="15.750000" customHeight="1">
      <c r="B223" s="155"/>
      <c r="I223" s="166"/>
      <c r="J223" s="166"/>
      <c r="K223" s="166"/>
      <c r="L223" s="166"/>
      <c r="M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  <c r="AA223" s="166"/>
      <c r="AB223" s="166"/>
      <c r="AC223" s="166"/>
      <c r="AD223" s="166"/>
      <c r="AE223" s="166"/>
      <c r="AF223" s="166"/>
      <c r="AG223" s="166"/>
    </row>
    <row r="224" spans="1:33" ht="15.750000" customHeight="1">
      <c r="B224" s="155"/>
      <c r="I224" s="166"/>
      <c r="J224" s="166"/>
      <c r="K224" s="166"/>
      <c r="L224" s="166"/>
      <c r="M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  <c r="AA224" s="166"/>
      <c r="AB224" s="166"/>
      <c r="AC224" s="166"/>
      <c r="AD224" s="166"/>
      <c r="AE224" s="166"/>
      <c r="AF224" s="166"/>
      <c r="AG224" s="166"/>
    </row>
    <row r="225" spans="1:33" ht="15.750000" customHeight="1">
      <c r="B225" s="155"/>
      <c r="I225" s="166"/>
      <c r="J225" s="166"/>
      <c r="K225" s="166"/>
      <c r="L225" s="166"/>
      <c r="M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  <c r="AA225" s="166"/>
      <c r="AB225" s="166"/>
      <c r="AC225" s="166"/>
      <c r="AD225" s="166"/>
      <c r="AE225" s="166"/>
      <c r="AF225" s="166"/>
      <c r="AG225" s="166"/>
    </row>
    <row r="226" spans="1:33" ht="15.750000" customHeight="1">
      <c r="B226" s="155"/>
      <c r="I226" s="166"/>
      <c r="J226" s="166"/>
      <c r="K226" s="166"/>
      <c r="L226" s="166"/>
      <c r="M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  <c r="AA226" s="166"/>
      <c r="AB226" s="166"/>
      <c r="AC226" s="166"/>
      <c r="AD226" s="166"/>
      <c r="AE226" s="166"/>
      <c r="AF226" s="166"/>
      <c r="AG226" s="166"/>
    </row>
    <row r="227" spans="1:33" ht="15.750000" customHeight="1">
      <c r="A227" s="156" t="s">
        <v>116</v>
      </c>
      <c r="B227" s="141"/>
      <c r="C227" s="470"/>
      <c r="D227" s="470"/>
      <c r="E227" s="481">
        <f>F227*120%</f>
        <v>0</v>
      </c>
      <c r="F227" s="481">
        <f>(D227-C227+1)*G227</f>
        <v>0</v>
      </c>
      <c r="G227" s="482">
        <f>IF(OR((H227=""),(H227=5)),N227*40,IF(H227=10,N227*55,"포인트 열 재확인"))</f>
        <v>0</v>
      </c>
      <c r="H227" s="160"/>
      <c r="I227" s="166"/>
      <c r="J227" s="166"/>
      <c r="K227" s="166"/>
      <c r="L227" s="166"/>
      <c r="M227" s="166"/>
      <c r="N227" s="13"/>
      <c r="O227" s="163">
        <f>LEN(K227)</f>
        <v>0</v>
      </c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  <c r="AA227" s="166"/>
      <c r="AB227" s="166"/>
      <c r="AC227" s="166"/>
      <c r="AD227" s="166"/>
      <c r="AE227" s="166"/>
      <c r="AF227" s="166"/>
      <c r="AG227" s="166"/>
    </row>
    <row r="228" spans="1:33" ht="15.750000" customHeight="1">
      <c r="B228" s="155"/>
      <c r="I228" s="166"/>
      <c r="J228" s="166"/>
      <c r="K228" s="166"/>
      <c r="L228" s="166"/>
      <c r="M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  <c r="AA228" s="166"/>
      <c r="AB228" s="166"/>
      <c r="AC228" s="166"/>
      <c r="AD228" s="166"/>
      <c r="AE228" s="166"/>
      <c r="AF228" s="166"/>
      <c r="AG228" s="166"/>
    </row>
    <row r="229" spans="1:33" ht="15.750000" customHeight="1">
      <c r="B229" s="155"/>
      <c r="I229" s="166"/>
      <c r="J229" s="166"/>
      <c r="K229" s="166"/>
      <c r="L229" s="166"/>
      <c r="M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  <c r="AA229" s="166"/>
      <c r="AB229" s="166"/>
      <c r="AC229" s="166"/>
      <c r="AD229" s="166"/>
      <c r="AE229" s="166"/>
      <c r="AF229" s="166"/>
      <c r="AG229" s="166"/>
    </row>
    <row r="230" spans="1:33" ht="15.750000" customHeight="1">
      <c r="B230" s="155"/>
      <c r="I230" s="166"/>
      <c r="J230" s="166"/>
      <c r="K230" s="166"/>
      <c r="L230" s="166"/>
      <c r="M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  <c r="AA230" s="166"/>
      <c r="AB230" s="166"/>
      <c r="AC230" s="166"/>
      <c r="AD230" s="166"/>
      <c r="AE230" s="166"/>
      <c r="AF230" s="166"/>
      <c r="AG230" s="166"/>
    </row>
    <row r="231" spans="1:33" ht="15.750000" customHeight="1">
      <c r="B231" s="155"/>
      <c r="I231" s="166"/>
      <c r="J231" s="166"/>
      <c r="K231" s="166"/>
      <c r="L231" s="166"/>
      <c r="M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  <c r="AA231" s="166"/>
      <c r="AB231" s="166"/>
      <c r="AC231" s="166"/>
      <c r="AD231" s="166"/>
      <c r="AE231" s="166"/>
      <c r="AF231" s="166"/>
      <c r="AG231" s="166"/>
    </row>
    <row r="232" spans="1:33" ht="15.750000" customHeight="1">
      <c r="A232" s="156" t="s">
        <v>116</v>
      </c>
      <c r="B232" s="155"/>
      <c r="C232" s="166"/>
      <c r="D232" s="166"/>
      <c r="E232" s="481">
        <f>F232*120%</f>
        <v>0</v>
      </c>
      <c r="F232" s="481">
        <f>(D232-C232+1)*G232</f>
        <v>0</v>
      </c>
      <c r="G232" s="482">
        <f>IF(OR((H232=""),(H232=5)),N232*40,IF(H232=10,N232*55,"포인트 열 재확인"))</f>
        <v>0</v>
      </c>
      <c r="H232" s="155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  <c r="AA232" s="166"/>
      <c r="AB232" s="166"/>
      <c r="AC232" s="166"/>
      <c r="AD232" s="166"/>
      <c r="AE232" s="166"/>
      <c r="AF232" s="166"/>
      <c r="AG232" s="166"/>
    </row>
    <row r="233" spans="1:33" ht="15.750000" customHeight="1">
      <c r="B233" s="155"/>
      <c r="C233" s="166"/>
      <c r="D233" s="166"/>
      <c r="H233" s="155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6"/>
    </row>
    <row r="234" spans="1:33" ht="15.750000" customHeight="1">
      <c r="B234" s="155"/>
      <c r="C234" s="166"/>
      <c r="D234" s="166"/>
      <c r="H234" s="155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  <c r="AA234" s="166"/>
      <c r="AB234" s="166"/>
      <c r="AC234" s="166"/>
      <c r="AD234" s="166"/>
      <c r="AE234" s="166"/>
      <c r="AF234" s="166"/>
      <c r="AG234" s="166"/>
    </row>
    <row r="235" spans="1:33" ht="15.750000" customHeight="1">
      <c r="B235" s="155"/>
      <c r="C235" s="166"/>
      <c r="D235" s="166"/>
      <c r="H235" s="155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  <c r="AA235" s="166"/>
      <c r="AB235" s="166"/>
      <c r="AC235" s="166"/>
      <c r="AD235" s="166"/>
      <c r="AE235" s="166"/>
      <c r="AF235" s="166"/>
      <c r="AG235" s="166"/>
    </row>
    <row r="236" spans="1:33" ht="15.750000" customHeight="1">
      <c r="B236" s="155"/>
      <c r="C236" s="166"/>
      <c r="D236" s="166"/>
      <c r="H236" s="155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  <c r="AA236" s="166"/>
      <c r="AB236" s="166"/>
      <c r="AC236" s="166"/>
      <c r="AD236" s="166"/>
      <c r="AE236" s="166"/>
      <c r="AF236" s="166"/>
      <c r="AG236" s="166"/>
    </row>
    <row r="237" spans="1:33" ht="15.750000" customHeight="1">
      <c r="A237" s="156" t="s">
        <v>116</v>
      </c>
      <c r="B237" s="155"/>
      <c r="C237" s="166"/>
      <c r="D237" s="166"/>
      <c r="E237" s="481">
        <f>F237*120%</f>
        <v>0</v>
      </c>
      <c r="F237" s="481">
        <f>(D237-C237+1)*G237</f>
        <v>0</v>
      </c>
      <c r="G237" s="482">
        <f>IF(OR((H237=""),(H237=5)),N237*40,IF(H237=10,N237*55,"포인트 열 재확인"))</f>
        <v>0</v>
      </c>
      <c r="H237" s="155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6"/>
      <c r="AB237" s="166"/>
      <c r="AC237" s="166"/>
      <c r="AD237" s="166"/>
      <c r="AE237" s="166"/>
      <c r="AF237" s="166"/>
      <c r="AG237" s="166"/>
    </row>
    <row r="238" spans="1:33" ht="15.750000" customHeight="1">
      <c r="B238" s="155"/>
      <c r="C238" s="166"/>
      <c r="D238" s="166"/>
      <c r="H238" s="155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6"/>
      <c r="AG238" s="166"/>
    </row>
    <row r="239" spans="1:33" ht="15.750000" customHeight="1">
      <c r="B239" s="155"/>
      <c r="C239" s="166"/>
      <c r="D239" s="166"/>
      <c r="H239" s="155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  <c r="AA239" s="166"/>
      <c r="AB239" s="166"/>
      <c r="AC239" s="166"/>
      <c r="AD239" s="166"/>
      <c r="AE239" s="166"/>
      <c r="AF239" s="166"/>
      <c r="AG239" s="166"/>
    </row>
    <row r="240" spans="1:33" ht="15.750000" customHeight="1">
      <c r="B240" s="155"/>
      <c r="C240" s="166"/>
      <c r="D240" s="166"/>
      <c r="H240" s="155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  <c r="AA240" s="166"/>
      <c r="AB240" s="166"/>
      <c r="AC240" s="166"/>
      <c r="AD240" s="166"/>
      <c r="AE240" s="166"/>
      <c r="AF240" s="166"/>
      <c r="AG240" s="166"/>
    </row>
    <row r="241" spans="1:33" ht="15.750000" customHeight="1">
      <c r="B241" s="155"/>
      <c r="C241" s="166"/>
      <c r="D241" s="166"/>
      <c r="H241" s="155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  <c r="AA241" s="166"/>
      <c r="AB241" s="166"/>
      <c r="AC241" s="166"/>
      <c r="AD241" s="166"/>
      <c r="AE241" s="166"/>
      <c r="AF241" s="166"/>
      <c r="AG241" s="166"/>
    </row>
    <row r="242" spans="1:33" ht="15.750000" customHeight="1">
      <c r="A242" s="156" t="s">
        <v>116</v>
      </c>
      <c r="B242" s="155"/>
      <c r="C242" s="166"/>
      <c r="D242" s="166"/>
      <c r="E242" s="481">
        <f>F242*120%</f>
        <v>0</v>
      </c>
      <c r="F242" s="481">
        <f>(D242-C242+1)*G242</f>
        <v>0</v>
      </c>
      <c r="G242" s="482">
        <f>IF(OR((H242=""),(H242=5)),N242*40,IF(H242=10,N242*55,"포인트 열 재확인"))</f>
        <v>0</v>
      </c>
      <c r="H242" s="155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  <c r="AA242" s="166"/>
      <c r="AB242" s="166"/>
      <c r="AC242" s="166"/>
      <c r="AD242" s="166"/>
      <c r="AE242" s="166"/>
      <c r="AF242" s="166"/>
      <c r="AG242" s="166"/>
    </row>
    <row r="243" spans="1:33" ht="15.750000" customHeight="1">
      <c r="B243" s="155"/>
      <c r="C243" s="166"/>
      <c r="D243" s="166"/>
      <c r="H243" s="155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  <c r="AA243" s="166"/>
      <c r="AB243" s="166"/>
      <c r="AC243" s="166"/>
      <c r="AD243" s="166"/>
      <c r="AE243" s="166"/>
      <c r="AF243" s="166"/>
      <c r="AG243" s="166"/>
    </row>
    <row r="244" spans="1:33" ht="15.750000" customHeight="1">
      <c r="B244" s="155"/>
      <c r="C244" s="166"/>
      <c r="D244" s="166"/>
      <c r="H244" s="155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  <c r="AA244" s="166"/>
      <c r="AB244" s="166"/>
      <c r="AC244" s="166"/>
      <c r="AD244" s="166"/>
      <c r="AE244" s="166"/>
      <c r="AF244" s="166"/>
      <c r="AG244" s="166"/>
    </row>
    <row r="245" spans="1:33" ht="15.750000" customHeight="1">
      <c r="B245" s="155"/>
      <c r="C245" s="166"/>
      <c r="D245" s="166"/>
      <c r="H245" s="155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  <c r="AA245" s="166"/>
      <c r="AB245" s="166"/>
      <c r="AC245" s="166"/>
      <c r="AD245" s="166"/>
      <c r="AE245" s="166"/>
      <c r="AF245" s="166"/>
      <c r="AG245" s="166"/>
    </row>
    <row r="246" spans="1:33" ht="15.750000" customHeight="1">
      <c r="B246" s="155"/>
      <c r="C246" s="166"/>
      <c r="D246" s="166"/>
      <c r="H246" s="155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  <c r="AA246" s="166"/>
      <c r="AB246" s="166"/>
      <c r="AC246" s="166"/>
      <c r="AD246" s="166"/>
      <c r="AE246" s="166"/>
      <c r="AF246" s="166"/>
      <c r="AG246" s="166"/>
    </row>
    <row r="247" spans="1:33" ht="15.750000" customHeight="1">
      <c r="A247" s="156" t="s">
        <v>116</v>
      </c>
      <c r="B247" s="155"/>
      <c r="C247" s="166"/>
      <c r="D247" s="166"/>
      <c r="E247" s="481">
        <f>F247*120%</f>
        <v>0</v>
      </c>
      <c r="F247" s="481">
        <f>(D247-C247+1)*G247</f>
        <v>0</v>
      </c>
      <c r="G247" s="482">
        <f>IF(OR((H247=""),(H247=5)),N247*40,IF(H247=10,N247*55,"포인트 열 재확인"))</f>
        <v>0</v>
      </c>
      <c r="H247" s="155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  <c r="AA247" s="166"/>
      <c r="AB247" s="166"/>
      <c r="AC247" s="166"/>
      <c r="AD247" s="166"/>
      <c r="AE247" s="166"/>
      <c r="AF247" s="166"/>
      <c r="AG247" s="166"/>
    </row>
    <row r="248" spans="1:33" ht="15.750000" customHeight="1">
      <c r="B248" s="155"/>
      <c r="C248" s="166"/>
      <c r="D248" s="166"/>
      <c r="H248" s="155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  <c r="AA248" s="166"/>
      <c r="AB248" s="166"/>
      <c r="AC248" s="166"/>
      <c r="AD248" s="166"/>
      <c r="AE248" s="166"/>
      <c r="AF248" s="166"/>
      <c r="AG248" s="166"/>
    </row>
    <row r="249" spans="1:33" ht="15.750000" customHeight="1">
      <c r="B249" s="155"/>
      <c r="C249" s="166"/>
      <c r="D249" s="166"/>
      <c r="H249" s="155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  <c r="AA249" s="166"/>
      <c r="AB249" s="166"/>
      <c r="AC249" s="166"/>
      <c r="AD249" s="166"/>
      <c r="AE249" s="166"/>
      <c r="AF249" s="166"/>
      <c r="AG249" s="166"/>
    </row>
    <row r="250" spans="1:33" ht="15.750000" customHeight="1">
      <c r="B250" s="155"/>
      <c r="C250" s="166"/>
      <c r="D250" s="166"/>
      <c r="H250" s="155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  <c r="AA250" s="166"/>
      <c r="AB250" s="166"/>
      <c r="AC250" s="166"/>
      <c r="AD250" s="166"/>
      <c r="AE250" s="166"/>
      <c r="AF250" s="166"/>
      <c r="AG250" s="166"/>
    </row>
    <row r="251" spans="1:33" ht="15.750000" customHeight="1">
      <c r="B251" s="155"/>
      <c r="C251" s="166"/>
      <c r="D251" s="166"/>
      <c r="H251" s="155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  <c r="AA251" s="166"/>
      <c r="AB251" s="166"/>
      <c r="AC251" s="166"/>
      <c r="AD251" s="166"/>
      <c r="AE251" s="166"/>
      <c r="AF251" s="166"/>
      <c r="AG251" s="166"/>
    </row>
    <row r="252" spans="1:33" ht="15.750000" customHeight="1">
      <c r="A252" s="156" t="s">
        <v>116</v>
      </c>
      <c r="B252" s="155"/>
      <c r="C252" s="166"/>
      <c r="D252" s="166"/>
      <c r="E252" s="481">
        <f>F252*120%</f>
        <v>0</v>
      </c>
      <c r="F252" s="481">
        <f>(D252-C252+1)*G252</f>
        <v>0</v>
      </c>
      <c r="G252" s="482">
        <f>IF(OR((H252=""),(H252=5)),N252*40,IF(H252=10,N252*55,"포인트 열 재확인"))</f>
        <v>0</v>
      </c>
      <c r="H252" s="155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  <c r="AA252" s="166"/>
      <c r="AB252" s="166"/>
      <c r="AC252" s="166"/>
      <c r="AD252" s="166"/>
      <c r="AE252" s="166"/>
      <c r="AF252" s="166"/>
      <c r="AG252" s="166"/>
    </row>
    <row r="253" spans="1:33" ht="15.750000" customHeight="1">
      <c r="B253" s="155"/>
      <c r="C253" s="166"/>
      <c r="D253" s="166"/>
      <c r="H253" s="155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  <c r="AA253" s="166"/>
      <c r="AB253" s="166"/>
      <c r="AC253" s="166"/>
      <c r="AD253" s="166"/>
      <c r="AE253" s="166"/>
      <c r="AF253" s="166"/>
      <c r="AG253" s="166"/>
    </row>
    <row r="254" spans="1:33" ht="15.750000" customHeight="1">
      <c r="B254" s="155"/>
      <c r="C254" s="166"/>
      <c r="D254" s="166"/>
      <c r="H254" s="155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  <c r="AA254" s="166"/>
      <c r="AB254" s="166"/>
      <c r="AC254" s="166"/>
      <c r="AD254" s="166"/>
      <c r="AE254" s="166"/>
      <c r="AF254" s="166"/>
      <c r="AG254" s="166"/>
    </row>
    <row r="255" spans="1:33" ht="15.750000" customHeight="1">
      <c r="B255" s="155"/>
      <c r="C255" s="166"/>
      <c r="D255" s="166"/>
      <c r="H255" s="155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  <c r="AA255" s="166"/>
      <c r="AB255" s="166"/>
      <c r="AC255" s="166"/>
      <c r="AD255" s="166"/>
      <c r="AE255" s="166"/>
      <c r="AF255" s="166"/>
      <c r="AG255" s="166"/>
    </row>
    <row r="256" spans="1:33" ht="15.750000" customHeight="1">
      <c r="B256" s="155"/>
      <c r="C256" s="166"/>
      <c r="D256" s="166"/>
      <c r="H256" s="155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  <c r="AA256" s="166"/>
      <c r="AB256" s="166"/>
      <c r="AC256" s="166"/>
      <c r="AD256" s="166"/>
      <c r="AE256" s="166"/>
      <c r="AF256" s="166"/>
      <c r="AG256" s="166"/>
    </row>
    <row r="257" spans="1:33" ht="15.750000" customHeight="1">
      <c r="A257" s="156" t="s">
        <v>116</v>
      </c>
      <c r="B257" s="155"/>
      <c r="C257" s="166"/>
      <c r="D257" s="166"/>
      <c r="E257" s="481">
        <f>F257*120%</f>
        <v>0</v>
      </c>
      <c r="F257" s="481">
        <f>(D257-C257+1)*G257</f>
        <v>0</v>
      </c>
      <c r="G257" s="482">
        <f>IF(OR((H257=""),(H257=5)),N257*40,IF(H257=10,N257*55,"포인트 열 재확인"))</f>
        <v>0</v>
      </c>
      <c r="H257" s="155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  <c r="AB257" s="166"/>
      <c r="AC257" s="166"/>
      <c r="AD257" s="166"/>
      <c r="AE257" s="166"/>
      <c r="AF257" s="166"/>
      <c r="AG257" s="166"/>
    </row>
    <row r="258" spans="1:33" ht="15.750000" customHeight="1">
      <c r="B258" s="155"/>
      <c r="C258" s="166"/>
      <c r="D258" s="166"/>
      <c r="H258" s="155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  <c r="AA258" s="166"/>
      <c r="AB258" s="166"/>
      <c r="AC258" s="166"/>
      <c r="AD258" s="166"/>
      <c r="AE258" s="166"/>
      <c r="AF258" s="166"/>
      <c r="AG258" s="166"/>
    </row>
    <row r="259" spans="1:33" ht="15.750000" customHeight="1">
      <c r="B259" s="155"/>
      <c r="C259" s="166"/>
      <c r="D259" s="166"/>
      <c r="H259" s="155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  <c r="AA259" s="166"/>
      <c r="AB259" s="166"/>
      <c r="AC259" s="166"/>
      <c r="AD259" s="166"/>
      <c r="AE259" s="166"/>
      <c r="AF259" s="166"/>
      <c r="AG259" s="166"/>
    </row>
    <row r="260" spans="1:33" ht="15.750000" customHeight="1">
      <c r="B260" s="155"/>
      <c r="C260" s="166"/>
      <c r="D260" s="166"/>
      <c r="H260" s="155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  <c r="AA260" s="166"/>
      <c r="AB260" s="166"/>
      <c r="AC260" s="166"/>
      <c r="AD260" s="166"/>
      <c r="AE260" s="166"/>
      <c r="AF260" s="166"/>
      <c r="AG260" s="166"/>
    </row>
    <row r="261" spans="1:33" ht="15.750000" customHeight="1">
      <c r="B261" s="155"/>
      <c r="C261" s="166"/>
      <c r="D261" s="166"/>
      <c r="H261" s="155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6"/>
      <c r="AG261" s="166"/>
    </row>
    <row r="262" spans="1:33" ht="15.750000" customHeight="1">
      <c r="A262" s="156" t="s">
        <v>116</v>
      </c>
      <c r="B262" s="155"/>
      <c r="C262" s="166"/>
      <c r="D262" s="166"/>
      <c r="E262" s="481">
        <f>F262*120%</f>
        <v>0</v>
      </c>
      <c r="F262" s="481">
        <f>(D262-C262+1)*G262</f>
        <v>0</v>
      </c>
      <c r="G262" s="482">
        <f>IF(OR((H262=""),(H262=5)),N262*40,IF(H262=10,N262*55,"포인트 열 재확인"))</f>
        <v>0</v>
      </c>
      <c r="H262" s="155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  <c r="AG262" s="166"/>
    </row>
    <row r="263" spans="1:33" ht="15.750000" customHeight="1">
      <c r="B263" s="155"/>
      <c r="C263" s="166"/>
      <c r="D263" s="166"/>
      <c r="H263" s="155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  <c r="AA263" s="166"/>
      <c r="AB263" s="166"/>
      <c r="AC263" s="166"/>
      <c r="AD263" s="166"/>
      <c r="AE263" s="166"/>
      <c r="AF263" s="166"/>
      <c r="AG263" s="166"/>
    </row>
    <row r="264" spans="1:33" ht="15.750000" customHeight="1">
      <c r="B264" s="155"/>
      <c r="C264" s="166"/>
      <c r="D264" s="166"/>
      <c r="H264" s="155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  <c r="AA264" s="166"/>
      <c r="AB264" s="166"/>
      <c r="AC264" s="166"/>
      <c r="AD264" s="166"/>
      <c r="AE264" s="166"/>
      <c r="AF264" s="166"/>
      <c r="AG264" s="166"/>
    </row>
    <row r="265" spans="1:33" ht="15.750000" customHeight="1">
      <c r="B265" s="155"/>
      <c r="C265" s="166"/>
      <c r="D265" s="166"/>
      <c r="H265" s="155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  <c r="AA265" s="166"/>
      <c r="AB265" s="166"/>
      <c r="AC265" s="166"/>
      <c r="AD265" s="166"/>
      <c r="AE265" s="166"/>
      <c r="AF265" s="166"/>
      <c r="AG265" s="166"/>
    </row>
    <row r="266" spans="1:33" ht="15.750000" customHeight="1">
      <c r="B266" s="155"/>
      <c r="C266" s="166"/>
      <c r="D266" s="166"/>
      <c r="H266" s="155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  <c r="AA266" s="166"/>
      <c r="AB266" s="166"/>
      <c r="AC266" s="166"/>
      <c r="AD266" s="166"/>
      <c r="AE266" s="166"/>
      <c r="AF266" s="166"/>
      <c r="AG266" s="166"/>
    </row>
    <row r="267" spans="1:33" ht="15.750000" customHeight="1">
      <c r="A267" s="156" t="s">
        <v>116</v>
      </c>
      <c r="B267" s="155"/>
      <c r="C267" s="166"/>
      <c r="D267" s="166"/>
      <c r="E267" s="481">
        <f>F267*120%</f>
        <v>0</v>
      </c>
      <c r="F267" s="481">
        <f>(D267-C267+1)*G267</f>
        <v>0</v>
      </c>
      <c r="G267" s="482">
        <f>IF(OR((H267=""),(H267=5)),N267*40,IF(H267=10,N267*55,"포인트 열 재확인"))</f>
        <v>0</v>
      </c>
      <c r="H267" s="155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  <c r="AA267" s="166"/>
      <c r="AB267" s="166"/>
      <c r="AC267" s="166"/>
      <c r="AD267" s="166"/>
      <c r="AE267" s="166"/>
      <c r="AF267" s="166"/>
      <c r="AG267" s="166"/>
    </row>
    <row r="268" spans="1:33" ht="15.750000" customHeight="1">
      <c r="B268" s="155"/>
      <c r="C268" s="166"/>
      <c r="D268" s="166"/>
      <c r="H268" s="155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  <c r="AA268" s="166"/>
      <c r="AB268" s="166"/>
      <c r="AC268" s="166"/>
      <c r="AD268" s="166"/>
      <c r="AE268" s="166"/>
      <c r="AF268" s="166"/>
      <c r="AG268" s="166"/>
    </row>
    <row r="269" spans="1:33" ht="15.750000" customHeight="1">
      <c r="B269" s="155"/>
      <c r="C269" s="166"/>
      <c r="D269" s="166"/>
      <c r="H269" s="155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  <c r="AA269" s="166"/>
      <c r="AB269" s="166"/>
      <c r="AC269" s="166"/>
      <c r="AD269" s="166"/>
      <c r="AE269" s="166"/>
      <c r="AF269" s="166"/>
      <c r="AG269" s="166"/>
    </row>
    <row r="270" spans="1:33" ht="15.750000" customHeight="1">
      <c r="B270" s="155"/>
      <c r="C270" s="166"/>
      <c r="D270" s="166"/>
      <c r="H270" s="155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  <c r="AA270" s="166"/>
      <c r="AB270" s="166"/>
      <c r="AC270" s="166"/>
      <c r="AD270" s="166"/>
      <c r="AE270" s="166"/>
      <c r="AF270" s="166"/>
      <c r="AG270" s="166"/>
    </row>
    <row r="271" spans="1:33" ht="15.750000" customHeight="1">
      <c r="B271" s="155"/>
      <c r="C271" s="166"/>
      <c r="D271" s="166"/>
      <c r="H271" s="155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  <c r="AA271" s="166"/>
      <c r="AB271" s="166"/>
      <c r="AC271" s="166"/>
      <c r="AD271" s="166"/>
      <c r="AE271" s="166"/>
      <c r="AF271" s="166"/>
      <c r="AG271" s="166"/>
    </row>
    <row r="272" spans="1:33" ht="15.750000" customHeight="1">
      <c r="A272" s="156" t="s">
        <v>116</v>
      </c>
      <c r="B272" s="155"/>
      <c r="C272" s="166"/>
      <c r="D272" s="166"/>
      <c r="E272" s="481">
        <f>F272*120%</f>
        <v>0</v>
      </c>
      <c r="F272" s="481">
        <f>(D272-C272+1)*G272</f>
        <v>0</v>
      </c>
      <c r="G272" s="482">
        <f>IF(OR((H272=""),(H272=5)),N272*40,IF(H272=10,N272*55,"포인트 열 재확인"))</f>
        <v>0</v>
      </c>
      <c r="H272" s="155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  <c r="AA272" s="166"/>
      <c r="AB272" s="166"/>
      <c r="AC272" s="166"/>
      <c r="AD272" s="166"/>
      <c r="AE272" s="166"/>
      <c r="AF272" s="166"/>
      <c r="AG272" s="166"/>
    </row>
    <row r="273" spans="1:33" ht="15.750000" customHeight="1">
      <c r="B273" s="155"/>
      <c r="C273" s="166"/>
      <c r="D273" s="166"/>
      <c r="H273" s="155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6"/>
    </row>
    <row r="274" spans="1:33" ht="15.750000" customHeight="1">
      <c r="B274" s="155"/>
      <c r="C274" s="166"/>
      <c r="D274" s="166"/>
      <c r="H274" s="155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  <c r="AA274" s="166"/>
      <c r="AB274" s="166"/>
      <c r="AC274" s="166"/>
      <c r="AD274" s="166"/>
      <c r="AE274" s="166"/>
      <c r="AF274" s="166"/>
      <c r="AG274" s="166"/>
    </row>
    <row r="275" spans="1:33" ht="15.750000" customHeight="1">
      <c r="B275" s="155"/>
      <c r="C275" s="166"/>
      <c r="D275" s="166"/>
      <c r="H275" s="155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  <c r="AB275" s="166"/>
      <c r="AC275" s="166"/>
      <c r="AD275" s="166"/>
      <c r="AE275" s="166"/>
      <c r="AF275" s="166"/>
      <c r="AG275" s="166"/>
    </row>
    <row r="276" spans="1:33" ht="15.750000" customHeight="1">
      <c r="B276" s="155"/>
      <c r="C276" s="166"/>
      <c r="D276" s="166"/>
      <c r="H276" s="155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  <c r="AA276" s="166"/>
      <c r="AB276" s="166"/>
      <c r="AC276" s="166"/>
      <c r="AD276" s="166"/>
      <c r="AE276" s="166"/>
      <c r="AF276" s="166"/>
      <c r="AG276" s="166"/>
    </row>
    <row r="277" spans="1:33" ht="15.750000" customHeight="1">
      <c r="A277" s="156" t="s">
        <v>116</v>
      </c>
      <c r="B277" s="155"/>
      <c r="C277" s="166"/>
      <c r="D277" s="166"/>
      <c r="E277" s="481">
        <f>F277*120%</f>
        <v>0</v>
      </c>
      <c r="F277" s="481">
        <f>(D277-C277+1)*G277</f>
        <v>0</v>
      </c>
      <c r="G277" s="482">
        <f>IF(OR((H277=""),(H277=5)),N277*40,IF(H277=10,N277*55,"포인트 열 재확인"))</f>
        <v>0</v>
      </c>
      <c r="H277" s="155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</row>
    <row r="278" spans="1:33" ht="15.750000" customHeight="1">
      <c r="B278" s="155"/>
      <c r="C278" s="166"/>
      <c r="D278" s="166"/>
      <c r="H278" s="155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  <c r="AA278" s="166"/>
      <c r="AB278" s="166"/>
      <c r="AC278" s="166"/>
      <c r="AD278" s="166"/>
      <c r="AE278" s="166"/>
      <c r="AF278" s="166"/>
      <c r="AG278" s="166"/>
    </row>
    <row r="279" spans="1:33" ht="15.750000" customHeight="1">
      <c r="B279" s="155"/>
      <c r="C279" s="166"/>
      <c r="D279" s="166"/>
      <c r="H279" s="155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  <c r="AA279" s="166"/>
      <c r="AB279" s="166"/>
      <c r="AC279" s="166"/>
      <c r="AD279" s="166"/>
      <c r="AE279" s="166"/>
      <c r="AF279" s="166"/>
      <c r="AG279" s="166"/>
    </row>
    <row r="280" spans="1:33" ht="15.750000" customHeight="1">
      <c r="B280" s="155"/>
      <c r="C280" s="166"/>
      <c r="D280" s="166"/>
      <c r="H280" s="155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  <c r="AA280" s="166"/>
      <c r="AB280" s="166"/>
      <c r="AC280" s="166"/>
      <c r="AD280" s="166"/>
      <c r="AE280" s="166"/>
      <c r="AF280" s="166"/>
      <c r="AG280" s="166"/>
    </row>
    <row r="281" spans="1:33" ht="15.750000" customHeight="1">
      <c r="B281" s="155"/>
      <c r="C281" s="166"/>
      <c r="D281" s="166"/>
      <c r="H281" s="155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  <c r="AA281" s="166"/>
      <c r="AB281" s="166"/>
      <c r="AC281" s="166"/>
      <c r="AD281" s="166"/>
      <c r="AE281" s="166"/>
      <c r="AF281" s="166"/>
      <c r="AG281" s="166"/>
    </row>
    <row r="282" spans="1:33" ht="15.750000" customHeight="1">
      <c r="A282" s="156" t="s">
        <v>116</v>
      </c>
      <c r="B282" s="155"/>
      <c r="C282" s="166"/>
      <c r="D282" s="166"/>
      <c r="E282" s="481">
        <f>F282*120%</f>
        <v>0</v>
      </c>
      <c r="F282" s="481">
        <f>(D282-C282+1)*G282</f>
        <v>0</v>
      </c>
      <c r="G282" s="482">
        <f>IF(OR((H282=""),(H282=5)),N282*40,IF(H282=10,N282*55,"포인트 열 재확인"))</f>
        <v>0</v>
      </c>
      <c r="H282" s="155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  <c r="AA282" s="166"/>
      <c r="AB282" s="166"/>
      <c r="AC282" s="166"/>
      <c r="AD282" s="166"/>
      <c r="AE282" s="166"/>
      <c r="AF282" s="166"/>
      <c r="AG282" s="166"/>
    </row>
    <row r="283" spans="1:33" ht="15.750000" customHeight="1">
      <c r="B283" s="155"/>
      <c r="C283" s="166"/>
      <c r="D283" s="166"/>
      <c r="H283" s="155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  <c r="AA283" s="166"/>
      <c r="AB283" s="166"/>
      <c r="AC283" s="166"/>
      <c r="AD283" s="166"/>
      <c r="AE283" s="166"/>
      <c r="AF283" s="166"/>
      <c r="AG283" s="166"/>
    </row>
    <row r="284" spans="1:33" ht="15.750000" customHeight="1">
      <c r="B284" s="155"/>
      <c r="C284" s="166"/>
      <c r="D284" s="166"/>
      <c r="H284" s="155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  <c r="AA284" s="166"/>
      <c r="AB284" s="166"/>
      <c r="AC284" s="166"/>
      <c r="AD284" s="166"/>
      <c r="AE284" s="166"/>
      <c r="AF284" s="166"/>
      <c r="AG284" s="166"/>
    </row>
    <row r="285" spans="1:33" ht="15.750000" customHeight="1">
      <c r="B285" s="155"/>
      <c r="C285" s="166"/>
      <c r="D285" s="166"/>
      <c r="H285" s="155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  <c r="AA285" s="166"/>
      <c r="AB285" s="166"/>
      <c r="AC285" s="166"/>
      <c r="AD285" s="166"/>
      <c r="AE285" s="166"/>
      <c r="AF285" s="166"/>
      <c r="AG285" s="166"/>
    </row>
    <row r="286" spans="1:33" ht="15.750000" customHeight="1">
      <c r="B286" s="155"/>
      <c r="C286" s="166"/>
      <c r="D286" s="166"/>
      <c r="H286" s="155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6"/>
    </row>
    <row r="287" spans="1:33" ht="15.750000" customHeight="1">
      <c r="A287" s="156" t="s">
        <v>116</v>
      </c>
      <c r="B287" s="155"/>
      <c r="C287" s="166"/>
      <c r="D287" s="166"/>
      <c r="E287" s="481">
        <f>F287*120%</f>
        <v>0</v>
      </c>
      <c r="F287" s="481">
        <f>(D287-C287+1)*G287</f>
        <v>0</v>
      </c>
      <c r="G287" s="482">
        <f>IF(OR((H287=""),(H287=5)),N287*40,IF(H287=10,N287*55,"포인트 열 재확인"))</f>
        <v>0</v>
      </c>
      <c r="H287" s="155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  <c r="AA287" s="166"/>
      <c r="AB287" s="166"/>
      <c r="AC287" s="166"/>
      <c r="AD287" s="166"/>
      <c r="AE287" s="166"/>
      <c r="AF287" s="166"/>
      <c r="AG287" s="166"/>
    </row>
    <row r="288" spans="1:33" ht="15.750000" customHeight="1">
      <c r="B288" s="155"/>
      <c r="C288" s="166"/>
      <c r="D288" s="166"/>
      <c r="H288" s="155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  <c r="AA288" s="166"/>
      <c r="AB288" s="166"/>
      <c r="AC288" s="166"/>
      <c r="AD288" s="166"/>
      <c r="AE288" s="166"/>
      <c r="AF288" s="166"/>
      <c r="AG288" s="166"/>
    </row>
    <row r="289" spans="1:33" ht="15.750000" customHeight="1">
      <c r="B289" s="155"/>
      <c r="C289" s="166"/>
      <c r="D289" s="166"/>
      <c r="H289" s="155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  <c r="AA289" s="166"/>
      <c r="AB289" s="166"/>
      <c r="AC289" s="166"/>
      <c r="AD289" s="166"/>
      <c r="AE289" s="166"/>
      <c r="AF289" s="166"/>
      <c r="AG289" s="166"/>
    </row>
    <row r="290" spans="1:33" ht="15.750000" customHeight="1">
      <c r="B290" s="155"/>
      <c r="C290" s="166"/>
      <c r="D290" s="166"/>
      <c r="H290" s="155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  <c r="AA290" s="166"/>
      <c r="AB290" s="166"/>
      <c r="AC290" s="166"/>
      <c r="AD290" s="166"/>
      <c r="AE290" s="166"/>
      <c r="AF290" s="166"/>
      <c r="AG290" s="166"/>
    </row>
    <row r="291" spans="1:33" ht="15.750000" customHeight="1">
      <c r="B291" s="155"/>
      <c r="C291" s="166"/>
      <c r="D291" s="166"/>
      <c r="H291" s="155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  <c r="AA291" s="166"/>
      <c r="AB291" s="166"/>
      <c r="AC291" s="166"/>
      <c r="AD291" s="166"/>
      <c r="AE291" s="166"/>
      <c r="AF291" s="166"/>
      <c r="AG291" s="166"/>
    </row>
    <row r="292" spans="1:33" ht="15.750000" customHeight="1">
      <c r="A292" s="156" t="s">
        <v>116</v>
      </c>
      <c r="B292" s="155"/>
      <c r="C292" s="166"/>
      <c r="D292" s="166"/>
      <c r="E292" s="481">
        <f>F292*120%</f>
        <v>0</v>
      </c>
      <c r="F292" s="481">
        <f>(D292-C292+1)*G292</f>
        <v>0</v>
      </c>
      <c r="G292" s="482">
        <f>IF(OR((H292=""),(H292=5)),N292*40,IF(H292=10,N292*55,"포인트 열 재확인"))</f>
        <v>0</v>
      </c>
      <c r="H292" s="155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  <c r="AA292" s="166"/>
      <c r="AB292" s="166"/>
      <c r="AC292" s="166"/>
      <c r="AD292" s="166"/>
      <c r="AE292" s="166"/>
      <c r="AF292" s="166"/>
      <c r="AG292" s="166"/>
    </row>
    <row r="293" spans="1:33" ht="15.750000" customHeight="1">
      <c r="B293" s="155"/>
      <c r="C293" s="166"/>
      <c r="D293" s="166"/>
      <c r="H293" s="155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  <c r="AA293" s="166"/>
      <c r="AB293" s="166"/>
      <c r="AC293" s="166"/>
      <c r="AD293" s="166"/>
      <c r="AE293" s="166"/>
      <c r="AF293" s="166"/>
      <c r="AG293" s="166"/>
    </row>
    <row r="294" spans="1:33" ht="15.750000" customHeight="1">
      <c r="B294" s="155"/>
      <c r="C294" s="166"/>
      <c r="D294" s="166"/>
      <c r="H294" s="155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  <c r="AA294" s="166"/>
      <c r="AB294" s="166"/>
      <c r="AC294" s="166"/>
      <c r="AD294" s="166"/>
      <c r="AE294" s="166"/>
      <c r="AF294" s="166"/>
      <c r="AG294" s="166"/>
    </row>
    <row r="295" spans="1:33" ht="15.750000" customHeight="1">
      <c r="B295" s="155"/>
      <c r="C295" s="166"/>
      <c r="D295" s="166"/>
      <c r="H295" s="155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  <c r="AA295" s="166"/>
      <c r="AB295" s="166"/>
      <c r="AC295" s="166"/>
      <c r="AD295" s="166"/>
      <c r="AE295" s="166"/>
      <c r="AF295" s="166"/>
      <c r="AG295" s="166"/>
    </row>
    <row r="296" spans="1:33" ht="15.750000" customHeight="1">
      <c r="B296" s="155"/>
      <c r="C296" s="166"/>
      <c r="D296" s="166"/>
      <c r="H296" s="155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  <c r="AA296" s="166"/>
      <c r="AB296" s="166"/>
      <c r="AC296" s="166"/>
      <c r="AD296" s="166"/>
      <c r="AE296" s="166"/>
      <c r="AF296" s="166"/>
      <c r="AG296" s="166"/>
    </row>
    <row r="297" spans="1:33" ht="15.750000" customHeight="1">
      <c r="A297" s="156" t="s">
        <v>116</v>
      </c>
      <c r="B297" s="155"/>
      <c r="C297" s="166"/>
      <c r="D297" s="166"/>
      <c r="E297" s="481">
        <f>F297*120%</f>
        <v>0</v>
      </c>
      <c r="F297" s="481">
        <f>(D297-C297+1)*G297</f>
        <v>0</v>
      </c>
      <c r="G297" s="482">
        <f>IF(OR((H297=""),(H297=5)),N297*40,IF(H297=10,N297*55,"포인트 열 재확인"))</f>
        <v>0</v>
      </c>
      <c r="H297" s="155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  <c r="AA297" s="166"/>
      <c r="AB297" s="166"/>
      <c r="AC297" s="166"/>
      <c r="AD297" s="166"/>
      <c r="AE297" s="166"/>
      <c r="AF297" s="166"/>
      <c r="AG297" s="166"/>
    </row>
    <row r="298" spans="1:33" ht="15.750000" customHeight="1">
      <c r="B298" s="155"/>
      <c r="C298" s="166"/>
      <c r="D298" s="166"/>
      <c r="H298" s="155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  <c r="AA298" s="166"/>
      <c r="AB298" s="166"/>
      <c r="AC298" s="166"/>
      <c r="AD298" s="166"/>
      <c r="AE298" s="166"/>
      <c r="AF298" s="166"/>
      <c r="AG298" s="166"/>
    </row>
    <row r="299" spans="1:33" ht="15.750000" customHeight="1">
      <c r="B299" s="155"/>
      <c r="C299" s="166"/>
      <c r="D299" s="166"/>
      <c r="H299" s="155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  <c r="AA299" s="166"/>
      <c r="AB299" s="166"/>
      <c r="AC299" s="166"/>
      <c r="AD299" s="166"/>
      <c r="AE299" s="166"/>
      <c r="AF299" s="166"/>
      <c r="AG299" s="166"/>
    </row>
    <row r="300" spans="1:33" ht="15.750000" customHeight="1">
      <c r="B300" s="155"/>
      <c r="C300" s="166"/>
      <c r="D300" s="166"/>
      <c r="H300" s="155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  <c r="AA300" s="166"/>
      <c r="AB300" s="166"/>
      <c r="AC300" s="166"/>
      <c r="AD300" s="166"/>
      <c r="AE300" s="166"/>
      <c r="AF300" s="166"/>
      <c r="AG300" s="166"/>
    </row>
    <row r="301" spans="1:33" ht="15.750000" customHeight="1">
      <c r="B301" s="155"/>
      <c r="C301" s="166"/>
      <c r="D301" s="166"/>
      <c r="H301" s="155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  <c r="AA301" s="166"/>
      <c r="AB301" s="166"/>
      <c r="AC301" s="166"/>
      <c r="AD301" s="166"/>
      <c r="AE301" s="166"/>
      <c r="AF301" s="166"/>
      <c r="AG301" s="166"/>
    </row>
    <row r="302" spans="1:33" ht="15.750000" customHeight="1">
      <c r="A302" s="156" t="s">
        <v>116</v>
      </c>
      <c r="B302" s="155"/>
      <c r="C302" s="166"/>
      <c r="D302" s="166"/>
      <c r="E302" s="481">
        <f>F302*120%</f>
        <v>0</v>
      </c>
      <c r="F302" s="481">
        <f>(D302-C302+1)*G302</f>
        <v>0</v>
      </c>
      <c r="G302" s="482">
        <f>IF(OR((H302=""),(H302=5)),N302*40,IF(H302=10,N302*55,"포인트 열 재확인"))</f>
        <v>0</v>
      </c>
      <c r="H302" s="155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  <c r="AA302" s="166"/>
      <c r="AB302" s="166"/>
      <c r="AC302" s="166"/>
      <c r="AD302" s="166"/>
      <c r="AE302" s="166"/>
      <c r="AF302" s="166"/>
      <c r="AG302" s="166"/>
    </row>
    <row r="303" spans="1:33" ht="15.750000" customHeight="1">
      <c r="B303" s="155"/>
      <c r="C303" s="166"/>
      <c r="D303" s="166"/>
      <c r="H303" s="155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  <c r="AA303" s="166"/>
      <c r="AB303" s="166"/>
      <c r="AC303" s="166"/>
      <c r="AD303" s="166"/>
      <c r="AE303" s="166"/>
      <c r="AF303" s="166"/>
      <c r="AG303" s="166"/>
    </row>
    <row r="304" spans="1:33" ht="15.750000" customHeight="1">
      <c r="B304" s="155"/>
      <c r="C304" s="166"/>
      <c r="D304" s="166"/>
      <c r="H304" s="155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  <c r="AA304" s="166"/>
      <c r="AB304" s="166"/>
      <c r="AC304" s="166"/>
      <c r="AD304" s="166"/>
      <c r="AE304" s="166"/>
      <c r="AF304" s="166"/>
      <c r="AG304" s="166"/>
    </row>
    <row r="305" spans="1:33" ht="15.750000" customHeight="1">
      <c r="B305" s="155"/>
      <c r="C305" s="166"/>
      <c r="D305" s="166"/>
      <c r="H305" s="155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  <c r="AA305" s="166"/>
      <c r="AB305" s="166"/>
      <c r="AC305" s="166"/>
      <c r="AD305" s="166"/>
      <c r="AE305" s="166"/>
      <c r="AF305" s="166"/>
      <c r="AG305" s="166"/>
    </row>
    <row r="306" spans="1:33" ht="15.750000" customHeight="1">
      <c r="B306" s="155"/>
      <c r="C306" s="166"/>
      <c r="D306" s="166"/>
      <c r="H306" s="155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  <c r="AA306" s="166"/>
      <c r="AB306" s="166"/>
      <c r="AC306" s="166"/>
      <c r="AD306" s="166"/>
      <c r="AE306" s="166"/>
      <c r="AF306" s="166"/>
      <c r="AG306" s="166"/>
    </row>
    <row r="307" spans="1:33" ht="15.750000" customHeight="1">
      <c r="A307" s="156" t="s">
        <v>116</v>
      </c>
      <c r="B307" s="155"/>
      <c r="C307" s="166"/>
      <c r="D307" s="166"/>
      <c r="E307" s="481">
        <f>F307*120%</f>
        <v>0</v>
      </c>
      <c r="F307" s="481">
        <f>(D307-C307+1)*G307</f>
        <v>0</v>
      </c>
      <c r="G307" s="482">
        <f>IF(OR((H307=""),(H307=5)),N307*40,IF(H307=10,N307*55,"포인트 열 재확인"))</f>
        <v>0</v>
      </c>
      <c r="H307" s="155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  <c r="AA307" s="166"/>
      <c r="AB307" s="166"/>
      <c r="AC307" s="166"/>
      <c r="AD307" s="166"/>
      <c r="AE307" s="166"/>
      <c r="AF307" s="166"/>
      <c r="AG307" s="166"/>
    </row>
    <row r="308" spans="1:33" ht="15.750000" customHeight="1">
      <c r="B308" s="155"/>
      <c r="C308" s="166"/>
      <c r="D308" s="166"/>
      <c r="H308" s="155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  <c r="AA308" s="166"/>
      <c r="AB308" s="166"/>
      <c r="AC308" s="166"/>
      <c r="AD308" s="166"/>
      <c r="AE308" s="166"/>
      <c r="AF308" s="166"/>
      <c r="AG308" s="166"/>
    </row>
    <row r="309" spans="1:33" ht="15.750000" customHeight="1">
      <c r="B309" s="155"/>
      <c r="C309" s="166"/>
      <c r="D309" s="166"/>
      <c r="H309" s="155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  <c r="AA309" s="166"/>
      <c r="AB309" s="166"/>
      <c r="AC309" s="166"/>
      <c r="AD309" s="166"/>
      <c r="AE309" s="166"/>
      <c r="AF309" s="166"/>
      <c r="AG309" s="166"/>
    </row>
    <row r="310" spans="1:33" ht="15.750000" customHeight="1">
      <c r="B310" s="155"/>
      <c r="C310" s="166"/>
      <c r="D310" s="166"/>
      <c r="H310" s="155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  <c r="AA310" s="166"/>
      <c r="AB310" s="166"/>
      <c r="AC310" s="166"/>
      <c r="AD310" s="166"/>
      <c r="AE310" s="166"/>
      <c r="AF310" s="166"/>
      <c r="AG310" s="166"/>
    </row>
    <row r="311" spans="1:33" ht="15.750000" customHeight="1">
      <c r="B311" s="155"/>
      <c r="C311" s="166"/>
      <c r="D311" s="166"/>
      <c r="H311" s="155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  <c r="AA311" s="166"/>
      <c r="AB311" s="166"/>
      <c r="AC311" s="166"/>
      <c r="AD311" s="166"/>
      <c r="AE311" s="166"/>
      <c r="AF311" s="166"/>
      <c r="AG311" s="166"/>
    </row>
    <row r="312" spans="1:33" ht="15.750000" customHeight="1">
      <c r="A312" s="156" t="s">
        <v>116</v>
      </c>
      <c r="B312" s="155"/>
      <c r="C312" s="166"/>
      <c r="D312" s="166"/>
      <c r="E312" s="481">
        <f>F312*120%</f>
        <v>0</v>
      </c>
      <c r="F312" s="481">
        <f>(D312-C312+1)*G312</f>
        <v>0</v>
      </c>
      <c r="G312" s="482">
        <f>IF(OR((H312=""),(H312=5)),N312*40,IF(H312=10,N312*55,"포인트 열 재확인"))</f>
        <v>0</v>
      </c>
      <c r="H312" s="155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  <c r="AA312" s="166"/>
      <c r="AB312" s="166"/>
      <c r="AC312" s="166"/>
      <c r="AD312" s="166"/>
      <c r="AE312" s="166"/>
      <c r="AF312" s="166"/>
      <c r="AG312" s="166"/>
    </row>
    <row r="313" spans="1:33" ht="15.750000" customHeight="1">
      <c r="B313" s="155"/>
      <c r="C313" s="166"/>
      <c r="D313" s="166"/>
      <c r="H313" s="155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6"/>
      <c r="AG313" s="166"/>
    </row>
    <row r="314" spans="1:33" ht="15.750000" customHeight="1">
      <c r="B314" s="155"/>
      <c r="C314" s="166"/>
      <c r="D314" s="166"/>
      <c r="H314" s="155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  <c r="AA314" s="166"/>
      <c r="AB314" s="166"/>
      <c r="AC314" s="166"/>
      <c r="AD314" s="166"/>
      <c r="AE314" s="166"/>
      <c r="AF314" s="166"/>
      <c r="AG314" s="166"/>
    </row>
    <row r="315" spans="1:33" ht="15.750000" customHeight="1">
      <c r="B315" s="155"/>
      <c r="C315" s="166"/>
      <c r="D315" s="166"/>
      <c r="H315" s="155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  <c r="AA315" s="166"/>
      <c r="AB315" s="166"/>
      <c r="AC315" s="166"/>
      <c r="AD315" s="166"/>
      <c r="AE315" s="166"/>
      <c r="AF315" s="166"/>
      <c r="AG315" s="166"/>
    </row>
    <row r="316" spans="1:33" ht="15.750000" customHeight="1">
      <c r="B316" s="155"/>
      <c r="C316" s="166"/>
      <c r="D316" s="166"/>
      <c r="H316" s="155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  <c r="AA316" s="166"/>
      <c r="AB316" s="166"/>
      <c r="AC316" s="166"/>
      <c r="AD316" s="166"/>
      <c r="AE316" s="166"/>
      <c r="AF316" s="166"/>
      <c r="AG316" s="166"/>
    </row>
    <row r="317" spans="1:33" ht="15.750000" customHeight="1">
      <c r="A317" s="156" t="s">
        <v>116</v>
      </c>
      <c r="B317" s="155"/>
      <c r="C317" s="166"/>
      <c r="D317" s="166"/>
      <c r="E317" s="481">
        <f>F317*120%</f>
        <v>0</v>
      </c>
      <c r="F317" s="481">
        <f>(D317-C317+1)*G317</f>
        <v>0</v>
      </c>
      <c r="G317" s="482">
        <f>IF(OR((H317=""),(H317=5)),N317*40,IF(H317=10,N317*55,"포인트 열 재확인"))</f>
        <v>0</v>
      </c>
      <c r="H317" s="155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  <c r="AA317" s="166"/>
      <c r="AB317" s="166"/>
      <c r="AC317" s="166"/>
      <c r="AD317" s="166"/>
      <c r="AE317" s="166"/>
      <c r="AF317" s="166"/>
      <c r="AG317" s="166"/>
    </row>
    <row r="318" spans="1:33" ht="15.750000" customHeight="1">
      <c r="B318" s="155"/>
      <c r="C318" s="166"/>
      <c r="D318" s="166"/>
      <c r="H318" s="155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  <c r="AA318" s="166"/>
      <c r="AB318" s="166"/>
      <c r="AC318" s="166"/>
      <c r="AD318" s="166"/>
      <c r="AE318" s="166"/>
      <c r="AF318" s="166"/>
      <c r="AG318" s="166"/>
    </row>
    <row r="319" spans="1:33" ht="15.750000" customHeight="1">
      <c r="B319" s="155"/>
      <c r="C319" s="166"/>
      <c r="D319" s="166"/>
      <c r="H319" s="155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  <c r="AA319" s="166"/>
      <c r="AB319" s="166"/>
      <c r="AC319" s="166"/>
      <c r="AD319" s="166"/>
      <c r="AE319" s="166"/>
      <c r="AF319" s="166"/>
      <c r="AG319" s="166"/>
    </row>
    <row r="320" spans="1:33" ht="15.750000" customHeight="1">
      <c r="B320" s="155"/>
      <c r="C320" s="166"/>
      <c r="D320" s="166"/>
      <c r="H320" s="155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  <c r="AA320" s="166"/>
      <c r="AB320" s="166"/>
      <c r="AC320" s="166"/>
      <c r="AD320" s="166"/>
      <c r="AE320" s="166"/>
      <c r="AF320" s="166"/>
      <c r="AG320" s="166"/>
    </row>
    <row r="321" spans="1:33" ht="15.750000" customHeight="1">
      <c r="B321" s="155"/>
      <c r="C321" s="166"/>
      <c r="D321" s="166"/>
      <c r="H321" s="155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  <c r="AA321" s="166"/>
      <c r="AB321" s="166"/>
      <c r="AC321" s="166"/>
      <c r="AD321" s="166"/>
      <c r="AE321" s="166"/>
      <c r="AF321" s="166"/>
      <c r="AG321" s="166"/>
    </row>
    <row r="322" spans="1:33" ht="15.750000" customHeight="1">
      <c r="A322" s="156" t="s">
        <v>116</v>
      </c>
      <c r="B322" s="155"/>
      <c r="C322" s="166"/>
      <c r="D322" s="166"/>
      <c r="E322" s="481">
        <f>F322*120%</f>
        <v>0</v>
      </c>
      <c r="F322" s="481">
        <f>(D322-C322+1)*G322</f>
        <v>0</v>
      </c>
      <c r="G322" s="482">
        <f>IF(OR((H322=""),(H322=5)),N322*40,IF(H322=10,N322*55,"포인트 열 재확인"))</f>
        <v>0</v>
      </c>
      <c r="H322" s="155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  <c r="AA322" s="166"/>
      <c r="AB322" s="166"/>
      <c r="AC322" s="166"/>
      <c r="AD322" s="166"/>
      <c r="AE322" s="166"/>
      <c r="AF322" s="166"/>
      <c r="AG322" s="166"/>
    </row>
    <row r="323" spans="1:33" ht="15.750000" customHeight="1">
      <c r="B323" s="155"/>
      <c r="C323" s="166"/>
      <c r="D323" s="166"/>
      <c r="H323" s="155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  <c r="AA323" s="166"/>
      <c r="AB323" s="166"/>
      <c r="AC323" s="166"/>
      <c r="AD323" s="166"/>
      <c r="AE323" s="166"/>
      <c r="AF323" s="166"/>
      <c r="AG323" s="166"/>
    </row>
    <row r="324" spans="1:33" ht="15.750000" customHeight="1">
      <c r="B324" s="155"/>
      <c r="C324" s="166"/>
      <c r="D324" s="166"/>
      <c r="H324" s="155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  <c r="AA324" s="166"/>
      <c r="AB324" s="166"/>
      <c r="AC324" s="166"/>
      <c r="AD324" s="166"/>
      <c r="AE324" s="166"/>
      <c r="AF324" s="166"/>
      <c r="AG324" s="166"/>
    </row>
    <row r="325" spans="1:33" ht="15.750000" customHeight="1">
      <c r="B325" s="155"/>
      <c r="C325" s="166"/>
      <c r="D325" s="166"/>
      <c r="H325" s="155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6"/>
    </row>
    <row r="326" spans="1:33" ht="15.750000" customHeight="1">
      <c r="B326" s="155"/>
      <c r="C326" s="166"/>
      <c r="D326" s="166"/>
      <c r="H326" s="155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  <c r="AA326" s="166"/>
      <c r="AB326" s="166"/>
      <c r="AC326" s="166"/>
      <c r="AD326" s="166"/>
      <c r="AE326" s="166"/>
      <c r="AF326" s="166"/>
      <c r="AG326" s="166"/>
    </row>
    <row r="327" spans="1:33" ht="15.750000" customHeight="1">
      <c r="A327" s="156" t="s">
        <v>116</v>
      </c>
      <c r="B327" s="155"/>
      <c r="C327" s="166"/>
      <c r="D327" s="166"/>
      <c r="E327" s="481">
        <f>F327*120%</f>
        <v>0</v>
      </c>
      <c r="F327" s="481">
        <f>(D327-C327+1)*G327</f>
        <v>0</v>
      </c>
      <c r="G327" s="482">
        <f>IF(OR((H327=""),(H327=5)),N327*40,IF(H327=10,N327*55,"포인트 열 재확인"))</f>
        <v>0</v>
      </c>
      <c r="H327" s="155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  <c r="AA327" s="166"/>
      <c r="AB327" s="166"/>
      <c r="AC327" s="166"/>
      <c r="AD327" s="166"/>
      <c r="AE327" s="166"/>
      <c r="AF327" s="166"/>
      <c r="AG327" s="166"/>
    </row>
    <row r="328" spans="1:33" ht="15.750000" customHeight="1">
      <c r="B328" s="155"/>
      <c r="C328" s="166"/>
      <c r="D328" s="166"/>
      <c r="H328" s="155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  <c r="AA328" s="166"/>
      <c r="AB328" s="166"/>
      <c r="AC328" s="166"/>
      <c r="AD328" s="166"/>
      <c r="AE328" s="166"/>
      <c r="AF328" s="166"/>
      <c r="AG328" s="166"/>
    </row>
    <row r="329" spans="1:33" ht="15.750000" customHeight="1">
      <c r="B329" s="155"/>
      <c r="C329" s="166"/>
      <c r="D329" s="166"/>
      <c r="H329" s="155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  <c r="AA329" s="166"/>
      <c r="AB329" s="166"/>
      <c r="AC329" s="166"/>
      <c r="AD329" s="166"/>
      <c r="AE329" s="166"/>
      <c r="AF329" s="166"/>
      <c r="AG329" s="166"/>
    </row>
    <row r="330" spans="1:33" ht="15.750000" customHeight="1">
      <c r="B330" s="155"/>
      <c r="C330" s="166"/>
      <c r="D330" s="166"/>
      <c r="H330" s="155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  <c r="AA330" s="166"/>
      <c r="AB330" s="166"/>
      <c r="AC330" s="166"/>
      <c r="AD330" s="166"/>
      <c r="AE330" s="166"/>
      <c r="AF330" s="166"/>
      <c r="AG330" s="166"/>
    </row>
    <row r="331" spans="1:33" ht="15.750000" customHeight="1">
      <c r="B331" s="155"/>
      <c r="C331" s="166"/>
      <c r="D331" s="166"/>
      <c r="H331" s="155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  <c r="AA331" s="166"/>
      <c r="AB331" s="166"/>
      <c r="AC331" s="166"/>
      <c r="AD331" s="166"/>
      <c r="AE331" s="166"/>
      <c r="AF331" s="166"/>
      <c r="AG331" s="166"/>
    </row>
    <row r="332" spans="1:33" ht="15.750000" customHeight="1">
      <c r="A332" s="156" t="s">
        <v>116</v>
      </c>
      <c r="B332" s="155"/>
      <c r="C332" s="166"/>
      <c r="D332" s="166"/>
      <c r="E332" s="481">
        <f>F332*120%</f>
        <v>0</v>
      </c>
      <c r="F332" s="481">
        <f>(D332-C332+1)*G332</f>
        <v>0</v>
      </c>
      <c r="G332" s="482">
        <f>IF(OR((H332=""),(H332=5)),N332*40,IF(H332=10,N332*55,"포인트 열 재확인"))</f>
        <v>0</v>
      </c>
      <c r="H332" s="155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  <c r="AA332" s="166"/>
      <c r="AB332" s="166"/>
      <c r="AC332" s="166"/>
      <c r="AD332" s="166"/>
      <c r="AE332" s="166"/>
      <c r="AF332" s="166"/>
      <c r="AG332" s="166"/>
    </row>
    <row r="333" spans="1:33" ht="15.750000" customHeight="1">
      <c r="B333" s="155"/>
      <c r="C333" s="166"/>
      <c r="D333" s="166"/>
      <c r="H333" s="155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  <c r="AA333" s="166"/>
      <c r="AB333" s="166"/>
      <c r="AC333" s="166"/>
      <c r="AD333" s="166"/>
      <c r="AE333" s="166"/>
      <c r="AF333" s="166"/>
      <c r="AG333" s="166"/>
    </row>
    <row r="334" spans="1:33" ht="15.750000" customHeight="1">
      <c r="B334" s="155"/>
      <c r="C334" s="166"/>
      <c r="D334" s="166"/>
      <c r="H334" s="155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  <c r="AA334" s="166"/>
      <c r="AB334" s="166"/>
      <c r="AC334" s="166"/>
      <c r="AD334" s="166"/>
      <c r="AE334" s="166"/>
      <c r="AF334" s="166"/>
      <c r="AG334" s="166"/>
    </row>
    <row r="335" spans="1:33" ht="15.750000" customHeight="1">
      <c r="B335" s="155"/>
      <c r="C335" s="166"/>
      <c r="D335" s="166"/>
      <c r="H335" s="155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  <c r="AA335" s="166"/>
      <c r="AB335" s="166"/>
      <c r="AC335" s="166"/>
      <c r="AD335" s="166"/>
      <c r="AE335" s="166"/>
      <c r="AF335" s="166"/>
      <c r="AG335" s="166"/>
    </row>
    <row r="336" spans="1:33" ht="15.750000" customHeight="1">
      <c r="B336" s="155"/>
      <c r="C336" s="166"/>
      <c r="D336" s="166"/>
      <c r="H336" s="155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  <c r="AA336" s="166"/>
      <c r="AB336" s="166"/>
      <c r="AC336" s="166"/>
      <c r="AD336" s="166"/>
      <c r="AE336" s="166"/>
      <c r="AF336" s="166"/>
      <c r="AG336" s="166"/>
    </row>
    <row r="337" spans="1:33" ht="15.750000" customHeight="1">
      <c r="A337" s="156" t="s">
        <v>116</v>
      </c>
      <c r="B337" s="155"/>
      <c r="C337" s="166"/>
      <c r="D337" s="166"/>
      <c r="E337" s="481">
        <f>F337*120%</f>
        <v>0</v>
      </c>
      <c r="F337" s="481">
        <f>(D337-C337+1)*G337</f>
        <v>0</v>
      </c>
      <c r="G337" s="482">
        <f>IF(OR((H337=""),(H337=5)),N337*40,IF(H337=10,N337*55,"포인트 열 재확인"))</f>
        <v>0</v>
      </c>
      <c r="H337" s="155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  <c r="AA337" s="166"/>
      <c r="AB337" s="166"/>
      <c r="AC337" s="166"/>
      <c r="AD337" s="166"/>
      <c r="AE337" s="166"/>
      <c r="AF337" s="166"/>
      <c r="AG337" s="166"/>
    </row>
    <row r="338" spans="1:33" ht="15.750000" customHeight="1">
      <c r="B338" s="155"/>
      <c r="C338" s="166"/>
      <c r="D338" s="166"/>
      <c r="H338" s="155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  <c r="AA338" s="166"/>
      <c r="AB338" s="166"/>
      <c r="AC338" s="166"/>
      <c r="AD338" s="166"/>
      <c r="AE338" s="166"/>
      <c r="AF338" s="166"/>
      <c r="AG338" s="166"/>
    </row>
    <row r="339" spans="1:33" ht="15.750000" customHeight="1">
      <c r="B339" s="155"/>
      <c r="C339" s="166"/>
      <c r="D339" s="166"/>
      <c r="H339" s="155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6"/>
    </row>
    <row r="340" spans="1:33" ht="15.750000" customHeight="1">
      <c r="B340" s="155"/>
      <c r="C340" s="166"/>
      <c r="D340" s="166"/>
      <c r="H340" s="155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  <c r="AA340" s="166"/>
      <c r="AB340" s="166"/>
      <c r="AC340" s="166"/>
      <c r="AD340" s="166"/>
      <c r="AE340" s="166"/>
      <c r="AF340" s="166"/>
      <c r="AG340" s="166"/>
    </row>
    <row r="341" spans="1:33" ht="15.750000" customHeight="1">
      <c r="B341" s="155"/>
      <c r="C341" s="166"/>
      <c r="D341" s="166"/>
      <c r="H341" s="155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  <c r="AA341" s="166"/>
      <c r="AB341" s="166"/>
      <c r="AC341" s="166"/>
      <c r="AD341" s="166"/>
      <c r="AE341" s="166"/>
      <c r="AF341" s="166"/>
      <c r="AG341" s="166"/>
    </row>
    <row r="342" spans="1:33" ht="15.750000" customHeight="1">
      <c r="A342" s="156" t="s">
        <v>116</v>
      </c>
      <c r="B342" s="155"/>
      <c r="C342" s="166"/>
      <c r="D342" s="166"/>
      <c r="E342" s="481">
        <f>F342*120%</f>
        <v>0</v>
      </c>
      <c r="F342" s="481">
        <f>(D342-C342+1)*G342</f>
        <v>0</v>
      </c>
      <c r="G342" s="482">
        <f>IF(OR((H342=""),(H342=5)),N342*40,IF(H342=10,N342*55,"포인트 열 재확인"))</f>
        <v>0</v>
      </c>
      <c r="H342" s="155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  <c r="AB342" s="166"/>
      <c r="AC342" s="166"/>
      <c r="AD342" s="166"/>
      <c r="AE342" s="166"/>
      <c r="AF342" s="166"/>
      <c r="AG342" s="166"/>
    </row>
    <row r="343" spans="1:33" ht="15.750000" customHeight="1">
      <c r="B343" s="155"/>
      <c r="C343" s="166"/>
      <c r="D343" s="166"/>
      <c r="H343" s="155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  <c r="AA343" s="166"/>
      <c r="AB343" s="166"/>
      <c r="AC343" s="166"/>
      <c r="AD343" s="166"/>
      <c r="AE343" s="166"/>
      <c r="AF343" s="166"/>
      <c r="AG343" s="166"/>
    </row>
    <row r="344" spans="1:33" ht="15.750000" customHeight="1">
      <c r="B344" s="155"/>
      <c r="C344" s="166"/>
      <c r="D344" s="166"/>
      <c r="H344" s="155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  <c r="AA344" s="166"/>
      <c r="AB344" s="166"/>
      <c r="AC344" s="166"/>
      <c r="AD344" s="166"/>
      <c r="AE344" s="166"/>
      <c r="AF344" s="166"/>
      <c r="AG344" s="166"/>
    </row>
    <row r="345" spans="1:33" ht="15.750000" customHeight="1">
      <c r="B345" s="155"/>
      <c r="C345" s="166"/>
      <c r="D345" s="166"/>
      <c r="H345" s="155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  <c r="AA345" s="166"/>
      <c r="AB345" s="166"/>
      <c r="AC345" s="166"/>
      <c r="AD345" s="166"/>
      <c r="AE345" s="166"/>
      <c r="AF345" s="166"/>
      <c r="AG345" s="166"/>
    </row>
    <row r="346" spans="1:33" ht="15.750000" customHeight="1">
      <c r="B346" s="155"/>
      <c r="C346" s="166"/>
      <c r="D346" s="166"/>
      <c r="H346" s="155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  <c r="AA346" s="166"/>
      <c r="AB346" s="166"/>
      <c r="AC346" s="166"/>
      <c r="AD346" s="166"/>
      <c r="AE346" s="166"/>
      <c r="AF346" s="166"/>
      <c r="AG346" s="166"/>
    </row>
    <row r="347" spans="1:33" ht="15.750000" customHeight="1">
      <c r="A347" s="156" t="s">
        <v>116</v>
      </c>
      <c r="B347" s="155"/>
      <c r="C347" s="166"/>
      <c r="D347" s="166"/>
      <c r="E347" s="481">
        <f>F347*120%</f>
        <v>0</v>
      </c>
      <c r="F347" s="481">
        <f>(D347-C347+1)*G347</f>
        <v>0</v>
      </c>
      <c r="G347" s="482">
        <f>IF(OR((H347=""),(H347=5)),N347*40,IF(H347=10,N347*55,"포인트 열 재확인"))</f>
        <v>0</v>
      </c>
      <c r="H347" s="155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  <c r="AA347" s="166"/>
      <c r="AB347" s="166"/>
      <c r="AC347" s="166"/>
      <c r="AD347" s="166"/>
      <c r="AE347" s="166"/>
      <c r="AF347" s="166"/>
      <c r="AG347" s="166"/>
    </row>
    <row r="348" spans="1:33" ht="15.750000" customHeight="1">
      <c r="B348" s="155"/>
      <c r="C348" s="166"/>
      <c r="D348" s="166"/>
      <c r="H348" s="155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  <c r="AA348" s="166"/>
      <c r="AB348" s="166"/>
      <c r="AC348" s="166"/>
      <c r="AD348" s="166"/>
      <c r="AE348" s="166"/>
      <c r="AF348" s="166"/>
      <c r="AG348" s="166"/>
    </row>
    <row r="349" spans="1:33" ht="15.750000" customHeight="1">
      <c r="B349" s="155"/>
      <c r="C349" s="166"/>
      <c r="D349" s="166"/>
      <c r="H349" s="155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  <c r="AA349" s="166"/>
      <c r="AB349" s="166"/>
      <c r="AC349" s="166"/>
      <c r="AD349" s="166"/>
      <c r="AE349" s="166"/>
      <c r="AF349" s="166"/>
      <c r="AG349" s="166"/>
    </row>
    <row r="350" spans="1:33" ht="15.750000" customHeight="1">
      <c r="B350" s="155"/>
      <c r="C350" s="166"/>
      <c r="D350" s="166"/>
      <c r="H350" s="155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  <c r="AA350" s="166"/>
      <c r="AB350" s="166"/>
      <c r="AC350" s="166"/>
      <c r="AD350" s="166"/>
      <c r="AE350" s="166"/>
      <c r="AF350" s="166"/>
      <c r="AG350" s="166"/>
    </row>
    <row r="351" spans="1:33" ht="15.750000" customHeight="1">
      <c r="B351" s="155"/>
      <c r="C351" s="166"/>
      <c r="D351" s="166"/>
      <c r="H351" s="155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  <c r="AA351" s="166"/>
      <c r="AB351" s="166"/>
      <c r="AC351" s="166"/>
      <c r="AD351" s="166"/>
      <c r="AE351" s="166"/>
      <c r="AF351" s="166"/>
      <c r="AG351" s="166"/>
    </row>
    <row r="352" spans="1:33" ht="15.750000" customHeight="1">
      <c r="A352" s="156" t="s">
        <v>116</v>
      </c>
      <c r="B352" s="155"/>
      <c r="C352" s="166"/>
      <c r="D352" s="166"/>
      <c r="E352" s="481">
        <f>F352*120%</f>
        <v>0</v>
      </c>
      <c r="F352" s="481">
        <f>(D352-C352+1)*G352</f>
        <v>0</v>
      </c>
      <c r="G352" s="482">
        <f>IF(OR((H352=""),(H352=5)),N352*40,IF(H352=10,N352*55,"포인트 열 재확인"))</f>
        <v>0</v>
      </c>
      <c r="H352" s="155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  <c r="AA352" s="166"/>
      <c r="AB352" s="166"/>
      <c r="AC352" s="166"/>
      <c r="AD352" s="166"/>
      <c r="AE352" s="166"/>
      <c r="AF352" s="166"/>
      <c r="AG352" s="166"/>
    </row>
    <row r="353" spans="1:33" ht="15.750000" customHeight="1">
      <c r="B353" s="155"/>
      <c r="C353" s="166"/>
      <c r="D353" s="166"/>
      <c r="H353" s="155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  <c r="AA353" s="166"/>
      <c r="AB353" s="166"/>
      <c r="AC353" s="166"/>
      <c r="AD353" s="166"/>
      <c r="AE353" s="166"/>
      <c r="AF353" s="166"/>
      <c r="AG353" s="166"/>
    </row>
    <row r="354" spans="1:33" ht="15.750000" customHeight="1">
      <c r="B354" s="155"/>
      <c r="C354" s="166"/>
      <c r="D354" s="166"/>
      <c r="H354" s="155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  <c r="AA354" s="166"/>
      <c r="AB354" s="166"/>
      <c r="AC354" s="166"/>
      <c r="AD354" s="166"/>
      <c r="AE354" s="166"/>
      <c r="AF354" s="166"/>
      <c r="AG354" s="166"/>
    </row>
    <row r="355" spans="1:33" ht="15.750000" customHeight="1">
      <c r="B355" s="155"/>
      <c r="C355" s="166"/>
      <c r="D355" s="166"/>
      <c r="H355" s="155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  <c r="AA355" s="166"/>
      <c r="AB355" s="166"/>
      <c r="AC355" s="166"/>
      <c r="AD355" s="166"/>
      <c r="AE355" s="166"/>
      <c r="AF355" s="166"/>
      <c r="AG355" s="166"/>
    </row>
    <row r="356" spans="1:33" ht="15.750000" customHeight="1">
      <c r="B356" s="155"/>
      <c r="C356" s="166"/>
      <c r="D356" s="166"/>
      <c r="H356" s="155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  <c r="AA356" s="166"/>
      <c r="AB356" s="166"/>
      <c r="AC356" s="166"/>
      <c r="AD356" s="166"/>
      <c r="AE356" s="166"/>
      <c r="AF356" s="166"/>
      <c r="AG356" s="166"/>
    </row>
    <row r="357" spans="1:33" ht="15.750000" customHeight="1">
      <c r="A357" s="156" t="s">
        <v>116</v>
      </c>
      <c r="B357" s="155"/>
      <c r="C357" s="166"/>
      <c r="D357" s="166"/>
      <c r="E357" s="481">
        <f>F357*120%</f>
        <v>0</v>
      </c>
      <c r="F357" s="481">
        <f>(D357-C357+1)*G357</f>
        <v>0</v>
      </c>
      <c r="G357" s="482">
        <f>IF(OR((H357=""),(H357=5)),N357*40,IF(H357=10,N357*55,"포인트 열 재확인"))</f>
        <v>0</v>
      </c>
      <c r="H357" s="155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  <c r="AA357" s="166"/>
      <c r="AB357" s="166"/>
      <c r="AC357" s="166"/>
      <c r="AD357" s="166"/>
      <c r="AE357" s="166"/>
      <c r="AF357" s="166"/>
      <c r="AG357" s="166"/>
    </row>
    <row r="358" spans="1:33" ht="15.750000" customHeight="1">
      <c r="B358" s="155"/>
      <c r="C358" s="166"/>
      <c r="D358" s="166"/>
      <c r="H358" s="155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  <c r="AA358" s="166"/>
      <c r="AB358" s="166"/>
      <c r="AC358" s="166"/>
      <c r="AD358" s="166"/>
      <c r="AE358" s="166"/>
      <c r="AF358" s="166"/>
      <c r="AG358" s="166"/>
    </row>
    <row r="359" spans="1:33" ht="15.750000" customHeight="1">
      <c r="B359" s="155"/>
      <c r="C359" s="166"/>
      <c r="D359" s="166"/>
      <c r="H359" s="155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  <c r="AA359" s="166"/>
      <c r="AB359" s="166"/>
      <c r="AC359" s="166"/>
      <c r="AD359" s="166"/>
      <c r="AE359" s="166"/>
      <c r="AF359" s="166"/>
      <c r="AG359" s="166"/>
    </row>
    <row r="360" spans="1:33" ht="15.750000" customHeight="1">
      <c r="B360" s="155"/>
      <c r="C360" s="166"/>
      <c r="D360" s="166"/>
      <c r="H360" s="155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  <c r="AA360" s="166"/>
      <c r="AB360" s="166"/>
      <c r="AC360" s="166"/>
      <c r="AD360" s="166"/>
      <c r="AE360" s="166"/>
      <c r="AF360" s="166"/>
      <c r="AG360" s="166"/>
    </row>
    <row r="361" spans="1:33" ht="15.750000" customHeight="1">
      <c r="B361" s="155"/>
      <c r="C361" s="166"/>
      <c r="D361" s="166"/>
      <c r="H361" s="155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  <c r="AA361" s="166"/>
      <c r="AB361" s="166"/>
      <c r="AC361" s="166"/>
      <c r="AD361" s="166"/>
      <c r="AE361" s="166"/>
      <c r="AF361" s="166"/>
      <c r="AG361" s="166"/>
    </row>
    <row r="362" spans="1:33" ht="15.750000" customHeight="1">
      <c r="A362" s="156" t="s">
        <v>116</v>
      </c>
      <c r="B362" s="155"/>
      <c r="C362" s="166"/>
      <c r="D362" s="166"/>
      <c r="E362" s="481">
        <f>F362*120%</f>
        <v>0</v>
      </c>
      <c r="F362" s="481">
        <f>(D362-C362+1)*G362</f>
        <v>0</v>
      </c>
      <c r="G362" s="482">
        <f>IF(OR((H362=""),(H362=5)),N362*40,IF(H362=10,N362*55,"포인트 열 재확인"))</f>
        <v>0</v>
      </c>
      <c r="H362" s="155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  <c r="AA362" s="166"/>
      <c r="AB362" s="166"/>
      <c r="AC362" s="166"/>
      <c r="AD362" s="166"/>
      <c r="AE362" s="166"/>
      <c r="AF362" s="166"/>
      <c r="AG362" s="166"/>
    </row>
    <row r="363" spans="1:33" ht="15.750000" customHeight="1">
      <c r="B363" s="155"/>
      <c r="C363" s="166"/>
      <c r="D363" s="166"/>
      <c r="H363" s="155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  <c r="AA363" s="166"/>
      <c r="AB363" s="166"/>
      <c r="AC363" s="166"/>
      <c r="AD363" s="166"/>
      <c r="AE363" s="166"/>
      <c r="AF363" s="166"/>
      <c r="AG363" s="166"/>
    </row>
    <row r="364" spans="1:33" ht="15.750000" customHeight="1">
      <c r="B364" s="155"/>
      <c r="C364" s="166"/>
      <c r="D364" s="166"/>
      <c r="H364" s="155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  <c r="AA364" s="166"/>
      <c r="AB364" s="166"/>
      <c r="AC364" s="166"/>
      <c r="AD364" s="166"/>
      <c r="AE364" s="166"/>
      <c r="AF364" s="166"/>
      <c r="AG364" s="166"/>
    </row>
    <row r="365" spans="1:33" ht="15.750000" customHeight="1">
      <c r="B365" s="155"/>
      <c r="C365" s="166"/>
      <c r="D365" s="166"/>
      <c r="H365" s="155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6"/>
      <c r="AG365" s="166"/>
    </row>
    <row r="366" spans="1:33" ht="15.750000" customHeight="1">
      <c r="B366" s="155"/>
      <c r="C366" s="166"/>
      <c r="D366" s="166"/>
      <c r="H366" s="155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  <c r="AA366" s="166"/>
      <c r="AB366" s="166"/>
      <c r="AC366" s="166"/>
      <c r="AD366" s="166"/>
      <c r="AE366" s="166"/>
      <c r="AF366" s="166"/>
      <c r="AG366" s="166"/>
    </row>
    <row r="367" spans="1:33" ht="15.750000" customHeight="1">
      <c r="A367" s="156" t="s">
        <v>116</v>
      </c>
      <c r="B367" s="155"/>
      <c r="C367" s="166"/>
      <c r="D367" s="166"/>
      <c r="E367" s="481">
        <f>F367*120%</f>
        <v>0</v>
      </c>
      <c r="F367" s="481">
        <f>(D367-C367+1)*G367</f>
        <v>0</v>
      </c>
      <c r="G367" s="482">
        <f>IF(OR((H367=""),(H367=5)),N367*40,IF(H367=10,N367*55,"포인트 열 재확인"))</f>
        <v>0</v>
      </c>
      <c r="H367" s="155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  <c r="AA367" s="166"/>
      <c r="AB367" s="166"/>
      <c r="AC367" s="166"/>
      <c r="AD367" s="166"/>
      <c r="AE367" s="166"/>
      <c r="AF367" s="166"/>
      <c r="AG367" s="166"/>
    </row>
    <row r="368" spans="1:33" ht="15.750000" customHeight="1">
      <c r="B368" s="155"/>
      <c r="C368" s="166"/>
      <c r="D368" s="166"/>
      <c r="H368" s="155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  <c r="AA368" s="166"/>
      <c r="AB368" s="166"/>
      <c r="AC368" s="166"/>
      <c r="AD368" s="166"/>
      <c r="AE368" s="166"/>
      <c r="AF368" s="166"/>
      <c r="AG368" s="166"/>
    </row>
    <row r="369" spans="1:33" ht="15.750000" customHeight="1">
      <c r="B369" s="155"/>
      <c r="C369" s="166"/>
      <c r="D369" s="166"/>
      <c r="H369" s="155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  <c r="AA369" s="166"/>
      <c r="AB369" s="166"/>
      <c r="AC369" s="166"/>
      <c r="AD369" s="166"/>
      <c r="AE369" s="166"/>
      <c r="AF369" s="166"/>
      <c r="AG369" s="166"/>
    </row>
    <row r="370" spans="1:33" ht="15.750000" customHeight="1">
      <c r="B370" s="155"/>
      <c r="C370" s="166"/>
      <c r="D370" s="166"/>
      <c r="H370" s="155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  <c r="AA370" s="166"/>
      <c r="AB370" s="166"/>
      <c r="AC370" s="166"/>
      <c r="AD370" s="166"/>
      <c r="AE370" s="166"/>
      <c r="AF370" s="166"/>
      <c r="AG370" s="166"/>
    </row>
    <row r="371" spans="1:33" ht="15.750000" customHeight="1">
      <c r="B371" s="155"/>
      <c r="C371" s="166"/>
      <c r="D371" s="166"/>
      <c r="H371" s="155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  <c r="AA371" s="166"/>
      <c r="AB371" s="166"/>
      <c r="AC371" s="166"/>
      <c r="AD371" s="166"/>
      <c r="AE371" s="166"/>
      <c r="AF371" s="166"/>
      <c r="AG371" s="166"/>
    </row>
    <row r="372" spans="1:33" ht="15.750000" customHeight="1">
      <c r="A372" s="156" t="s">
        <v>116</v>
      </c>
      <c r="B372" s="155"/>
      <c r="C372" s="166"/>
      <c r="D372" s="166"/>
      <c r="E372" s="481">
        <f>F372*120%</f>
        <v>0</v>
      </c>
      <c r="F372" s="481">
        <f>(D372-C372+1)*G372</f>
        <v>0</v>
      </c>
      <c r="G372" s="482">
        <f>IF(OR((H372=""),(H372=5)),N372*40,IF(H372=10,N372*55,"포인트 열 재확인"))</f>
        <v>0</v>
      </c>
      <c r="H372" s="155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  <c r="AA372" s="166"/>
      <c r="AB372" s="166"/>
      <c r="AC372" s="166"/>
      <c r="AD372" s="166"/>
      <c r="AE372" s="166"/>
      <c r="AF372" s="166"/>
      <c r="AG372" s="166"/>
    </row>
    <row r="373" spans="1:33" ht="15.750000" customHeight="1">
      <c r="B373" s="155"/>
      <c r="C373" s="166"/>
      <c r="D373" s="166"/>
      <c r="H373" s="155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  <c r="AA373" s="166"/>
      <c r="AB373" s="166"/>
      <c r="AC373" s="166"/>
      <c r="AD373" s="166"/>
      <c r="AE373" s="166"/>
      <c r="AF373" s="166"/>
      <c r="AG373" s="166"/>
    </row>
    <row r="374" spans="1:33" ht="15.750000" customHeight="1">
      <c r="B374" s="155"/>
      <c r="C374" s="166"/>
      <c r="D374" s="166"/>
      <c r="H374" s="155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  <c r="AA374" s="166"/>
      <c r="AB374" s="166"/>
      <c r="AC374" s="166"/>
      <c r="AD374" s="166"/>
      <c r="AE374" s="166"/>
      <c r="AF374" s="166"/>
      <c r="AG374" s="166"/>
    </row>
    <row r="375" spans="1:33" ht="15.750000" customHeight="1">
      <c r="B375" s="155"/>
      <c r="C375" s="166"/>
      <c r="D375" s="166"/>
      <c r="H375" s="155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  <c r="AA375" s="166"/>
      <c r="AB375" s="166"/>
      <c r="AC375" s="166"/>
      <c r="AD375" s="166"/>
      <c r="AE375" s="166"/>
      <c r="AF375" s="166"/>
      <c r="AG375" s="166"/>
    </row>
    <row r="376" spans="1:33" ht="15.750000" customHeight="1">
      <c r="B376" s="155"/>
      <c r="C376" s="166"/>
      <c r="D376" s="166"/>
      <c r="H376" s="155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  <c r="AA376" s="166"/>
      <c r="AB376" s="166"/>
      <c r="AC376" s="166"/>
      <c r="AD376" s="166"/>
      <c r="AE376" s="166"/>
      <c r="AF376" s="166"/>
      <c r="AG376" s="166"/>
    </row>
    <row r="377" spans="1:33" ht="15.750000" customHeight="1">
      <c r="A377" s="156" t="s">
        <v>116</v>
      </c>
      <c r="B377" s="155"/>
      <c r="C377" s="166"/>
      <c r="D377" s="166"/>
      <c r="E377" s="481">
        <f>F377*120%</f>
        <v>0</v>
      </c>
      <c r="F377" s="481">
        <f>(D377-C377+1)*G377</f>
        <v>0</v>
      </c>
      <c r="G377" s="482">
        <f>IF(OR((H377=""),(H377=5)),N377*40,IF(H377=10,N377*55,"포인트 열 재확인"))</f>
        <v>0</v>
      </c>
      <c r="H377" s="155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6"/>
    </row>
    <row r="378" spans="1:33" ht="15.750000" customHeight="1">
      <c r="B378" s="155"/>
      <c r="C378" s="166"/>
      <c r="D378" s="166"/>
      <c r="H378" s="155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  <c r="AA378" s="166"/>
      <c r="AB378" s="166"/>
      <c r="AC378" s="166"/>
      <c r="AD378" s="166"/>
      <c r="AE378" s="166"/>
      <c r="AF378" s="166"/>
      <c r="AG378" s="166"/>
    </row>
    <row r="379" spans="1:33" ht="15.750000" customHeight="1">
      <c r="B379" s="155"/>
      <c r="C379" s="166"/>
      <c r="D379" s="166"/>
      <c r="H379" s="155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  <c r="AA379" s="166"/>
      <c r="AB379" s="166"/>
      <c r="AC379" s="166"/>
      <c r="AD379" s="166"/>
      <c r="AE379" s="166"/>
      <c r="AF379" s="166"/>
      <c r="AG379" s="166"/>
    </row>
    <row r="380" spans="1:33" ht="15.750000" customHeight="1">
      <c r="B380" s="155"/>
      <c r="C380" s="166"/>
      <c r="D380" s="166"/>
      <c r="H380" s="155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  <c r="AA380" s="166"/>
      <c r="AB380" s="166"/>
      <c r="AC380" s="166"/>
      <c r="AD380" s="166"/>
      <c r="AE380" s="166"/>
      <c r="AF380" s="166"/>
      <c r="AG380" s="166"/>
    </row>
    <row r="381" spans="1:33" ht="15.750000" customHeight="1">
      <c r="B381" s="155"/>
      <c r="C381" s="166"/>
      <c r="D381" s="166"/>
      <c r="H381" s="155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  <c r="AA381" s="166"/>
      <c r="AB381" s="166"/>
      <c r="AC381" s="166"/>
      <c r="AD381" s="166"/>
      <c r="AE381" s="166"/>
      <c r="AF381" s="166"/>
      <c r="AG381" s="166"/>
    </row>
    <row r="382" spans="1:33" ht="15.750000" customHeight="1">
      <c r="A382" s="156" t="s">
        <v>116</v>
      </c>
      <c r="B382" s="155"/>
      <c r="C382" s="166"/>
      <c r="D382" s="166"/>
      <c r="E382" s="481">
        <f>F382*120%</f>
        <v>0</v>
      </c>
      <c r="F382" s="481">
        <f>(D382-C382+1)*G382</f>
        <v>0</v>
      </c>
      <c r="G382" s="482">
        <f>IF(OR((H382=""),(H382=5)),N382*40,IF(H382=10,N382*55,"포인트 열 재확인"))</f>
        <v>0</v>
      </c>
      <c r="H382" s="155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  <c r="AA382" s="166"/>
      <c r="AB382" s="166"/>
      <c r="AC382" s="166"/>
      <c r="AD382" s="166"/>
      <c r="AE382" s="166"/>
      <c r="AF382" s="166"/>
      <c r="AG382" s="166"/>
    </row>
    <row r="383" spans="1:33" ht="15.750000" customHeight="1">
      <c r="B383" s="155"/>
      <c r="C383" s="166"/>
      <c r="D383" s="166"/>
      <c r="H383" s="155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  <c r="AA383" s="166"/>
      <c r="AB383" s="166"/>
      <c r="AC383" s="166"/>
      <c r="AD383" s="166"/>
      <c r="AE383" s="166"/>
      <c r="AF383" s="166"/>
      <c r="AG383" s="166"/>
    </row>
    <row r="384" spans="1:33" ht="15.750000" customHeight="1">
      <c r="B384" s="155"/>
      <c r="C384" s="166"/>
      <c r="D384" s="166"/>
      <c r="H384" s="155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  <c r="AA384" s="166"/>
      <c r="AB384" s="166"/>
      <c r="AC384" s="166"/>
      <c r="AD384" s="166"/>
      <c r="AE384" s="166"/>
      <c r="AF384" s="166"/>
      <c r="AG384" s="166"/>
    </row>
    <row r="385" spans="1:33" ht="15.750000" customHeight="1">
      <c r="B385" s="155"/>
      <c r="C385" s="166"/>
      <c r="D385" s="166"/>
      <c r="H385" s="155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  <c r="AA385" s="166"/>
      <c r="AB385" s="166"/>
      <c r="AC385" s="166"/>
      <c r="AD385" s="166"/>
      <c r="AE385" s="166"/>
      <c r="AF385" s="166"/>
      <c r="AG385" s="166"/>
    </row>
    <row r="386" spans="1:33" ht="15.750000" customHeight="1">
      <c r="B386" s="155"/>
      <c r="C386" s="166"/>
      <c r="D386" s="166"/>
      <c r="H386" s="155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  <c r="AA386" s="166"/>
      <c r="AB386" s="166"/>
      <c r="AC386" s="166"/>
      <c r="AD386" s="166"/>
      <c r="AE386" s="166"/>
      <c r="AF386" s="166"/>
      <c r="AG386" s="166"/>
    </row>
    <row r="387" spans="1:33" ht="15.750000" customHeight="1">
      <c r="A387" s="156" t="s">
        <v>116</v>
      </c>
      <c r="B387" s="155"/>
      <c r="C387" s="166"/>
      <c r="D387" s="166"/>
      <c r="E387" s="481">
        <f>F387*120%</f>
        <v>0</v>
      </c>
      <c r="F387" s="481">
        <f>(D387-C387+1)*G387</f>
        <v>0</v>
      </c>
      <c r="G387" s="482">
        <f>IF(OR((H387=""),(H387=5)),N387*40,IF(H387=10,N387*55,"포인트 열 재확인"))</f>
        <v>0</v>
      </c>
      <c r="H387" s="155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  <c r="AA387" s="166"/>
      <c r="AB387" s="166"/>
      <c r="AC387" s="166"/>
      <c r="AD387" s="166"/>
      <c r="AE387" s="166"/>
      <c r="AF387" s="166"/>
      <c r="AG387" s="166"/>
    </row>
    <row r="388" spans="1:33" ht="15.750000" customHeight="1">
      <c r="B388" s="155"/>
      <c r="C388" s="166"/>
      <c r="D388" s="166"/>
      <c r="H388" s="155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  <c r="AA388" s="166"/>
      <c r="AB388" s="166"/>
      <c r="AC388" s="166"/>
      <c r="AD388" s="166"/>
      <c r="AE388" s="166"/>
      <c r="AF388" s="166"/>
      <c r="AG388" s="166"/>
    </row>
    <row r="389" spans="1:33" ht="15.750000" customHeight="1">
      <c r="B389" s="155"/>
      <c r="C389" s="166"/>
      <c r="D389" s="166"/>
      <c r="H389" s="155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  <c r="AA389" s="166"/>
      <c r="AB389" s="166"/>
      <c r="AC389" s="166"/>
      <c r="AD389" s="166"/>
      <c r="AE389" s="166"/>
      <c r="AF389" s="166"/>
      <c r="AG389" s="166"/>
    </row>
    <row r="390" spans="1:33" ht="15.750000" customHeight="1">
      <c r="B390" s="155"/>
      <c r="C390" s="166"/>
      <c r="D390" s="166"/>
      <c r="H390" s="155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  <c r="AA390" s="166"/>
      <c r="AB390" s="166"/>
      <c r="AC390" s="166"/>
      <c r="AD390" s="166"/>
      <c r="AE390" s="166"/>
      <c r="AF390" s="166"/>
      <c r="AG390" s="166"/>
    </row>
    <row r="391" spans="1:33" ht="15.750000" customHeight="1">
      <c r="B391" s="155"/>
      <c r="C391" s="166"/>
      <c r="D391" s="166"/>
      <c r="H391" s="155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  <c r="AA391" s="166"/>
      <c r="AB391" s="166"/>
      <c r="AC391" s="166"/>
      <c r="AD391" s="166"/>
      <c r="AE391" s="166"/>
      <c r="AF391" s="166"/>
      <c r="AG391" s="166"/>
    </row>
    <row r="392" spans="1:33" ht="15.750000" customHeight="1">
      <c r="A392" s="156" t="s">
        <v>116</v>
      </c>
      <c r="B392" s="155"/>
      <c r="C392" s="166"/>
      <c r="D392" s="166"/>
      <c r="E392" s="481">
        <f>F392*120%</f>
        <v>0</v>
      </c>
      <c r="F392" s="481">
        <f>(D392-C392+1)*G392</f>
        <v>0</v>
      </c>
      <c r="G392" s="482">
        <f>IF(OR((H392=""),(H392=5)),N392*40,IF(H392=10,N392*55,"포인트 열 재확인"))</f>
        <v>0</v>
      </c>
      <c r="H392" s="155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6"/>
    </row>
    <row r="393" spans="1:33" ht="15.750000" customHeight="1">
      <c r="B393" s="155"/>
      <c r="C393" s="166"/>
      <c r="D393" s="166"/>
      <c r="H393" s="155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  <c r="AA393" s="166"/>
      <c r="AB393" s="166"/>
      <c r="AC393" s="166"/>
      <c r="AD393" s="166"/>
      <c r="AE393" s="166"/>
      <c r="AF393" s="166"/>
      <c r="AG393" s="166"/>
    </row>
    <row r="394" spans="1:33" ht="15.750000" customHeight="1">
      <c r="B394" s="155"/>
      <c r="C394" s="166"/>
      <c r="D394" s="166"/>
      <c r="H394" s="155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  <c r="AA394" s="166"/>
      <c r="AB394" s="166"/>
      <c r="AC394" s="166"/>
      <c r="AD394" s="166"/>
      <c r="AE394" s="166"/>
      <c r="AF394" s="166"/>
      <c r="AG394" s="166"/>
    </row>
    <row r="395" spans="1:33" ht="15.750000" customHeight="1">
      <c r="B395" s="155"/>
      <c r="C395" s="166"/>
      <c r="D395" s="166"/>
      <c r="H395" s="155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  <c r="AA395" s="166"/>
      <c r="AB395" s="166"/>
      <c r="AC395" s="166"/>
      <c r="AD395" s="166"/>
      <c r="AE395" s="166"/>
      <c r="AF395" s="166"/>
      <c r="AG395" s="166"/>
    </row>
    <row r="396" spans="1:33" ht="15.750000" customHeight="1">
      <c r="B396" s="155"/>
      <c r="C396" s="166"/>
      <c r="D396" s="166"/>
      <c r="H396" s="155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  <c r="AA396" s="166"/>
      <c r="AB396" s="166"/>
      <c r="AC396" s="166"/>
      <c r="AD396" s="166"/>
      <c r="AE396" s="166"/>
      <c r="AF396" s="166"/>
      <c r="AG396" s="166"/>
    </row>
    <row r="397" spans="1:33" ht="15.750000" customHeight="1">
      <c r="A397" s="156" t="s">
        <v>116</v>
      </c>
      <c r="B397" s="155"/>
      <c r="C397" s="166"/>
      <c r="D397" s="166"/>
      <c r="E397" s="481">
        <f>F397*120%</f>
        <v>0</v>
      </c>
      <c r="F397" s="481">
        <f>(D397-C397+1)*G397</f>
        <v>0</v>
      </c>
      <c r="G397" s="482">
        <f>IF(OR((H397=""),(H397=5)),N397*40,IF(H397=10,N397*55,"포인트 열 재확인"))</f>
        <v>0</v>
      </c>
      <c r="H397" s="155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  <c r="AA397" s="166"/>
      <c r="AB397" s="166"/>
      <c r="AC397" s="166"/>
      <c r="AD397" s="166"/>
      <c r="AE397" s="166"/>
      <c r="AF397" s="166"/>
      <c r="AG397" s="166"/>
    </row>
    <row r="398" spans="1:33" ht="15.750000" customHeight="1">
      <c r="B398" s="155"/>
      <c r="C398" s="166"/>
      <c r="D398" s="166"/>
      <c r="H398" s="155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  <c r="AA398" s="166"/>
      <c r="AB398" s="166"/>
      <c r="AC398" s="166"/>
      <c r="AD398" s="166"/>
      <c r="AE398" s="166"/>
      <c r="AF398" s="166"/>
      <c r="AG398" s="166"/>
    </row>
    <row r="399" spans="1:33" ht="15.750000" customHeight="1">
      <c r="B399" s="155"/>
      <c r="C399" s="166"/>
      <c r="D399" s="166"/>
      <c r="H399" s="155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  <c r="AA399" s="166"/>
      <c r="AB399" s="166"/>
      <c r="AC399" s="166"/>
      <c r="AD399" s="166"/>
      <c r="AE399" s="166"/>
      <c r="AF399" s="166"/>
      <c r="AG399" s="166"/>
    </row>
    <row r="400" spans="1:33" ht="15.750000" customHeight="1">
      <c r="B400" s="155"/>
      <c r="C400" s="166"/>
      <c r="D400" s="166"/>
      <c r="H400" s="155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  <c r="AA400" s="166"/>
      <c r="AB400" s="166"/>
      <c r="AC400" s="166"/>
      <c r="AD400" s="166"/>
      <c r="AE400" s="166"/>
      <c r="AF400" s="166"/>
      <c r="AG400" s="166"/>
    </row>
    <row r="401" spans="1:33" ht="15.750000" customHeight="1">
      <c r="B401" s="155"/>
      <c r="C401" s="166"/>
      <c r="D401" s="166"/>
      <c r="H401" s="155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  <c r="AA401" s="166"/>
      <c r="AB401" s="166"/>
      <c r="AC401" s="166"/>
      <c r="AD401" s="166"/>
      <c r="AE401" s="166"/>
      <c r="AF401" s="166"/>
      <c r="AG401" s="166"/>
    </row>
    <row r="402" spans="1:33" ht="15.750000" customHeight="1">
      <c r="A402" s="156" t="s">
        <v>116</v>
      </c>
      <c r="B402" s="155"/>
      <c r="C402" s="166"/>
      <c r="D402" s="166"/>
      <c r="E402" s="481">
        <f>F402*120%</f>
        <v>0</v>
      </c>
      <c r="F402" s="481">
        <f>(D402-C402+1)*G402</f>
        <v>0</v>
      </c>
      <c r="G402" s="482">
        <f>IF(OR((H402=""),(H402=5)),N402*40,IF(H402=10,N402*55,"포인트 열 재확인"))</f>
        <v>0</v>
      </c>
      <c r="H402" s="155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  <c r="AA402" s="166"/>
      <c r="AB402" s="166"/>
      <c r="AC402" s="166"/>
      <c r="AD402" s="166"/>
      <c r="AE402" s="166"/>
      <c r="AF402" s="166"/>
      <c r="AG402" s="166"/>
    </row>
    <row r="403" spans="1:33" ht="15.750000" customHeight="1">
      <c r="B403" s="155"/>
      <c r="C403" s="166"/>
      <c r="D403" s="166"/>
      <c r="H403" s="155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  <c r="AA403" s="166"/>
      <c r="AB403" s="166"/>
      <c r="AC403" s="166"/>
      <c r="AD403" s="166"/>
      <c r="AE403" s="166"/>
      <c r="AF403" s="166"/>
      <c r="AG403" s="166"/>
    </row>
    <row r="404" spans="1:33" ht="15.750000" customHeight="1">
      <c r="B404" s="155"/>
      <c r="C404" s="166"/>
      <c r="D404" s="166"/>
      <c r="H404" s="155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  <c r="AA404" s="166"/>
      <c r="AB404" s="166"/>
      <c r="AC404" s="166"/>
      <c r="AD404" s="166"/>
      <c r="AE404" s="166"/>
      <c r="AF404" s="166"/>
      <c r="AG404" s="166"/>
    </row>
    <row r="405" spans="1:33" ht="15.750000" customHeight="1">
      <c r="B405" s="155"/>
      <c r="C405" s="166"/>
      <c r="D405" s="166"/>
      <c r="H405" s="155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  <c r="AA405" s="166"/>
      <c r="AB405" s="166"/>
      <c r="AC405" s="166"/>
      <c r="AD405" s="166"/>
      <c r="AE405" s="166"/>
      <c r="AF405" s="166"/>
      <c r="AG405" s="166"/>
    </row>
    <row r="406" spans="1:33" ht="15.750000" customHeight="1">
      <c r="B406" s="155"/>
      <c r="C406" s="166"/>
      <c r="D406" s="166"/>
      <c r="H406" s="155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  <c r="AA406" s="166"/>
      <c r="AB406" s="166"/>
      <c r="AC406" s="166"/>
      <c r="AD406" s="166"/>
      <c r="AE406" s="166"/>
      <c r="AF406" s="166"/>
      <c r="AG406" s="166"/>
    </row>
    <row r="407" spans="1:33" ht="15.750000" customHeight="1">
      <c r="A407" s="156" t="s">
        <v>116</v>
      </c>
      <c r="B407" s="155"/>
      <c r="C407" s="166"/>
      <c r="D407" s="166"/>
      <c r="E407" s="481">
        <f>F407*120%</f>
        <v>0</v>
      </c>
      <c r="F407" s="481">
        <f>(D407-C407+1)*G407</f>
        <v>0</v>
      </c>
      <c r="G407" s="482">
        <f>IF(OR((H407=""),(H407=5)),N407*40,IF(H407=10,N407*55,"포인트 열 재확인"))</f>
        <v>0</v>
      </c>
      <c r="H407" s="155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  <c r="AA407" s="166"/>
      <c r="AB407" s="166"/>
      <c r="AC407" s="166"/>
      <c r="AD407" s="166"/>
      <c r="AE407" s="166"/>
      <c r="AF407" s="166"/>
      <c r="AG407" s="166"/>
    </row>
    <row r="408" spans="1:33" ht="15.750000" customHeight="1">
      <c r="B408" s="155"/>
      <c r="C408" s="166"/>
      <c r="D408" s="166"/>
      <c r="H408" s="155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  <c r="AA408" s="166"/>
      <c r="AB408" s="166"/>
      <c r="AC408" s="166"/>
      <c r="AD408" s="166"/>
      <c r="AE408" s="166"/>
      <c r="AF408" s="166"/>
      <c r="AG408" s="166"/>
    </row>
    <row r="409" spans="1:33" ht="15.750000" customHeight="1">
      <c r="B409" s="155"/>
      <c r="C409" s="166"/>
      <c r="D409" s="166"/>
      <c r="H409" s="155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  <c r="AA409" s="166"/>
      <c r="AB409" s="166"/>
      <c r="AC409" s="166"/>
      <c r="AD409" s="166"/>
      <c r="AE409" s="166"/>
      <c r="AF409" s="166"/>
      <c r="AG409" s="166"/>
    </row>
    <row r="410" spans="1:33" ht="15.750000" customHeight="1">
      <c r="B410" s="155"/>
      <c r="C410" s="166"/>
      <c r="D410" s="166"/>
      <c r="H410" s="155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  <c r="AA410" s="166"/>
      <c r="AB410" s="166"/>
      <c r="AC410" s="166"/>
      <c r="AD410" s="166"/>
      <c r="AE410" s="166"/>
      <c r="AF410" s="166"/>
      <c r="AG410" s="166"/>
    </row>
    <row r="411" spans="1:33" ht="15.750000" customHeight="1">
      <c r="B411" s="155"/>
      <c r="C411" s="166"/>
      <c r="D411" s="166"/>
      <c r="H411" s="155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  <c r="AA411" s="166"/>
      <c r="AB411" s="166"/>
      <c r="AC411" s="166"/>
      <c r="AD411" s="166"/>
      <c r="AE411" s="166"/>
      <c r="AF411" s="166"/>
      <c r="AG411" s="166"/>
    </row>
    <row r="412" spans="1:33" ht="15.750000" customHeight="1">
      <c r="A412" s="156" t="s">
        <v>116</v>
      </c>
      <c r="B412" s="155"/>
      <c r="C412" s="166"/>
      <c r="D412" s="166"/>
      <c r="E412" s="481">
        <f>F412*120%</f>
        <v>0</v>
      </c>
      <c r="F412" s="481">
        <f>(D412-C412+1)*G412</f>
        <v>0</v>
      </c>
      <c r="G412" s="482">
        <f>IF(OR((H412=""),(H412=5)),N412*40,IF(H412=10,N412*55,"포인트 열 재확인"))</f>
        <v>0</v>
      </c>
      <c r="H412" s="155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  <c r="AA412" s="166"/>
      <c r="AB412" s="166"/>
      <c r="AC412" s="166"/>
      <c r="AD412" s="166"/>
      <c r="AE412" s="166"/>
      <c r="AF412" s="166"/>
      <c r="AG412" s="166"/>
    </row>
    <row r="413" spans="1:33" ht="15.750000" customHeight="1">
      <c r="B413" s="155"/>
      <c r="C413" s="166"/>
      <c r="D413" s="166"/>
      <c r="H413" s="155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  <c r="AA413" s="166"/>
      <c r="AB413" s="166"/>
      <c r="AC413" s="166"/>
      <c r="AD413" s="166"/>
      <c r="AE413" s="166"/>
      <c r="AF413" s="166"/>
      <c r="AG413" s="166"/>
    </row>
    <row r="414" spans="1:33" ht="15.750000" customHeight="1">
      <c r="B414" s="155"/>
      <c r="C414" s="166"/>
      <c r="D414" s="166"/>
      <c r="H414" s="155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  <c r="AA414" s="166"/>
      <c r="AB414" s="166"/>
      <c r="AC414" s="166"/>
      <c r="AD414" s="166"/>
      <c r="AE414" s="166"/>
      <c r="AF414" s="166"/>
      <c r="AG414" s="166"/>
    </row>
    <row r="415" spans="1:33" ht="15.750000" customHeight="1">
      <c r="B415" s="155"/>
      <c r="C415" s="166"/>
      <c r="D415" s="166"/>
      <c r="H415" s="155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  <c r="AA415" s="166"/>
      <c r="AB415" s="166"/>
      <c r="AC415" s="166"/>
      <c r="AD415" s="166"/>
      <c r="AE415" s="166"/>
      <c r="AF415" s="166"/>
      <c r="AG415" s="166"/>
    </row>
    <row r="416" spans="1:33" ht="15.750000" customHeight="1">
      <c r="B416" s="155"/>
      <c r="C416" s="166"/>
      <c r="D416" s="166"/>
      <c r="H416" s="155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  <c r="AA416" s="166"/>
      <c r="AB416" s="166"/>
      <c r="AC416" s="166"/>
      <c r="AD416" s="166"/>
      <c r="AE416" s="166"/>
      <c r="AF416" s="166"/>
      <c r="AG416" s="166"/>
    </row>
    <row r="417" spans="1:33" ht="15.750000" customHeight="1">
      <c r="A417" s="156" t="s">
        <v>116</v>
      </c>
      <c r="B417" s="155"/>
      <c r="C417" s="166"/>
      <c r="D417" s="166"/>
      <c r="E417" s="481">
        <f>F417*120%</f>
        <v>0</v>
      </c>
      <c r="F417" s="481">
        <f>(D417-C417+1)*G417</f>
        <v>0</v>
      </c>
      <c r="G417" s="482">
        <f>IF(OR((H417=""),(H417=5)),N417*40,IF(H417=10,N417*55,"포인트 열 재확인"))</f>
        <v>0</v>
      </c>
      <c r="H417" s="155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6"/>
      <c r="AG417" s="166"/>
    </row>
    <row r="418" spans="1:33" ht="15.750000" customHeight="1">
      <c r="B418" s="155"/>
      <c r="C418" s="166"/>
      <c r="D418" s="166"/>
      <c r="H418" s="155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  <c r="AA418" s="166"/>
      <c r="AB418" s="166"/>
      <c r="AC418" s="166"/>
      <c r="AD418" s="166"/>
      <c r="AE418" s="166"/>
      <c r="AF418" s="166"/>
      <c r="AG418" s="166"/>
    </row>
    <row r="419" spans="1:33" ht="15.750000" customHeight="1">
      <c r="B419" s="155"/>
      <c r="C419" s="166"/>
      <c r="D419" s="166"/>
      <c r="H419" s="155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  <c r="AA419" s="166"/>
      <c r="AB419" s="166"/>
      <c r="AC419" s="166"/>
      <c r="AD419" s="166"/>
      <c r="AE419" s="166"/>
      <c r="AF419" s="166"/>
      <c r="AG419" s="166"/>
    </row>
    <row r="420" spans="1:33" ht="15.750000" customHeight="1">
      <c r="B420" s="155"/>
      <c r="C420" s="166"/>
      <c r="D420" s="166"/>
      <c r="H420" s="155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  <c r="AA420" s="166"/>
      <c r="AB420" s="166"/>
      <c r="AC420" s="166"/>
      <c r="AD420" s="166"/>
      <c r="AE420" s="166"/>
      <c r="AF420" s="166"/>
      <c r="AG420" s="166"/>
    </row>
    <row r="421" spans="1:33" ht="15.750000" customHeight="1">
      <c r="B421" s="155"/>
      <c r="C421" s="166"/>
      <c r="D421" s="166"/>
      <c r="H421" s="155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  <c r="AA421" s="166"/>
      <c r="AB421" s="166"/>
      <c r="AC421" s="166"/>
      <c r="AD421" s="166"/>
      <c r="AE421" s="166"/>
      <c r="AF421" s="166"/>
      <c r="AG421" s="166"/>
    </row>
    <row r="422" spans="1:33" ht="15.750000" customHeight="1">
      <c r="A422" s="156" t="s">
        <v>116</v>
      </c>
      <c r="B422" s="155"/>
      <c r="C422" s="166"/>
      <c r="D422" s="166"/>
      <c r="E422" s="481">
        <f>F422*120%</f>
        <v>0</v>
      </c>
      <c r="F422" s="481">
        <f>(D422-C422+1)*G422</f>
        <v>0</v>
      </c>
      <c r="G422" s="482">
        <f>IF(OR((H422=""),(H422=5)),N422*40,IF(H422=10,N422*55,"포인트 열 재확인"))</f>
        <v>0</v>
      </c>
      <c r="H422" s="155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  <c r="AA422" s="166"/>
      <c r="AB422" s="166"/>
      <c r="AC422" s="166"/>
      <c r="AD422" s="166"/>
      <c r="AE422" s="166"/>
      <c r="AF422" s="166"/>
      <c r="AG422" s="166"/>
    </row>
    <row r="423" spans="1:33" ht="15.750000" customHeight="1">
      <c r="B423" s="155"/>
      <c r="C423" s="166"/>
      <c r="D423" s="166"/>
      <c r="H423" s="155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  <c r="AA423" s="166"/>
      <c r="AB423" s="166"/>
      <c r="AC423" s="166"/>
      <c r="AD423" s="166"/>
      <c r="AE423" s="166"/>
      <c r="AF423" s="166"/>
      <c r="AG423" s="166"/>
    </row>
    <row r="424" spans="1:33" ht="15.750000" customHeight="1">
      <c r="B424" s="155"/>
      <c r="C424" s="166"/>
      <c r="D424" s="166"/>
      <c r="H424" s="155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  <c r="AA424" s="166"/>
      <c r="AB424" s="166"/>
      <c r="AC424" s="166"/>
      <c r="AD424" s="166"/>
      <c r="AE424" s="166"/>
      <c r="AF424" s="166"/>
      <c r="AG424" s="166"/>
    </row>
    <row r="425" spans="1:33" ht="15.750000" customHeight="1">
      <c r="B425" s="155"/>
      <c r="C425" s="166"/>
      <c r="D425" s="166"/>
      <c r="H425" s="155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  <c r="AA425" s="166"/>
      <c r="AB425" s="166"/>
      <c r="AC425" s="166"/>
      <c r="AD425" s="166"/>
      <c r="AE425" s="166"/>
      <c r="AF425" s="166"/>
      <c r="AG425" s="166"/>
    </row>
    <row r="426" spans="1:33" ht="15.750000" customHeight="1">
      <c r="B426" s="155"/>
      <c r="C426" s="166"/>
      <c r="D426" s="166"/>
      <c r="H426" s="155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  <c r="AA426" s="166"/>
      <c r="AB426" s="166"/>
      <c r="AC426" s="166"/>
      <c r="AD426" s="166"/>
      <c r="AE426" s="166"/>
      <c r="AF426" s="166"/>
      <c r="AG426" s="166"/>
    </row>
    <row r="427" spans="1:33" ht="15.750000" customHeight="1">
      <c r="A427" s="156" t="s">
        <v>116</v>
      </c>
      <c r="B427" s="155"/>
      <c r="C427" s="166"/>
      <c r="D427" s="166"/>
      <c r="E427" s="481">
        <f>F427*120%</f>
        <v>0</v>
      </c>
      <c r="F427" s="481">
        <f>(D427-C427+1)*G427</f>
        <v>0</v>
      </c>
      <c r="G427" s="482">
        <f>IF(OR((H427=""),(H427=5)),N427*40,IF(H427=10,N427*55,"포인트 열 재확인"))</f>
        <v>0</v>
      </c>
      <c r="H427" s="155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  <c r="AA427" s="166"/>
      <c r="AB427" s="166"/>
      <c r="AC427" s="166"/>
      <c r="AD427" s="166"/>
      <c r="AE427" s="166"/>
      <c r="AF427" s="166"/>
      <c r="AG427" s="166"/>
    </row>
    <row r="428" spans="1:33" ht="15.750000" customHeight="1">
      <c r="B428" s="155"/>
      <c r="C428" s="166"/>
      <c r="D428" s="166"/>
      <c r="H428" s="155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  <c r="AA428" s="166"/>
      <c r="AB428" s="166"/>
      <c r="AC428" s="166"/>
      <c r="AD428" s="166"/>
      <c r="AE428" s="166"/>
      <c r="AF428" s="166"/>
      <c r="AG428" s="166"/>
    </row>
    <row r="429" spans="1:33" ht="15.750000" customHeight="1">
      <c r="B429" s="155"/>
      <c r="C429" s="166"/>
      <c r="D429" s="166"/>
      <c r="H429" s="155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6"/>
    </row>
    <row r="430" spans="1:33" ht="15.750000" customHeight="1">
      <c r="B430" s="155"/>
      <c r="C430" s="166"/>
      <c r="D430" s="166"/>
      <c r="H430" s="155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  <c r="AA430" s="166"/>
      <c r="AB430" s="166"/>
      <c r="AC430" s="166"/>
      <c r="AD430" s="166"/>
      <c r="AE430" s="166"/>
      <c r="AF430" s="166"/>
      <c r="AG430" s="166"/>
    </row>
    <row r="431" spans="1:33" ht="15.750000" customHeight="1">
      <c r="B431" s="155"/>
      <c r="C431" s="166"/>
      <c r="D431" s="166"/>
      <c r="H431" s="155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  <c r="AA431" s="166"/>
      <c r="AB431" s="166"/>
      <c r="AC431" s="166"/>
      <c r="AD431" s="166"/>
      <c r="AE431" s="166"/>
      <c r="AF431" s="166"/>
      <c r="AG431" s="166"/>
    </row>
    <row r="432" spans="1:33" ht="15.750000" customHeight="1">
      <c r="A432" s="156" t="s">
        <v>116</v>
      </c>
      <c r="B432" s="155"/>
      <c r="C432" s="166"/>
      <c r="D432" s="166"/>
      <c r="E432" s="481">
        <f>F432*120%</f>
        <v>0</v>
      </c>
      <c r="F432" s="481">
        <f>(D432-C432+1)*G432</f>
        <v>0</v>
      </c>
      <c r="G432" s="482">
        <f>IF(OR((H432=""),(H432=5)),N432*40,IF(H432=10,N432*55,"포인트 열 재확인"))</f>
        <v>0</v>
      </c>
      <c r="H432" s="155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  <c r="AA432" s="166"/>
      <c r="AB432" s="166"/>
      <c r="AC432" s="166"/>
      <c r="AD432" s="166"/>
      <c r="AE432" s="166"/>
      <c r="AF432" s="166"/>
      <c r="AG432" s="166"/>
    </row>
    <row r="433" spans="1:33" ht="15.750000" customHeight="1">
      <c r="B433" s="155"/>
      <c r="C433" s="166"/>
      <c r="D433" s="166"/>
      <c r="H433" s="155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  <c r="AA433" s="166"/>
      <c r="AB433" s="166"/>
      <c r="AC433" s="166"/>
      <c r="AD433" s="166"/>
      <c r="AE433" s="166"/>
      <c r="AF433" s="166"/>
      <c r="AG433" s="166"/>
    </row>
    <row r="434" spans="1:33" ht="15.750000" customHeight="1">
      <c r="B434" s="155"/>
      <c r="C434" s="166"/>
      <c r="D434" s="166"/>
      <c r="H434" s="155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  <c r="AA434" s="166"/>
      <c r="AB434" s="166"/>
      <c r="AC434" s="166"/>
      <c r="AD434" s="166"/>
      <c r="AE434" s="166"/>
      <c r="AF434" s="166"/>
      <c r="AG434" s="166"/>
    </row>
    <row r="435" spans="1:33" ht="15.750000" customHeight="1">
      <c r="B435" s="155"/>
      <c r="C435" s="166"/>
      <c r="D435" s="166"/>
      <c r="H435" s="155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  <c r="AA435" s="166"/>
      <c r="AB435" s="166"/>
      <c r="AC435" s="166"/>
      <c r="AD435" s="166"/>
      <c r="AE435" s="166"/>
      <c r="AF435" s="166"/>
      <c r="AG435" s="166"/>
    </row>
    <row r="436" spans="1:33" ht="15.750000" customHeight="1">
      <c r="B436" s="155"/>
      <c r="C436" s="166"/>
      <c r="D436" s="166"/>
      <c r="H436" s="155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  <c r="AA436" s="166"/>
      <c r="AB436" s="166"/>
      <c r="AC436" s="166"/>
      <c r="AD436" s="166"/>
      <c r="AE436" s="166"/>
      <c r="AF436" s="166"/>
      <c r="AG436" s="166"/>
    </row>
    <row r="437" spans="1:33" ht="15.750000" customHeight="1">
      <c r="A437" s="156" t="s">
        <v>116</v>
      </c>
      <c r="B437" s="155"/>
      <c r="C437" s="166"/>
      <c r="D437" s="166"/>
      <c r="E437" s="481">
        <f>F437*120%</f>
        <v>0</v>
      </c>
      <c r="F437" s="481">
        <f>(D437-C437+1)*G437</f>
        <v>0</v>
      </c>
      <c r="G437" s="482">
        <f>IF(OR((H437=""),(H437=5)),N437*40,IF(H437=10,N437*55,"포인트 열 재확인"))</f>
        <v>0</v>
      </c>
      <c r="H437" s="155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  <c r="AA437" s="166"/>
      <c r="AB437" s="166"/>
      <c r="AC437" s="166"/>
      <c r="AD437" s="166"/>
      <c r="AE437" s="166"/>
      <c r="AF437" s="166"/>
      <c r="AG437" s="166"/>
    </row>
    <row r="438" spans="1:33" ht="15.750000" customHeight="1">
      <c r="B438" s="155"/>
      <c r="C438" s="166"/>
      <c r="D438" s="166"/>
      <c r="H438" s="155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  <c r="AA438" s="166"/>
      <c r="AB438" s="166"/>
      <c r="AC438" s="166"/>
      <c r="AD438" s="166"/>
      <c r="AE438" s="166"/>
      <c r="AF438" s="166"/>
      <c r="AG438" s="166"/>
    </row>
    <row r="439" spans="1:33" ht="15.750000" customHeight="1">
      <c r="B439" s="155"/>
      <c r="C439" s="166"/>
      <c r="D439" s="166"/>
      <c r="H439" s="155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  <c r="AA439" s="166"/>
      <c r="AB439" s="166"/>
      <c r="AC439" s="166"/>
      <c r="AD439" s="166"/>
      <c r="AE439" s="166"/>
      <c r="AF439" s="166"/>
      <c r="AG439" s="166"/>
    </row>
    <row r="440" spans="1:33" ht="15.750000" customHeight="1">
      <c r="B440" s="155"/>
      <c r="C440" s="166"/>
      <c r="D440" s="166"/>
      <c r="H440" s="155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  <c r="AA440" s="166"/>
      <c r="AB440" s="166"/>
      <c r="AC440" s="166"/>
      <c r="AD440" s="166"/>
      <c r="AE440" s="166"/>
      <c r="AF440" s="166"/>
      <c r="AG440" s="166"/>
    </row>
    <row r="441" spans="1:33" ht="15.750000" customHeight="1">
      <c r="B441" s="155"/>
      <c r="C441" s="166"/>
      <c r="D441" s="166"/>
      <c r="H441" s="155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  <c r="AA441" s="166"/>
      <c r="AB441" s="166"/>
      <c r="AC441" s="166"/>
      <c r="AD441" s="166"/>
      <c r="AE441" s="166"/>
      <c r="AF441" s="166"/>
      <c r="AG441" s="166"/>
    </row>
    <row r="442" spans="1:33" ht="15.750000" customHeight="1">
      <c r="A442" s="156" t="s">
        <v>116</v>
      </c>
      <c r="B442" s="155"/>
      <c r="C442" s="166"/>
      <c r="D442" s="166"/>
      <c r="E442" s="481">
        <f>F442*120%</f>
        <v>0</v>
      </c>
      <c r="F442" s="481">
        <f>(D442-C442+1)*G442</f>
        <v>0</v>
      </c>
      <c r="G442" s="482">
        <f>IF(OR((H442=""),(H442=5)),N442*40,IF(H442=10,N442*55,"포인트 열 재확인"))</f>
        <v>0</v>
      </c>
      <c r="H442" s="155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  <c r="AA442" s="166"/>
      <c r="AB442" s="166"/>
      <c r="AC442" s="166"/>
      <c r="AD442" s="166"/>
      <c r="AE442" s="166"/>
      <c r="AF442" s="166"/>
      <c r="AG442" s="166"/>
    </row>
    <row r="443" spans="1:33" ht="15.750000" customHeight="1">
      <c r="B443" s="155"/>
      <c r="C443" s="166"/>
      <c r="D443" s="166"/>
      <c r="H443" s="155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  <c r="AA443" s="166"/>
      <c r="AB443" s="166"/>
      <c r="AC443" s="166"/>
      <c r="AD443" s="166"/>
      <c r="AE443" s="166"/>
      <c r="AF443" s="166"/>
      <c r="AG443" s="166"/>
    </row>
    <row r="444" spans="1:33" ht="15.750000" customHeight="1">
      <c r="B444" s="155"/>
      <c r="C444" s="166"/>
      <c r="D444" s="166"/>
      <c r="H444" s="155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  <c r="AA444" s="166"/>
      <c r="AB444" s="166"/>
      <c r="AC444" s="166"/>
      <c r="AD444" s="166"/>
      <c r="AE444" s="166"/>
      <c r="AF444" s="166"/>
      <c r="AG444" s="166"/>
    </row>
    <row r="445" spans="1:33" ht="15.750000" customHeight="1">
      <c r="B445" s="155"/>
      <c r="C445" s="166"/>
      <c r="D445" s="166"/>
      <c r="H445" s="155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6"/>
    </row>
    <row r="446" spans="1:33" ht="15.750000" customHeight="1">
      <c r="B446" s="155"/>
      <c r="C446" s="166"/>
      <c r="D446" s="166"/>
      <c r="H446" s="155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  <c r="AA446" s="166"/>
      <c r="AB446" s="166"/>
      <c r="AC446" s="166"/>
      <c r="AD446" s="166"/>
      <c r="AE446" s="166"/>
      <c r="AF446" s="166"/>
      <c r="AG446" s="166"/>
    </row>
    <row r="447" spans="1:33" ht="15.750000" customHeight="1">
      <c r="A447" s="156" t="s">
        <v>116</v>
      </c>
      <c r="B447" s="155"/>
      <c r="C447" s="166"/>
      <c r="D447" s="166"/>
      <c r="E447" s="481">
        <f>F447*120%</f>
        <v>0</v>
      </c>
      <c r="F447" s="481">
        <f>(D447-C447+1)*G447</f>
        <v>0</v>
      </c>
      <c r="G447" s="482">
        <f>IF(OR((H447=""),(H447=5)),N447*40,IF(H447=10,N447*55,"포인트 열 재확인"))</f>
        <v>0</v>
      </c>
      <c r="H447" s="155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  <c r="AA447" s="166"/>
      <c r="AB447" s="166"/>
      <c r="AC447" s="166"/>
      <c r="AD447" s="166"/>
      <c r="AE447" s="166"/>
      <c r="AF447" s="166"/>
      <c r="AG447" s="166"/>
    </row>
    <row r="448" spans="1:33" ht="15.750000" customHeight="1">
      <c r="B448" s="155"/>
      <c r="C448" s="166"/>
      <c r="D448" s="166"/>
      <c r="H448" s="155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  <c r="AA448" s="166"/>
      <c r="AB448" s="166"/>
      <c r="AC448" s="166"/>
      <c r="AD448" s="166"/>
      <c r="AE448" s="166"/>
      <c r="AF448" s="166"/>
      <c r="AG448" s="166"/>
    </row>
    <row r="449" spans="1:33" ht="15.750000" customHeight="1">
      <c r="B449" s="155"/>
      <c r="C449" s="166"/>
      <c r="D449" s="166"/>
      <c r="H449" s="155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  <c r="AA449" s="166"/>
      <c r="AB449" s="166"/>
      <c r="AC449" s="166"/>
      <c r="AD449" s="166"/>
      <c r="AE449" s="166"/>
      <c r="AF449" s="166"/>
      <c r="AG449" s="166"/>
    </row>
    <row r="450" spans="1:33" ht="15.750000" customHeight="1">
      <c r="B450" s="155"/>
      <c r="C450" s="166"/>
      <c r="D450" s="166"/>
      <c r="H450" s="155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  <c r="AA450" s="166"/>
      <c r="AB450" s="166"/>
      <c r="AC450" s="166"/>
      <c r="AD450" s="166"/>
      <c r="AE450" s="166"/>
      <c r="AF450" s="166"/>
      <c r="AG450" s="166"/>
    </row>
    <row r="451" spans="1:33" ht="15.750000" customHeight="1">
      <c r="B451" s="155"/>
      <c r="C451" s="166"/>
      <c r="D451" s="166"/>
      <c r="H451" s="155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  <c r="AA451" s="166"/>
      <c r="AB451" s="166"/>
      <c r="AC451" s="166"/>
      <c r="AD451" s="166"/>
      <c r="AE451" s="166"/>
      <c r="AF451" s="166"/>
      <c r="AG451" s="166"/>
    </row>
    <row r="452" spans="1:33" ht="15.750000" customHeight="1">
      <c r="A452" s="156" t="s">
        <v>116</v>
      </c>
      <c r="B452" s="155"/>
      <c r="C452" s="166"/>
      <c r="D452" s="166"/>
      <c r="E452" s="481">
        <f>F452*120%</f>
        <v>0</v>
      </c>
      <c r="F452" s="481">
        <f>(D452-C452+1)*G452</f>
        <v>0</v>
      </c>
      <c r="G452" s="482">
        <f>IF(OR((H452=""),(H452=5)),N452*40,IF(H452=10,N452*55,"포인트 열 재확인"))</f>
        <v>0</v>
      </c>
      <c r="H452" s="155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  <c r="AA452" s="166"/>
      <c r="AB452" s="166"/>
      <c r="AC452" s="166"/>
      <c r="AD452" s="166"/>
      <c r="AE452" s="166"/>
      <c r="AF452" s="166"/>
      <c r="AG452" s="166"/>
    </row>
    <row r="453" spans="1:33" ht="15.750000" customHeight="1">
      <c r="B453" s="155"/>
      <c r="C453" s="166"/>
      <c r="D453" s="166"/>
      <c r="H453" s="155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  <c r="AA453" s="166"/>
      <c r="AB453" s="166"/>
      <c r="AC453" s="166"/>
      <c r="AD453" s="166"/>
      <c r="AE453" s="166"/>
      <c r="AF453" s="166"/>
      <c r="AG453" s="166"/>
    </row>
    <row r="454" spans="1:33" ht="15.750000" customHeight="1">
      <c r="B454" s="155"/>
      <c r="C454" s="166"/>
      <c r="D454" s="166"/>
      <c r="H454" s="155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  <c r="AA454" s="166"/>
      <c r="AB454" s="166"/>
      <c r="AC454" s="166"/>
      <c r="AD454" s="166"/>
      <c r="AE454" s="166"/>
      <c r="AF454" s="166"/>
      <c r="AG454" s="166"/>
    </row>
    <row r="455" spans="1:33" ht="15.750000" customHeight="1">
      <c r="B455" s="155"/>
      <c r="C455" s="166"/>
      <c r="D455" s="166"/>
      <c r="H455" s="155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  <c r="AA455" s="166"/>
      <c r="AB455" s="166"/>
      <c r="AC455" s="166"/>
      <c r="AD455" s="166"/>
      <c r="AE455" s="166"/>
      <c r="AF455" s="166"/>
      <c r="AG455" s="166"/>
    </row>
    <row r="456" spans="1:33" ht="15.750000" customHeight="1">
      <c r="B456" s="155"/>
      <c r="C456" s="166"/>
      <c r="D456" s="166"/>
      <c r="H456" s="155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  <c r="AA456" s="166"/>
      <c r="AB456" s="166"/>
      <c r="AC456" s="166"/>
      <c r="AD456" s="166"/>
      <c r="AE456" s="166"/>
      <c r="AF456" s="166"/>
      <c r="AG456" s="166"/>
    </row>
    <row r="457" spans="1:33" ht="15.750000" customHeight="1">
      <c r="A457" s="156" t="s">
        <v>116</v>
      </c>
      <c r="B457" s="155"/>
      <c r="C457" s="166"/>
      <c r="D457" s="166"/>
      <c r="E457" s="481">
        <f>F457*120%</f>
        <v>0</v>
      </c>
      <c r="F457" s="481">
        <f>(D457-C457+1)*G457</f>
        <v>0</v>
      </c>
      <c r="G457" s="482">
        <f>IF(OR((H457=""),(H457=5)),N457*40,IF(H457=10,N457*55,"포인트 열 재확인"))</f>
        <v>0</v>
      </c>
      <c r="H457" s="155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  <c r="AA457" s="166"/>
      <c r="AB457" s="166"/>
      <c r="AC457" s="166"/>
      <c r="AD457" s="166"/>
      <c r="AE457" s="166"/>
      <c r="AF457" s="166"/>
      <c r="AG457" s="166"/>
    </row>
    <row r="458" spans="1:33" ht="15.750000" customHeight="1">
      <c r="B458" s="155"/>
      <c r="C458" s="166"/>
      <c r="D458" s="166"/>
      <c r="H458" s="155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  <c r="AA458" s="166"/>
      <c r="AB458" s="166"/>
      <c r="AC458" s="166"/>
      <c r="AD458" s="166"/>
      <c r="AE458" s="166"/>
      <c r="AF458" s="166"/>
      <c r="AG458" s="166"/>
    </row>
    <row r="459" spans="1:33" ht="15.750000" customHeight="1">
      <c r="B459" s="155"/>
      <c r="C459" s="166"/>
      <c r="D459" s="166"/>
      <c r="H459" s="155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  <c r="AA459" s="166"/>
      <c r="AB459" s="166"/>
      <c r="AC459" s="166"/>
      <c r="AD459" s="166"/>
      <c r="AE459" s="166"/>
      <c r="AF459" s="166"/>
      <c r="AG459" s="166"/>
    </row>
    <row r="460" spans="1:33" ht="15.750000" customHeight="1">
      <c r="B460" s="155"/>
      <c r="C460" s="166"/>
      <c r="D460" s="166"/>
      <c r="H460" s="155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  <c r="AA460" s="166"/>
      <c r="AB460" s="166"/>
      <c r="AC460" s="166"/>
      <c r="AD460" s="166"/>
      <c r="AE460" s="166"/>
      <c r="AF460" s="166"/>
      <c r="AG460" s="166"/>
    </row>
    <row r="461" spans="1:33" ht="15.750000" customHeight="1">
      <c r="B461" s="155"/>
      <c r="C461" s="166"/>
      <c r="D461" s="166"/>
      <c r="H461" s="155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  <c r="AA461" s="166"/>
      <c r="AB461" s="166"/>
      <c r="AC461" s="166"/>
      <c r="AD461" s="166"/>
      <c r="AE461" s="166"/>
      <c r="AF461" s="166"/>
      <c r="AG461" s="166"/>
    </row>
    <row r="462" spans="1:33" ht="15.750000" customHeight="1">
      <c r="A462" s="156" t="s">
        <v>116</v>
      </c>
      <c r="B462" s="155"/>
      <c r="C462" s="166"/>
      <c r="D462" s="166"/>
      <c r="E462" s="481">
        <f>F462*120%</f>
        <v>0</v>
      </c>
      <c r="F462" s="481">
        <f>(D462-C462+1)*G462</f>
        <v>0</v>
      </c>
      <c r="G462" s="482">
        <f>IF(OR((H462=""),(H462=5)),N462*40,IF(H462=10,N462*55,"포인트 열 재확인"))</f>
        <v>0</v>
      </c>
      <c r="H462" s="155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  <c r="AA462" s="166"/>
      <c r="AB462" s="166"/>
      <c r="AC462" s="166"/>
      <c r="AD462" s="166"/>
      <c r="AE462" s="166"/>
      <c r="AF462" s="166"/>
      <c r="AG462" s="166"/>
    </row>
    <row r="463" spans="1:33" ht="15.750000" customHeight="1">
      <c r="B463" s="155"/>
      <c r="C463" s="166"/>
      <c r="D463" s="166"/>
      <c r="H463" s="155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  <c r="AA463" s="166"/>
      <c r="AB463" s="166"/>
      <c r="AC463" s="166"/>
      <c r="AD463" s="166"/>
      <c r="AE463" s="166"/>
      <c r="AF463" s="166"/>
      <c r="AG463" s="166"/>
    </row>
    <row r="464" spans="1:33" ht="15.750000" customHeight="1">
      <c r="B464" s="155"/>
      <c r="C464" s="166"/>
      <c r="D464" s="166"/>
      <c r="H464" s="155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  <c r="AA464" s="166"/>
      <c r="AB464" s="166"/>
      <c r="AC464" s="166"/>
      <c r="AD464" s="166"/>
      <c r="AE464" s="166"/>
      <c r="AF464" s="166"/>
      <c r="AG464" s="166"/>
    </row>
    <row r="465" spans="1:33" ht="15.750000" customHeight="1">
      <c r="B465" s="155"/>
      <c r="C465" s="166"/>
      <c r="D465" s="166"/>
      <c r="H465" s="155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  <c r="AA465" s="166"/>
      <c r="AB465" s="166"/>
      <c r="AC465" s="166"/>
      <c r="AD465" s="166"/>
      <c r="AE465" s="166"/>
      <c r="AF465" s="166"/>
      <c r="AG465" s="166"/>
    </row>
    <row r="466" spans="1:33" ht="15.750000" customHeight="1">
      <c r="B466" s="155"/>
      <c r="C466" s="166"/>
      <c r="D466" s="166"/>
      <c r="H466" s="155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  <c r="AA466" s="166"/>
      <c r="AB466" s="166"/>
      <c r="AC466" s="166"/>
      <c r="AD466" s="166"/>
      <c r="AE466" s="166"/>
      <c r="AF466" s="166"/>
      <c r="AG466" s="166"/>
    </row>
    <row r="467" spans="1:33" ht="15.750000" customHeight="1">
      <c r="A467" s="166"/>
      <c r="B467" s="155"/>
      <c r="C467" s="166"/>
      <c r="D467" s="166"/>
      <c r="E467" s="155"/>
      <c r="F467" s="155"/>
      <c r="G467" s="155"/>
      <c r="H467" s="155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  <c r="AA467" s="166"/>
      <c r="AB467" s="166"/>
      <c r="AC467" s="166"/>
      <c r="AD467" s="166"/>
      <c r="AE467" s="166"/>
      <c r="AF467" s="166"/>
      <c r="AG467" s="166"/>
    </row>
    <row r="468" spans="1:33" ht="15.750000" customHeight="1">
      <c r="B468" s="155"/>
      <c r="C468" s="166"/>
      <c r="D468" s="166"/>
      <c r="E468" s="155"/>
      <c r="F468" s="155"/>
      <c r="G468" s="155"/>
      <c r="H468" s="155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  <c r="AA468" s="166"/>
      <c r="AB468" s="166"/>
      <c r="AC468" s="166"/>
      <c r="AD468" s="166"/>
      <c r="AE468" s="166"/>
      <c r="AF468" s="166"/>
      <c r="AG468" s="166"/>
    </row>
    <row r="469" spans="1:33" ht="15.750000" customHeight="1">
      <c r="B469" s="155"/>
      <c r="C469" s="166"/>
      <c r="D469" s="166"/>
      <c r="E469" s="155"/>
      <c r="F469" s="155"/>
      <c r="G469" s="155"/>
      <c r="H469" s="155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6"/>
      <c r="AG469" s="166"/>
    </row>
    <row r="470" spans="1:33" ht="15.750000" customHeight="1">
      <c r="B470" s="155"/>
      <c r="C470" s="166"/>
      <c r="D470" s="166"/>
      <c r="E470" s="155"/>
      <c r="F470" s="155"/>
      <c r="G470" s="155"/>
      <c r="H470" s="155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  <c r="AA470" s="166"/>
      <c r="AB470" s="166"/>
      <c r="AC470" s="166"/>
      <c r="AD470" s="166"/>
      <c r="AE470" s="166"/>
      <c r="AF470" s="166"/>
      <c r="AG470" s="166"/>
    </row>
    <row r="471" spans="1:33" ht="15.750000" customHeight="1">
      <c r="B471" s="155"/>
      <c r="C471" s="166"/>
      <c r="D471" s="166"/>
      <c r="E471" s="155"/>
      <c r="F471" s="155"/>
      <c r="G471" s="155"/>
      <c r="H471" s="155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  <c r="AA471" s="166"/>
      <c r="AB471" s="166"/>
      <c r="AC471" s="166"/>
      <c r="AD471" s="166"/>
      <c r="AE471" s="166"/>
      <c r="AF471" s="166"/>
      <c r="AG471" s="166"/>
    </row>
    <row r="472" spans="1:33" ht="15.750000" customHeight="1">
      <c r="A472" s="166"/>
      <c r="B472" s="155"/>
      <c r="C472" s="166"/>
      <c r="D472" s="166"/>
      <c r="E472" s="155"/>
      <c r="F472" s="155"/>
      <c r="G472" s="155"/>
      <c r="H472" s="155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  <c r="AA472" s="166"/>
      <c r="AB472" s="166"/>
      <c r="AC472" s="166"/>
      <c r="AD472" s="166"/>
      <c r="AE472" s="166"/>
      <c r="AF472" s="166"/>
      <c r="AG472" s="166"/>
    </row>
    <row r="473" spans="1:33" ht="15.750000" customHeight="1">
      <c r="B473" s="155"/>
      <c r="C473" s="166"/>
      <c r="D473" s="166"/>
      <c r="E473" s="155"/>
      <c r="F473" s="155"/>
      <c r="G473" s="155"/>
      <c r="H473" s="155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  <c r="AA473" s="166"/>
      <c r="AB473" s="166"/>
      <c r="AC473" s="166"/>
      <c r="AD473" s="166"/>
      <c r="AE473" s="166"/>
      <c r="AF473" s="166"/>
      <c r="AG473" s="166"/>
    </row>
    <row r="474" spans="1:33" ht="15.750000" customHeight="1">
      <c r="B474" s="155"/>
      <c r="C474" s="166"/>
      <c r="D474" s="166"/>
      <c r="E474" s="155"/>
      <c r="F474" s="155"/>
      <c r="G474" s="155"/>
      <c r="H474" s="155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  <c r="AA474" s="166"/>
      <c r="AB474" s="166"/>
      <c r="AC474" s="166"/>
      <c r="AD474" s="166"/>
      <c r="AE474" s="166"/>
      <c r="AF474" s="166"/>
      <c r="AG474" s="166"/>
    </row>
    <row r="475" spans="1:33" ht="15.750000" customHeight="1">
      <c r="B475" s="155"/>
      <c r="C475" s="166"/>
      <c r="D475" s="166"/>
      <c r="E475" s="155"/>
      <c r="F475" s="155"/>
      <c r="G475" s="155"/>
      <c r="H475" s="155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  <c r="AA475" s="166"/>
      <c r="AB475" s="166"/>
      <c r="AC475" s="166"/>
      <c r="AD475" s="166"/>
      <c r="AE475" s="166"/>
      <c r="AF475" s="166"/>
      <c r="AG475" s="166"/>
    </row>
    <row r="476" spans="1:33" ht="15.750000" customHeight="1">
      <c r="B476" s="155"/>
      <c r="C476" s="166"/>
      <c r="D476" s="166"/>
      <c r="E476" s="155"/>
      <c r="F476" s="155"/>
      <c r="G476" s="155"/>
      <c r="H476" s="155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  <c r="AA476" s="166"/>
      <c r="AB476" s="166"/>
      <c r="AC476" s="166"/>
      <c r="AD476" s="166"/>
      <c r="AE476" s="166"/>
      <c r="AF476" s="166"/>
      <c r="AG476" s="166"/>
    </row>
    <row r="477" spans="1:33" ht="15.750000" customHeight="1">
      <c r="A477" s="166"/>
      <c r="B477" s="155"/>
      <c r="C477" s="166"/>
      <c r="D477" s="166"/>
      <c r="E477" s="155"/>
      <c r="F477" s="155"/>
      <c r="G477" s="155"/>
      <c r="H477" s="155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  <c r="AA477" s="166"/>
      <c r="AB477" s="166"/>
      <c r="AC477" s="166"/>
      <c r="AD477" s="166"/>
      <c r="AE477" s="166"/>
      <c r="AF477" s="166"/>
      <c r="AG477" s="166"/>
    </row>
    <row r="478" spans="1:33" ht="15.750000" customHeight="1">
      <c r="B478" s="155"/>
      <c r="C478" s="166"/>
      <c r="D478" s="166"/>
      <c r="E478" s="155"/>
      <c r="F478" s="155"/>
      <c r="G478" s="155"/>
      <c r="H478" s="155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  <c r="AA478" s="166"/>
      <c r="AB478" s="166"/>
      <c r="AC478" s="166"/>
      <c r="AD478" s="166"/>
      <c r="AE478" s="166"/>
      <c r="AF478" s="166"/>
      <c r="AG478" s="166"/>
    </row>
    <row r="479" spans="1:33" ht="15.750000" customHeight="1">
      <c r="B479" s="155"/>
      <c r="C479" s="166"/>
      <c r="D479" s="166"/>
      <c r="E479" s="155"/>
      <c r="F479" s="155"/>
      <c r="G479" s="155"/>
      <c r="H479" s="155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  <c r="AA479" s="166"/>
      <c r="AB479" s="166"/>
      <c r="AC479" s="166"/>
      <c r="AD479" s="166"/>
      <c r="AE479" s="166"/>
      <c r="AF479" s="166"/>
      <c r="AG479" s="166"/>
    </row>
    <row r="480" spans="1:33" ht="15.750000" customHeight="1">
      <c r="B480" s="155"/>
      <c r="C480" s="166"/>
      <c r="D480" s="166"/>
      <c r="E480" s="155"/>
      <c r="F480" s="155"/>
      <c r="G480" s="155"/>
      <c r="H480" s="155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  <c r="AA480" s="166"/>
      <c r="AB480" s="166"/>
      <c r="AC480" s="166"/>
      <c r="AD480" s="166"/>
      <c r="AE480" s="166"/>
      <c r="AF480" s="166"/>
      <c r="AG480" s="166"/>
    </row>
    <row r="481" spans="1:33" ht="15.750000" customHeight="1">
      <c r="B481" s="155"/>
      <c r="C481" s="166"/>
      <c r="D481" s="166"/>
      <c r="E481" s="155"/>
      <c r="F481" s="155"/>
      <c r="G481" s="155"/>
      <c r="H481" s="155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6"/>
    </row>
    <row r="482" spans="1:33" ht="15.750000" customHeight="1">
      <c r="A482" s="166"/>
      <c r="B482" s="155"/>
      <c r="C482" s="166"/>
      <c r="D482" s="166"/>
      <c r="E482" s="155"/>
      <c r="F482" s="155"/>
      <c r="G482" s="155"/>
      <c r="H482" s="155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  <c r="AA482" s="166"/>
      <c r="AB482" s="166"/>
      <c r="AC482" s="166"/>
      <c r="AD482" s="166"/>
      <c r="AE482" s="166"/>
      <c r="AF482" s="166"/>
      <c r="AG482" s="166"/>
    </row>
    <row r="483" spans="1:33" ht="15.750000" customHeight="1">
      <c r="B483" s="155"/>
      <c r="C483" s="166"/>
      <c r="D483" s="166"/>
      <c r="E483" s="155"/>
      <c r="F483" s="155"/>
      <c r="G483" s="155"/>
      <c r="H483" s="155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  <c r="AA483" s="166"/>
      <c r="AB483" s="166"/>
      <c r="AC483" s="166"/>
      <c r="AD483" s="166"/>
      <c r="AE483" s="166"/>
      <c r="AF483" s="166"/>
      <c r="AG483" s="166"/>
    </row>
    <row r="484" spans="1:33" ht="15.750000" customHeight="1">
      <c r="B484" s="155"/>
      <c r="C484" s="166"/>
      <c r="D484" s="166"/>
      <c r="E484" s="155"/>
      <c r="F484" s="155"/>
      <c r="G484" s="155"/>
      <c r="H484" s="155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  <c r="AA484" s="166"/>
      <c r="AB484" s="166"/>
      <c r="AC484" s="166"/>
      <c r="AD484" s="166"/>
      <c r="AE484" s="166"/>
      <c r="AF484" s="166"/>
      <c r="AG484" s="166"/>
    </row>
    <row r="485" spans="1:33" ht="15.750000" customHeight="1">
      <c r="B485" s="155"/>
      <c r="C485" s="166"/>
      <c r="D485" s="166"/>
      <c r="E485" s="155"/>
      <c r="F485" s="155"/>
      <c r="G485" s="155"/>
      <c r="H485" s="155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  <c r="AA485" s="166"/>
      <c r="AB485" s="166"/>
      <c r="AC485" s="166"/>
      <c r="AD485" s="166"/>
      <c r="AE485" s="166"/>
      <c r="AF485" s="166"/>
      <c r="AG485" s="166"/>
    </row>
    <row r="486" spans="1:33" ht="15.750000" customHeight="1">
      <c r="B486" s="155"/>
      <c r="C486" s="166"/>
      <c r="D486" s="166"/>
      <c r="E486" s="155"/>
      <c r="F486" s="155"/>
      <c r="G486" s="155"/>
      <c r="H486" s="155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  <c r="AA486" s="166"/>
      <c r="AB486" s="166"/>
      <c r="AC486" s="166"/>
      <c r="AD486" s="166"/>
      <c r="AE486" s="166"/>
      <c r="AF486" s="166"/>
      <c r="AG486" s="166"/>
    </row>
    <row r="487" spans="1:33" ht="15.750000" customHeight="1">
      <c r="A487" s="166"/>
      <c r="B487" s="155"/>
      <c r="C487" s="166"/>
      <c r="D487" s="166"/>
      <c r="E487" s="155"/>
      <c r="F487" s="155"/>
      <c r="G487" s="155"/>
      <c r="H487" s="155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  <c r="AA487" s="166"/>
      <c r="AB487" s="166"/>
      <c r="AC487" s="166"/>
      <c r="AD487" s="166"/>
      <c r="AE487" s="166"/>
      <c r="AF487" s="166"/>
      <c r="AG487" s="166"/>
    </row>
    <row r="488" spans="1:33" ht="15.750000" customHeight="1">
      <c r="A488" s="166"/>
      <c r="B488" s="155"/>
      <c r="C488" s="166"/>
      <c r="D488" s="166"/>
      <c r="E488" s="155"/>
      <c r="F488" s="155"/>
      <c r="G488" s="155"/>
      <c r="H488" s="155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  <c r="AA488" s="166"/>
      <c r="AB488" s="166"/>
      <c r="AC488" s="166"/>
      <c r="AD488" s="166"/>
      <c r="AE488" s="166"/>
      <c r="AF488" s="166"/>
      <c r="AG488" s="166"/>
    </row>
    <row r="489" spans="1:33" ht="15.750000" customHeight="1">
      <c r="A489" s="166"/>
      <c r="B489" s="155"/>
      <c r="C489" s="166"/>
      <c r="D489" s="166"/>
      <c r="E489" s="155"/>
      <c r="F489" s="155"/>
      <c r="G489" s="155"/>
      <c r="H489" s="155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  <c r="AA489" s="166"/>
      <c r="AB489" s="166"/>
      <c r="AC489" s="166"/>
      <c r="AD489" s="166"/>
      <c r="AE489" s="166"/>
      <c r="AF489" s="166"/>
      <c r="AG489" s="166"/>
    </row>
    <row r="490" spans="1:33" ht="15.750000" customHeight="1">
      <c r="A490" s="166"/>
      <c r="B490" s="155"/>
      <c r="C490" s="166"/>
      <c r="D490" s="166"/>
      <c r="E490" s="155"/>
      <c r="F490" s="155"/>
      <c r="G490" s="155"/>
      <c r="H490" s="155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  <c r="AA490" s="166"/>
      <c r="AB490" s="166"/>
      <c r="AC490" s="166"/>
      <c r="AD490" s="166"/>
      <c r="AE490" s="166"/>
      <c r="AF490" s="166"/>
      <c r="AG490" s="166"/>
    </row>
    <row r="491" spans="1:33" ht="15.750000" customHeight="1">
      <c r="A491" s="166"/>
      <c r="B491" s="155"/>
      <c r="C491" s="166"/>
      <c r="D491" s="166"/>
      <c r="E491" s="155"/>
      <c r="F491" s="155"/>
      <c r="G491" s="155"/>
      <c r="H491" s="155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  <c r="AA491" s="166"/>
      <c r="AB491" s="166"/>
      <c r="AC491" s="166"/>
      <c r="AD491" s="166"/>
      <c r="AE491" s="166"/>
      <c r="AF491" s="166"/>
      <c r="AG491" s="166"/>
    </row>
    <row r="492" spans="1:33" ht="15.750000" customHeight="1">
      <c r="A492" s="166"/>
      <c r="B492" s="155"/>
      <c r="C492" s="166"/>
      <c r="D492" s="166"/>
      <c r="E492" s="155"/>
      <c r="F492" s="155"/>
      <c r="G492" s="155"/>
      <c r="H492" s="155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  <c r="AA492" s="166"/>
      <c r="AB492" s="166"/>
      <c r="AC492" s="166"/>
      <c r="AD492" s="166"/>
      <c r="AE492" s="166"/>
      <c r="AF492" s="166"/>
      <c r="AG492" s="166"/>
    </row>
    <row r="493" spans="1:33" ht="15.750000" customHeight="1">
      <c r="A493" s="166"/>
      <c r="B493" s="155"/>
      <c r="C493" s="166"/>
      <c r="D493" s="166"/>
      <c r="E493" s="155"/>
      <c r="F493" s="155"/>
      <c r="G493" s="155"/>
      <c r="H493" s="155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  <c r="AA493" s="166"/>
      <c r="AB493" s="166"/>
      <c r="AC493" s="166"/>
      <c r="AD493" s="166"/>
      <c r="AE493" s="166"/>
      <c r="AF493" s="166"/>
      <c r="AG493" s="166"/>
    </row>
    <row r="494" spans="1:33" ht="15.750000" customHeight="1">
      <c r="A494" s="166"/>
      <c r="B494" s="155"/>
      <c r="C494" s="166"/>
      <c r="D494" s="166"/>
      <c r="E494" s="155"/>
      <c r="F494" s="155"/>
      <c r="G494" s="155"/>
      <c r="H494" s="155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  <c r="AA494" s="166"/>
      <c r="AB494" s="166"/>
      <c r="AC494" s="166"/>
      <c r="AD494" s="166"/>
      <c r="AE494" s="166"/>
      <c r="AF494" s="166"/>
      <c r="AG494" s="166"/>
    </row>
    <row r="495" spans="1:33" ht="15.750000" customHeight="1">
      <c r="A495" s="166"/>
      <c r="B495" s="155"/>
      <c r="C495" s="166"/>
      <c r="D495" s="166"/>
      <c r="E495" s="155"/>
      <c r="F495" s="155"/>
      <c r="G495" s="155"/>
      <c r="H495" s="155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  <c r="AA495" s="166"/>
      <c r="AB495" s="166"/>
      <c r="AC495" s="166"/>
      <c r="AD495" s="166"/>
      <c r="AE495" s="166"/>
      <c r="AF495" s="166"/>
      <c r="AG495" s="166"/>
    </row>
    <row r="496" spans="1:33" ht="15.750000" customHeight="1">
      <c r="A496" s="166"/>
      <c r="B496" s="155"/>
      <c r="C496" s="166"/>
      <c r="D496" s="166"/>
      <c r="E496" s="155"/>
      <c r="F496" s="155"/>
      <c r="G496" s="155"/>
      <c r="H496" s="155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  <c r="AA496" s="166"/>
      <c r="AB496" s="166"/>
      <c r="AC496" s="166"/>
      <c r="AD496" s="166"/>
      <c r="AE496" s="166"/>
      <c r="AF496" s="166"/>
      <c r="AG496" s="166"/>
    </row>
    <row r="497" spans="1:33" ht="15.750000" customHeight="1">
      <c r="A497" s="166"/>
      <c r="B497" s="155"/>
      <c r="C497" s="166"/>
      <c r="D497" s="166"/>
      <c r="E497" s="155"/>
      <c r="F497" s="155"/>
      <c r="G497" s="155"/>
      <c r="H497" s="155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  <c r="AA497" s="166"/>
      <c r="AB497" s="166"/>
      <c r="AC497" s="166"/>
      <c r="AD497" s="166"/>
      <c r="AE497" s="166"/>
      <c r="AF497" s="166"/>
      <c r="AG497" s="166"/>
    </row>
    <row r="498" spans="1:33" ht="15.750000" customHeight="1">
      <c r="A498" s="166"/>
      <c r="B498" s="155"/>
      <c r="C498" s="166"/>
      <c r="D498" s="166"/>
      <c r="E498" s="155"/>
      <c r="F498" s="155"/>
      <c r="G498" s="155"/>
      <c r="H498" s="155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6"/>
    </row>
    <row r="499" spans="1:33" ht="15.750000" customHeight="1">
      <c r="A499" s="166"/>
      <c r="B499" s="155"/>
      <c r="C499" s="166"/>
      <c r="D499" s="166"/>
      <c r="E499" s="155"/>
      <c r="F499" s="155"/>
      <c r="G499" s="155"/>
      <c r="H499" s="155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  <c r="AA499" s="166"/>
      <c r="AB499" s="166"/>
      <c r="AC499" s="166"/>
      <c r="AD499" s="166"/>
      <c r="AE499" s="166"/>
      <c r="AF499" s="166"/>
      <c r="AG499" s="166"/>
    </row>
    <row r="500" spans="1:33" ht="15.750000" customHeight="1">
      <c r="A500" s="166"/>
      <c r="B500" s="155"/>
      <c r="C500" s="166"/>
      <c r="D500" s="166"/>
      <c r="E500" s="155"/>
      <c r="F500" s="155"/>
      <c r="G500" s="155"/>
      <c r="H500" s="155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  <c r="AA500" s="166"/>
      <c r="AB500" s="166"/>
      <c r="AC500" s="166"/>
      <c r="AD500" s="166"/>
      <c r="AE500" s="166"/>
      <c r="AF500" s="166"/>
      <c r="AG500" s="166"/>
    </row>
    <row r="501" spans="1:33" ht="15.750000" customHeight="1">
      <c r="A501" s="166"/>
      <c r="B501" s="155"/>
      <c r="C501" s="166"/>
      <c r="D501" s="166"/>
      <c r="E501" s="155"/>
      <c r="F501" s="155"/>
      <c r="G501" s="155"/>
      <c r="H501" s="155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  <c r="AA501" s="166"/>
      <c r="AB501" s="166"/>
      <c r="AC501" s="166"/>
      <c r="AD501" s="166"/>
      <c r="AE501" s="166"/>
      <c r="AF501" s="166"/>
      <c r="AG501" s="166"/>
    </row>
    <row r="502" spans="1:33" ht="15.750000" customHeight="1">
      <c r="A502" s="166"/>
      <c r="B502" s="155"/>
      <c r="C502" s="166"/>
      <c r="D502" s="166"/>
      <c r="E502" s="155"/>
      <c r="F502" s="155"/>
      <c r="G502" s="155"/>
      <c r="H502" s="155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  <c r="AA502" s="166"/>
      <c r="AB502" s="166"/>
      <c r="AC502" s="166"/>
      <c r="AD502" s="166"/>
      <c r="AE502" s="166"/>
      <c r="AF502" s="166"/>
      <c r="AG502" s="166"/>
    </row>
    <row r="503" spans="1:33" ht="15.750000" customHeight="1">
      <c r="A503" s="166"/>
      <c r="B503" s="155"/>
      <c r="C503" s="166"/>
      <c r="D503" s="166"/>
      <c r="E503" s="155"/>
      <c r="F503" s="155"/>
      <c r="G503" s="155"/>
      <c r="H503" s="155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  <c r="AA503" s="166"/>
      <c r="AB503" s="166"/>
      <c r="AC503" s="166"/>
      <c r="AD503" s="166"/>
      <c r="AE503" s="166"/>
      <c r="AF503" s="166"/>
      <c r="AG503" s="166"/>
    </row>
    <row r="504" spans="1:33" ht="15.750000" customHeight="1">
      <c r="A504" s="166"/>
      <c r="B504" s="155"/>
      <c r="C504" s="166"/>
      <c r="D504" s="166"/>
      <c r="E504" s="155"/>
      <c r="F504" s="155"/>
      <c r="G504" s="155"/>
      <c r="H504" s="155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  <c r="AA504" s="166"/>
      <c r="AB504" s="166"/>
      <c r="AC504" s="166"/>
      <c r="AD504" s="166"/>
      <c r="AE504" s="166"/>
      <c r="AF504" s="166"/>
      <c r="AG504" s="166"/>
    </row>
    <row r="505" spans="1:33" ht="15.750000" customHeight="1">
      <c r="A505" s="166"/>
      <c r="B505" s="155"/>
      <c r="C505" s="166"/>
      <c r="D505" s="166"/>
      <c r="E505" s="155"/>
      <c r="F505" s="155"/>
      <c r="G505" s="155"/>
      <c r="H505" s="155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  <c r="AA505" s="166"/>
      <c r="AB505" s="166"/>
      <c r="AC505" s="166"/>
      <c r="AD505" s="166"/>
      <c r="AE505" s="166"/>
      <c r="AF505" s="166"/>
      <c r="AG505" s="166"/>
    </row>
    <row r="506" spans="1:33" ht="15.750000" customHeight="1">
      <c r="A506" s="166"/>
      <c r="B506" s="155"/>
      <c r="C506" s="166"/>
      <c r="D506" s="166"/>
      <c r="E506" s="155"/>
      <c r="F506" s="155"/>
      <c r="G506" s="155"/>
      <c r="H506" s="155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  <c r="AA506" s="166"/>
      <c r="AB506" s="166"/>
      <c r="AC506" s="166"/>
      <c r="AD506" s="166"/>
      <c r="AE506" s="166"/>
      <c r="AF506" s="166"/>
      <c r="AG506" s="166"/>
    </row>
    <row r="507" spans="1:33" ht="15.750000" customHeight="1">
      <c r="A507" s="166"/>
      <c r="B507" s="155"/>
      <c r="C507" s="166"/>
      <c r="D507" s="166"/>
      <c r="E507" s="155"/>
      <c r="F507" s="155"/>
      <c r="G507" s="155"/>
      <c r="H507" s="155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  <c r="AA507" s="166"/>
      <c r="AB507" s="166"/>
      <c r="AC507" s="166"/>
      <c r="AD507" s="166"/>
      <c r="AE507" s="166"/>
      <c r="AF507" s="166"/>
      <c r="AG507" s="166"/>
    </row>
    <row r="508" spans="1:33" ht="15.750000" customHeight="1">
      <c r="A508" s="166"/>
      <c r="B508" s="155"/>
      <c r="C508" s="166"/>
      <c r="D508" s="166"/>
      <c r="E508" s="155"/>
      <c r="F508" s="155"/>
      <c r="G508" s="155"/>
      <c r="H508" s="155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  <c r="AA508" s="166"/>
      <c r="AB508" s="166"/>
      <c r="AC508" s="166"/>
      <c r="AD508" s="166"/>
      <c r="AE508" s="166"/>
      <c r="AF508" s="166"/>
      <c r="AG508" s="166"/>
    </row>
    <row r="509" spans="1:33" ht="15.750000" customHeight="1">
      <c r="A509" s="166"/>
      <c r="B509" s="155"/>
      <c r="C509" s="166"/>
      <c r="D509" s="166"/>
      <c r="E509" s="155"/>
      <c r="F509" s="155"/>
      <c r="G509" s="155"/>
      <c r="H509" s="155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  <c r="AA509" s="166"/>
      <c r="AB509" s="166"/>
      <c r="AC509" s="166"/>
      <c r="AD509" s="166"/>
      <c r="AE509" s="166"/>
      <c r="AF509" s="166"/>
      <c r="AG509" s="166"/>
    </row>
    <row r="510" spans="1:33" ht="15.750000" customHeight="1">
      <c r="A510" s="166"/>
      <c r="B510" s="155"/>
      <c r="C510" s="166"/>
      <c r="D510" s="166"/>
      <c r="E510" s="155"/>
      <c r="F510" s="155"/>
      <c r="G510" s="155"/>
      <c r="H510" s="155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  <c r="AA510" s="166"/>
      <c r="AB510" s="166"/>
      <c r="AC510" s="166"/>
      <c r="AD510" s="166"/>
      <c r="AE510" s="166"/>
      <c r="AF510" s="166"/>
      <c r="AG510" s="166"/>
    </row>
    <row r="511" spans="1:33" ht="15.750000" customHeight="1">
      <c r="A511" s="166"/>
      <c r="B511" s="155"/>
      <c r="C511" s="166"/>
      <c r="D511" s="166"/>
      <c r="E511" s="155"/>
      <c r="F511" s="155"/>
      <c r="G511" s="155"/>
      <c r="H511" s="155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  <c r="AA511" s="166"/>
      <c r="AB511" s="166"/>
      <c r="AC511" s="166"/>
      <c r="AD511" s="166"/>
      <c r="AE511" s="166"/>
      <c r="AF511" s="166"/>
      <c r="AG511" s="166"/>
    </row>
    <row r="512" spans="1:33" ht="15.750000" customHeight="1">
      <c r="A512" s="166"/>
      <c r="B512" s="155"/>
      <c r="C512" s="166"/>
      <c r="D512" s="166"/>
      <c r="E512" s="155"/>
      <c r="F512" s="155"/>
      <c r="G512" s="155"/>
      <c r="H512" s="155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  <c r="AA512" s="166"/>
      <c r="AB512" s="166"/>
      <c r="AC512" s="166"/>
      <c r="AD512" s="166"/>
      <c r="AE512" s="166"/>
      <c r="AF512" s="166"/>
      <c r="AG512" s="166"/>
    </row>
    <row r="513" spans="1:33" ht="15.750000" customHeight="1">
      <c r="A513" s="166"/>
      <c r="B513" s="155"/>
      <c r="C513" s="166"/>
      <c r="D513" s="166"/>
      <c r="E513" s="155"/>
      <c r="F513" s="155"/>
      <c r="G513" s="155"/>
      <c r="H513" s="155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  <c r="AA513" s="166"/>
      <c r="AB513" s="166"/>
      <c r="AC513" s="166"/>
      <c r="AD513" s="166"/>
      <c r="AE513" s="166"/>
      <c r="AF513" s="166"/>
      <c r="AG513" s="166"/>
    </row>
    <row r="514" spans="1:33" ht="15.750000" customHeight="1">
      <c r="A514" s="166"/>
      <c r="B514" s="155"/>
      <c r="C514" s="166"/>
      <c r="D514" s="166"/>
      <c r="E514" s="155"/>
      <c r="F514" s="155"/>
      <c r="G514" s="155"/>
      <c r="H514" s="155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  <c r="AA514" s="166"/>
      <c r="AB514" s="166"/>
      <c r="AC514" s="166"/>
      <c r="AD514" s="166"/>
      <c r="AE514" s="166"/>
      <c r="AF514" s="166"/>
      <c r="AG514" s="166"/>
    </row>
    <row r="515" spans="1:33" ht="15.750000" customHeight="1">
      <c r="A515" s="166"/>
      <c r="B515" s="155"/>
      <c r="C515" s="166"/>
      <c r="D515" s="166"/>
      <c r="E515" s="155"/>
      <c r="F515" s="155"/>
      <c r="G515" s="155"/>
      <c r="H515" s="155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  <c r="AA515" s="166"/>
      <c r="AB515" s="166"/>
      <c r="AC515" s="166"/>
      <c r="AD515" s="166"/>
      <c r="AE515" s="166"/>
      <c r="AF515" s="166"/>
      <c r="AG515" s="166"/>
    </row>
    <row r="516" spans="1:33" ht="15.750000" customHeight="1">
      <c r="A516" s="166"/>
      <c r="B516" s="155"/>
      <c r="C516" s="166"/>
      <c r="D516" s="166"/>
      <c r="E516" s="155"/>
      <c r="F516" s="155"/>
      <c r="G516" s="155"/>
      <c r="H516" s="155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  <c r="AA516" s="166"/>
      <c r="AB516" s="166"/>
      <c r="AC516" s="166"/>
      <c r="AD516" s="166"/>
      <c r="AE516" s="166"/>
      <c r="AF516" s="166"/>
      <c r="AG516" s="166"/>
    </row>
    <row r="517" spans="1:33" ht="15.750000" customHeight="1">
      <c r="A517" s="166"/>
      <c r="B517" s="155"/>
      <c r="C517" s="166"/>
      <c r="D517" s="166"/>
      <c r="E517" s="155"/>
      <c r="F517" s="155"/>
      <c r="G517" s="155"/>
      <c r="H517" s="155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  <c r="AA517" s="166"/>
      <c r="AB517" s="166"/>
      <c r="AC517" s="166"/>
      <c r="AD517" s="166"/>
      <c r="AE517" s="166"/>
      <c r="AF517" s="166"/>
      <c r="AG517" s="166"/>
    </row>
    <row r="518" spans="1:33" ht="15.750000" customHeight="1">
      <c r="A518" s="166"/>
      <c r="B518" s="155"/>
      <c r="C518" s="166"/>
      <c r="D518" s="166"/>
      <c r="E518" s="155"/>
      <c r="F518" s="155"/>
      <c r="G518" s="155"/>
      <c r="H518" s="155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  <c r="AA518" s="166"/>
      <c r="AB518" s="166"/>
      <c r="AC518" s="166"/>
      <c r="AD518" s="166"/>
      <c r="AE518" s="166"/>
      <c r="AF518" s="166"/>
      <c r="AG518" s="166"/>
    </row>
    <row r="519" spans="1:33" ht="15.750000" customHeight="1">
      <c r="A519" s="166"/>
      <c r="B519" s="155"/>
      <c r="C519" s="166"/>
      <c r="D519" s="166"/>
      <c r="E519" s="155"/>
      <c r="F519" s="155"/>
      <c r="G519" s="155"/>
      <c r="H519" s="155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  <c r="AA519" s="166"/>
      <c r="AB519" s="166"/>
      <c r="AC519" s="166"/>
      <c r="AD519" s="166"/>
      <c r="AE519" s="166"/>
      <c r="AF519" s="166"/>
      <c r="AG519" s="166"/>
    </row>
    <row r="520" spans="1:33" ht="15.750000" customHeight="1">
      <c r="A520" s="166"/>
      <c r="B520" s="155"/>
      <c r="C520" s="166"/>
      <c r="D520" s="166"/>
      <c r="E520" s="155"/>
      <c r="F520" s="155"/>
      <c r="G520" s="155"/>
      <c r="H520" s="155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  <c r="AA520" s="166"/>
      <c r="AB520" s="166"/>
      <c r="AC520" s="166"/>
      <c r="AD520" s="166"/>
      <c r="AE520" s="166"/>
      <c r="AF520" s="166"/>
      <c r="AG520" s="166"/>
    </row>
    <row r="521" spans="1:33" ht="15.750000" customHeight="1">
      <c r="A521" s="166"/>
      <c r="B521" s="155"/>
      <c r="C521" s="166"/>
      <c r="D521" s="166"/>
      <c r="E521" s="155"/>
      <c r="F521" s="155"/>
      <c r="G521" s="155"/>
      <c r="H521" s="155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6"/>
      <c r="AG521" s="166"/>
    </row>
    <row r="522" spans="1:33" ht="15.750000" customHeight="1">
      <c r="A522" s="166"/>
      <c r="B522" s="155"/>
      <c r="C522" s="166"/>
      <c r="D522" s="166"/>
      <c r="E522" s="155"/>
      <c r="F522" s="155"/>
      <c r="G522" s="155"/>
      <c r="H522" s="155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  <c r="AA522" s="166"/>
      <c r="AB522" s="166"/>
      <c r="AC522" s="166"/>
      <c r="AD522" s="166"/>
      <c r="AE522" s="166"/>
      <c r="AF522" s="166"/>
      <c r="AG522" s="166"/>
    </row>
    <row r="523" spans="1:33" ht="15.750000" customHeight="1">
      <c r="A523" s="166"/>
      <c r="B523" s="155"/>
      <c r="C523" s="166"/>
      <c r="D523" s="166"/>
      <c r="E523" s="155"/>
      <c r="F523" s="155"/>
      <c r="G523" s="155"/>
      <c r="H523" s="155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  <c r="AA523" s="166"/>
      <c r="AB523" s="166"/>
      <c r="AC523" s="166"/>
      <c r="AD523" s="166"/>
      <c r="AE523" s="166"/>
      <c r="AF523" s="166"/>
      <c r="AG523" s="166"/>
    </row>
    <row r="524" spans="1:33" ht="15.750000" customHeight="1">
      <c r="A524" s="166"/>
      <c r="B524" s="155"/>
      <c r="C524" s="166"/>
      <c r="D524" s="166"/>
      <c r="E524" s="155"/>
      <c r="F524" s="155"/>
      <c r="G524" s="155"/>
      <c r="H524" s="155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  <c r="AA524" s="166"/>
      <c r="AB524" s="166"/>
      <c r="AC524" s="166"/>
      <c r="AD524" s="166"/>
      <c r="AE524" s="166"/>
      <c r="AF524" s="166"/>
      <c r="AG524" s="166"/>
    </row>
    <row r="525" spans="1:33" ht="15.750000" customHeight="1">
      <c r="A525" s="166"/>
      <c r="B525" s="155"/>
      <c r="C525" s="166"/>
      <c r="D525" s="166"/>
      <c r="E525" s="155"/>
      <c r="F525" s="155"/>
      <c r="G525" s="155"/>
      <c r="H525" s="155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  <c r="AA525" s="166"/>
      <c r="AB525" s="166"/>
      <c r="AC525" s="166"/>
      <c r="AD525" s="166"/>
      <c r="AE525" s="166"/>
      <c r="AF525" s="166"/>
      <c r="AG525" s="166"/>
    </row>
    <row r="526" spans="1:33" ht="15.750000" customHeight="1">
      <c r="A526" s="166"/>
      <c r="B526" s="155"/>
      <c r="C526" s="166"/>
      <c r="D526" s="166"/>
      <c r="E526" s="155"/>
      <c r="F526" s="155"/>
      <c r="G526" s="155"/>
      <c r="H526" s="155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  <c r="AA526" s="166"/>
      <c r="AB526" s="166"/>
      <c r="AC526" s="166"/>
      <c r="AD526" s="166"/>
      <c r="AE526" s="166"/>
      <c r="AF526" s="166"/>
      <c r="AG526" s="166"/>
    </row>
    <row r="527" spans="1:33" ht="15.750000" customHeight="1">
      <c r="A527" s="166"/>
      <c r="B527" s="155"/>
      <c r="C527" s="166"/>
      <c r="D527" s="166"/>
      <c r="E527" s="155"/>
      <c r="F527" s="155"/>
      <c r="G527" s="155"/>
      <c r="H527" s="155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  <c r="AA527" s="166"/>
      <c r="AB527" s="166"/>
      <c r="AC527" s="166"/>
      <c r="AD527" s="166"/>
      <c r="AE527" s="166"/>
      <c r="AF527" s="166"/>
      <c r="AG527" s="166"/>
    </row>
    <row r="528" spans="1:33" ht="15.750000" customHeight="1">
      <c r="A528" s="166"/>
      <c r="B528" s="155"/>
      <c r="C528" s="166"/>
      <c r="D528" s="166"/>
      <c r="E528" s="155"/>
      <c r="F528" s="155"/>
      <c r="G528" s="155"/>
      <c r="H528" s="155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  <c r="AA528" s="166"/>
      <c r="AB528" s="166"/>
      <c r="AC528" s="166"/>
      <c r="AD528" s="166"/>
      <c r="AE528" s="166"/>
      <c r="AF528" s="166"/>
      <c r="AG528" s="166"/>
    </row>
    <row r="529" spans="1:33" ht="15.750000" customHeight="1">
      <c r="A529" s="166"/>
      <c r="B529" s="155"/>
      <c r="C529" s="166"/>
      <c r="D529" s="166"/>
      <c r="E529" s="155"/>
      <c r="F529" s="155"/>
      <c r="G529" s="155"/>
      <c r="H529" s="155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  <c r="AA529" s="166"/>
      <c r="AB529" s="166"/>
      <c r="AC529" s="166"/>
      <c r="AD529" s="166"/>
      <c r="AE529" s="166"/>
      <c r="AF529" s="166"/>
      <c r="AG529" s="166"/>
    </row>
    <row r="530" spans="1:33" ht="15.750000" customHeight="1">
      <c r="A530" s="166"/>
      <c r="B530" s="155"/>
      <c r="C530" s="166"/>
      <c r="D530" s="166"/>
      <c r="E530" s="155"/>
      <c r="F530" s="155"/>
      <c r="G530" s="155"/>
      <c r="H530" s="155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  <c r="AA530" s="166"/>
      <c r="AB530" s="166"/>
      <c r="AC530" s="166"/>
      <c r="AD530" s="166"/>
      <c r="AE530" s="166"/>
      <c r="AF530" s="166"/>
      <c r="AG530" s="166"/>
    </row>
    <row r="531" spans="1:33" ht="15.750000" customHeight="1">
      <c r="A531" s="166"/>
      <c r="B531" s="155"/>
      <c r="C531" s="166"/>
      <c r="D531" s="166"/>
      <c r="E531" s="155"/>
      <c r="F531" s="155"/>
      <c r="G531" s="155"/>
      <c r="H531" s="155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  <c r="AA531" s="166"/>
      <c r="AB531" s="166"/>
      <c r="AC531" s="166"/>
      <c r="AD531" s="166"/>
      <c r="AE531" s="166"/>
      <c r="AF531" s="166"/>
      <c r="AG531" s="166"/>
    </row>
    <row r="532" spans="1:33" ht="15.750000" customHeight="1">
      <c r="A532" s="166"/>
      <c r="B532" s="155"/>
      <c r="C532" s="166"/>
      <c r="D532" s="166"/>
      <c r="E532" s="155"/>
      <c r="F532" s="155"/>
      <c r="G532" s="155"/>
      <c r="H532" s="155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  <c r="AA532" s="166"/>
      <c r="AB532" s="166"/>
      <c r="AC532" s="166"/>
      <c r="AD532" s="166"/>
      <c r="AE532" s="166"/>
      <c r="AF532" s="166"/>
      <c r="AG532" s="166"/>
    </row>
    <row r="533" spans="1:33" ht="15.750000" customHeight="1">
      <c r="A533" s="166"/>
      <c r="B533" s="155"/>
      <c r="C533" s="166"/>
      <c r="D533" s="166"/>
      <c r="E533" s="155"/>
      <c r="F533" s="155"/>
      <c r="G533" s="155"/>
      <c r="H533" s="155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6"/>
    </row>
    <row r="534" spans="1:33" ht="15.750000" customHeight="1">
      <c r="A534" s="166"/>
      <c r="B534" s="155"/>
      <c r="C534" s="166"/>
      <c r="D534" s="166"/>
      <c r="E534" s="155"/>
      <c r="F534" s="155"/>
      <c r="G534" s="155"/>
      <c r="H534" s="155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  <c r="AA534" s="166"/>
      <c r="AB534" s="166"/>
      <c r="AC534" s="166"/>
      <c r="AD534" s="166"/>
      <c r="AE534" s="166"/>
      <c r="AF534" s="166"/>
      <c r="AG534" s="166"/>
    </row>
    <row r="535" spans="1:33" ht="15.750000" customHeight="1">
      <c r="A535" s="166"/>
      <c r="B535" s="155"/>
      <c r="C535" s="166"/>
      <c r="D535" s="166"/>
      <c r="E535" s="155"/>
      <c r="F535" s="155"/>
      <c r="G535" s="155"/>
      <c r="H535" s="155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  <c r="AA535" s="166"/>
      <c r="AB535" s="166"/>
      <c r="AC535" s="166"/>
      <c r="AD535" s="166"/>
      <c r="AE535" s="166"/>
      <c r="AF535" s="166"/>
      <c r="AG535" s="166"/>
    </row>
    <row r="536" spans="1:33" ht="15.750000" customHeight="1">
      <c r="A536" s="166"/>
      <c r="B536" s="155"/>
      <c r="C536" s="166"/>
      <c r="D536" s="166"/>
      <c r="E536" s="155"/>
      <c r="F536" s="155"/>
      <c r="G536" s="155"/>
      <c r="H536" s="155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  <c r="AA536" s="166"/>
      <c r="AB536" s="166"/>
      <c r="AC536" s="166"/>
      <c r="AD536" s="166"/>
      <c r="AE536" s="166"/>
      <c r="AF536" s="166"/>
      <c r="AG536" s="166"/>
    </row>
    <row r="537" spans="1:33" ht="15.750000" customHeight="1">
      <c r="A537" s="166"/>
      <c r="B537" s="155"/>
      <c r="C537" s="166"/>
      <c r="D537" s="166"/>
      <c r="E537" s="155"/>
      <c r="F537" s="155"/>
      <c r="G537" s="155"/>
      <c r="H537" s="155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  <c r="AA537" s="166"/>
      <c r="AB537" s="166"/>
      <c r="AC537" s="166"/>
      <c r="AD537" s="166"/>
      <c r="AE537" s="166"/>
      <c r="AF537" s="166"/>
      <c r="AG537" s="166"/>
    </row>
    <row r="538" spans="1:33" ht="15.750000" customHeight="1">
      <c r="A538" s="166"/>
      <c r="B538" s="155"/>
      <c r="C538" s="166"/>
      <c r="D538" s="166"/>
      <c r="E538" s="155"/>
      <c r="F538" s="155"/>
      <c r="G538" s="155"/>
      <c r="H538" s="155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  <c r="AA538" s="166"/>
      <c r="AB538" s="166"/>
      <c r="AC538" s="166"/>
      <c r="AD538" s="166"/>
      <c r="AE538" s="166"/>
      <c r="AF538" s="166"/>
      <c r="AG538" s="166"/>
    </row>
    <row r="539" spans="1:33" ht="15.750000" customHeight="1">
      <c r="A539" s="166"/>
      <c r="B539" s="155"/>
      <c r="C539" s="166"/>
      <c r="D539" s="166"/>
      <c r="E539" s="155"/>
      <c r="F539" s="155"/>
      <c r="G539" s="155"/>
      <c r="H539" s="155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  <c r="AA539" s="166"/>
      <c r="AB539" s="166"/>
      <c r="AC539" s="166"/>
      <c r="AD539" s="166"/>
      <c r="AE539" s="166"/>
      <c r="AF539" s="166"/>
      <c r="AG539" s="166"/>
    </row>
    <row r="540" spans="1:33" ht="15.750000" customHeight="1">
      <c r="A540" s="166"/>
      <c r="B540" s="155"/>
      <c r="C540" s="166"/>
      <c r="D540" s="166"/>
      <c r="E540" s="155"/>
      <c r="F540" s="155"/>
      <c r="G540" s="155"/>
      <c r="H540" s="155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  <c r="AA540" s="166"/>
      <c r="AB540" s="166"/>
      <c r="AC540" s="166"/>
      <c r="AD540" s="166"/>
      <c r="AE540" s="166"/>
      <c r="AF540" s="166"/>
      <c r="AG540" s="166"/>
    </row>
    <row r="541" spans="1:33" ht="15.750000" customHeight="1">
      <c r="A541" s="166"/>
      <c r="B541" s="155"/>
      <c r="C541" s="166"/>
      <c r="D541" s="166"/>
      <c r="E541" s="155"/>
      <c r="F541" s="155"/>
      <c r="G541" s="155"/>
      <c r="H541" s="155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  <c r="AA541" s="166"/>
      <c r="AB541" s="166"/>
      <c r="AC541" s="166"/>
      <c r="AD541" s="166"/>
      <c r="AE541" s="166"/>
      <c r="AF541" s="166"/>
      <c r="AG541" s="166"/>
    </row>
    <row r="542" spans="1:33" ht="15.750000" customHeight="1">
      <c r="A542" s="166"/>
      <c r="B542" s="155"/>
      <c r="C542" s="166"/>
      <c r="D542" s="166"/>
      <c r="E542" s="155"/>
      <c r="F542" s="155"/>
      <c r="G542" s="155"/>
      <c r="H542" s="155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  <c r="AA542" s="166"/>
      <c r="AB542" s="166"/>
      <c r="AC542" s="166"/>
      <c r="AD542" s="166"/>
      <c r="AE542" s="166"/>
      <c r="AF542" s="166"/>
      <c r="AG542" s="166"/>
    </row>
    <row r="543" spans="1:33" ht="15.750000" customHeight="1">
      <c r="A543" s="166"/>
      <c r="B543" s="155"/>
      <c r="C543" s="166"/>
      <c r="D543" s="166"/>
      <c r="E543" s="155"/>
      <c r="F543" s="155"/>
      <c r="G543" s="155"/>
      <c r="H543" s="155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  <c r="AA543" s="166"/>
      <c r="AB543" s="166"/>
      <c r="AC543" s="166"/>
      <c r="AD543" s="166"/>
      <c r="AE543" s="166"/>
      <c r="AF543" s="166"/>
      <c r="AG543" s="166"/>
    </row>
    <row r="544" spans="1:33" ht="15.750000" customHeight="1">
      <c r="A544" s="166"/>
      <c r="B544" s="155"/>
      <c r="C544" s="166"/>
      <c r="D544" s="166"/>
      <c r="E544" s="155"/>
      <c r="F544" s="155"/>
      <c r="G544" s="155"/>
      <c r="H544" s="155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  <c r="AA544" s="166"/>
      <c r="AB544" s="166"/>
      <c r="AC544" s="166"/>
      <c r="AD544" s="166"/>
      <c r="AE544" s="166"/>
      <c r="AF544" s="166"/>
      <c r="AG544" s="166"/>
    </row>
    <row r="545" spans="1:33" ht="15.750000" customHeight="1">
      <c r="A545" s="166"/>
      <c r="B545" s="155"/>
      <c r="C545" s="166"/>
      <c r="D545" s="166"/>
      <c r="E545" s="155"/>
      <c r="F545" s="155"/>
      <c r="G545" s="155"/>
      <c r="H545" s="155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  <c r="AA545" s="166"/>
      <c r="AB545" s="166"/>
      <c r="AC545" s="166"/>
      <c r="AD545" s="166"/>
      <c r="AE545" s="166"/>
      <c r="AF545" s="166"/>
      <c r="AG545" s="166"/>
    </row>
    <row r="546" spans="1:33" ht="15.750000" customHeight="1">
      <c r="A546" s="166"/>
      <c r="B546" s="155"/>
      <c r="C546" s="166"/>
      <c r="D546" s="166"/>
      <c r="E546" s="155"/>
      <c r="F546" s="155"/>
      <c r="G546" s="155"/>
      <c r="H546" s="155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  <c r="AA546" s="166"/>
      <c r="AB546" s="166"/>
      <c r="AC546" s="166"/>
      <c r="AD546" s="166"/>
      <c r="AE546" s="166"/>
      <c r="AF546" s="166"/>
      <c r="AG546" s="166"/>
    </row>
    <row r="547" spans="1:33" ht="15.750000" customHeight="1">
      <c r="A547" s="166"/>
      <c r="B547" s="155"/>
      <c r="C547" s="166"/>
      <c r="D547" s="166"/>
      <c r="E547" s="155"/>
      <c r="F547" s="155"/>
      <c r="G547" s="155"/>
      <c r="H547" s="155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  <c r="AA547" s="166"/>
      <c r="AB547" s="166"/>
      <c r="AC547" s="166"/>
      <c r="AD547" s="166"/>
      <c r="AE547" s="166"/>
      <c r="AF547" s="166"/>
      <c r="AG547" s="166"/>
    </row>
    <row r="548" spans="1:33" ht="15.750000" customHeight="1">
      <c r="A548" s="166"/>
      <c r="B548" s="155"/>
      <c r="C548" s="166"/>
      <c r="D548" s="166"/>
      <c r="E548" s="155"/>
      <c r="F548" s="155"/>
      <c r="G548" s="155"/>
      <c r="H548" s="155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  <c r="AA548" s="166"/>
      <c r="AB548" s="166"/>
      <c r="AC548" s="166"/>
      <c r="AD548" s="166"/>
      <c r="AE548" s="166"/>
      <c r="AF548" s="166"/>
      <c r="AG548" s="166"/>
    </row>
    <row r="549" spans="1:33" ht="15.750000" customHeight="1">
      <c r="A549" s="166"/>
      <c r="B549" s="155"/>
      <c r="C549" s="166"/>
      <c r="D549" s="166"/>
      <c r="E549" s="155"/>
      <c r="F549" s="155"/>
      <c r="G549" s="155"/>
      <c r="H549" s="155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  <c r="AA549" s="166"/>
      <c r="AB549" s="166"/>
      <c r="AC549" s="166"/>
      <c r="AD549" s="166"/>
      <c r="AE549" s="166"/>
      <c r="AF549" s="166"/>
      <c r="AG549" s="166"/>
    </row>
    <row r="550" spans="1:33" ht="15.750000" customHeight="1">
      <c r="A550" s="166"/>
      <c r="B550" s="155"/>
      <c r="C550" s="166"/>
      <c r="D550" s="166"/>
      <c r="E550" s="155"/>
      <c r="F550" s="155"/>
      <c r="G550" s="155"/>
      <c r="H550" s="155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  <c r="AA550" s="166"/>
      <c r="AB550" s="166"/>
      <c r="AC550" s="166"/>
      <c r="AD550" s="166"/>
      <c r="AE550" s="166"/>
      <c r="AF550" s="166"/>
      <c r="AG550" s="166"/>
    </row>
    <row r="551" spans="1:33" ht="15.750000" customHeight="1">
      <c r="A551" s="166"/>
      <c r="B551" s="155"/>
      <c r="C551" s="166"/>
      <c r="D551" s="166"/>
      <c r="E551" s="155"/>
      <c r="F551" s="155"/>
      <c r="G551" s="155"/>
      <c r="H551" s="155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6"/>
    </row>
    <row r="552" spans="1:33" ht="15.750000" customHeight="1">
      <c r="A552" s="166"/>
      <c r="B552" s="155"/>
      <c r="C552" s="166"/>
      <c r="D552" s="166"/>
      <c r="E552" s="155"/>
      <c r="F552" s="155"/>
      <c r="G552" s="155"/>
      <c r="H552" s="155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  <c r="AA552" s="166"/>
      <c r="AB552" s="166"/>
      <c r="AC552" s="166"/>
      <c r="AD552" s="166"/>
      <c r="AE552" s="166"/>
      <c r="AF552" s="166"/>
      <c r="AG552" s="166"/>
    </row>
    <row r="553" spans="1:33" ht="15.750000" customHeight="1">
      <c r="A553" s="166"/>
      <c r="B553" s="155"/>
      <c r="C553" s="166"/>
      <c r="D553" s="166"/>
      <c r="E553" s="155"/>
      <c r="F553" s="155"/>
      <c r="G553" s="155"/>
      <c r="H553" s="155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  <c r="AA553" s="166"/>
      <c r="AB553" s="166"/>
      <c r="AC553" s="166"/>
      <c r="AD553" s="166"/>
      <c r="AE553" s="166"/>
      <c r="AF553" s="166"/>
      <c r="AG553" s="166"/>
    </row>
    <row r="554" spans="1:33" ht="15.750000" customHeight="1">
      <c r="A554" s="166"/>
      <c r="B554" s="155"/>
      <c r="C554" s="166"/>
      <c r="D554" s="166"/>
      <c r="E554" s="155"/>
      <c r="F554" s="155"/>
      <c r="G554" s="155"/>
      <c r="H554" s="155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  <c r="AA554" s="166"/>
      <c r="AB554" s="166"/>
      <c r="AC554" s="166"/>
      <c r="AD554" s="166"/>
      <c r="AE554" s="166"/>
      <c r="AF554" s="166"/>
      <c r="AG554" s="166"/>
    </row>
    <row r="555" spans="1:33" ht="15.750000" customHeight="1">
      <c r="A555" s="166"/>
      <c r="B555" s="155"/>
      <c r="C555" s="166"/>
      <c r="D555" s="166"/>
      <c r="E555" s="155"/>
      <c r="F555" s="155"/>
      <c r="G555" s="155"/>
      <c r="H555" s="155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  <c r="AA555" s="166"/>
      <c r="AB555" s="166"/>
      <c r="AC555" s="166"/>
      <c r="AD555" s="166"/>
      <c r="AE555" s="166"/>
      <c r="AF555" s="166"/>
      <c r="AG555" s="166"/>
    </row>
    <row r="556" spans="1:33" ht="15.750000" customHeight="1">
      <c r="A556" s="166"/>
      <c r="B556" s="155"/>
      <c r="C556" s="166"/>
      <c r="D556" s="166"/>
      <c r="E556" s="155"/>
      <c r="F556" s="155"/>
      <c r="G556" s="155"/>
      <c r="H556" s="155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  <c r="AA556" s="166"/>
      <c r="AB556" s="166"/>
      <c r="AC556" s="166"/>
      <c r="AD556" s="166"/>
      <c r="AE556" s="166"/>
      <c r="AF556" s="166"/>
      <c r="AG556" s="166"/>
    </row>
    <row r="557" spans="1:33" ht="15.750000" customHeight="1">
      <c r="A557" s="166"/>
      <c r="B557" s="155"/>
      <c r="C557" s="166"/>
      <c r="D557" s="166"/>
      <c r="E557" s="155"/>
      <c r="F557" s="155"/>
      <c r="G557" s="155"/>
      <c r="H557" s="155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  <c r="AA557" s="166"/>
      <c r="AB557" s="166"/>
      <c r="AC557" s="166"/>
      <c r="AD557" s="166"/>
      <c r="AE557" s="166"/>
      <c r="AF557" s="166"/>
      <c r="AG557" s="166"/>
    </row>
    <row r="558" spans="1:33" ht="15.750000" customHeight="1">
      <c r="A558" s="166"/>
      <c r="B558" s="155"/>
      <c r="C558" s="166"/>
      <c r="D558" s="166"/>
      <c r="E558" s="155"/>
      <c r="F558" s="155"/>
      <c r="G558" s="155"/>
      <c r="H558" s="155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  <c r="AA558" s="166"/>
      <c r="AB558" s="166"/>
      <c r="AC558" s="166"/>
      <c r="AD558" s="166"/>
      <c r="AE558" s="166"/>
      <c r="AF558" s="166"/>
      <c r="AG558" s="166"/>
    </row>
    <row r="559" spans="1:33" ht="15.750000" customHeight="1">
      <c r="A559" s="166"/>
      <c r="B559" s="155"/>
      <c r="C559" s="166"/>
      <c r="D559" s="166"/>
      <c r="E559" s="155"/>
      <c r="F559" s="155"/>
      <c r="G559" s="155"/>
      <c r="H559" s="155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  <c r="AA559" s="166"/>
      <c r="AB559" s="166"/>
      <c r="AC559" s="166"/>
      <c r="AD559" s="166"/>
      <c r="AE559" s="166"/>
      <c r="AF559" s="166"/>
      <c r="AG559" s="166"/>
    </row>
    <row r="560" spans="1:33" ht="15.750000" customHeight="1">
      <c r="A560" s="166"/>
      <c r="B560" s="155"/>
      <c r="C560" s="166"/>
      <c r="D560" s="166"/>
      <c r="E560" s="155"/>
      <c r="F560" s="155"/>
      <c r="G560" s="155"/>
      <c r="H560" s="155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  <c r="AA560" s="166"/>
      <c r="AB560" s="166"/>
      <c r="AC560" s="166"/>
      <c r="AD560" s="166"/>
      <c r="AE560" s="166"/>
      <c r="AF560" s="166"/>
      <c r="AG560" s="166"/>
    </row>
    <row r="561" spans="1:33" ht="15.750000" customHeight="1">
      <c r="A561" s="166"/>
      <c r="B561" s="155"/>
      <c r="C561" s="166"/>
      <c r="D561" s="166"/>
      <c r="E561" s="155"/>
      <c r="F561" s="155"/>
      <c r="G561" s="155"/>
      <c r="H561" s="155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  <c r="AA561" s="166"/>
      <c r="AB561" s="166"/>
      <c r="AC561" s="166"/>
      <c r="AD561" s="166"/>
      <c r="AE561" s="166"/>
      <c r="AF561" s="166"/>
      <c r="AG561" s="166"/>
    </row>
    <row r="562" spans="1:33" ht="15.750000" customHeight="1">
      <c r="A562" s="166"/>
      <c r="B562" s="155"/>
      <c r="C562" s="166"/>
      <c r="D562" s="166"/>
      <c r="E562" s="155"/>
      <c r="F562" s="155"/>
      <c r="G562" s="155"/>
      <c r="H562" s="155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  <c r="AA562" s="166"/>
      <c r="AB562" s="166"/>
      <c r="AC562" s="166"/>
      <c r="AD562" s="166"/>
      <c r="AE562" s="166"/>
      <c r="AF562" s="166"/>
      <c r="AG562" s="166"/>
    </row>
    <row r="563" spans="1:33" ht="15.750000" customHeight="1">
      <c r="A563" s="166"/>
      <c r="B563" s="155"/>
      <c r="C563" s="166"/>
      <c r="D563" s="166"/>
      <c r="E563" s="155"/>
      <c r="F563" s="155"/>
      <c r="G563" s="155"/>
      <c r="H563" s="155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  <c r="AA563" s="166"/>
      <c r="AB563" s="166"/>
      <c r="AC563" s="166"/>
      <c r="AD563" s="166"/>
      <c r="AE563" s="166"/>
      <c r="AF563" s="166"/>
      <c r="AG563" s="166"/>
    </row>
    <row r="564" spans="1:33" ht="15.750000" customHeight="1">
      <c r="A564" s="166"/>
      <c r="B564" s="155"/>
      <c r="C564" s="166"/>
      <c r="D564" s="166"/>
      <c r="E564" s="155"/>
      <c r="F564" s="155"/>
      <c r="G564" s="155"/>
      <c r="H564" s="155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  <c r="AA564" s="166"/>
      <c r="AB564" s="166"/>
      <c r="AC564" s="166"/>
      <c r="AD564" s="166"/>
      <c r="AE564" s="166"/>
      <c r="AF564" s="166"/>
      <c r="AG564" s="166"/>
    </row>
    <row r="565" spans="1:33" ht="15.750000" customHeight="1">
      <c r="A565" s="166"/>
      <c r="B565" s="155"/>
      <c r="C565" s="166"/>
      <c r="D565" s="166"/>
      <c r="E565" s="155"/>
      <c r="F565" s="155"/>
      <c r="G565" s="155"/>
      <c r="H565" s="155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  <c r="AA565" s="166"/>
      <c r="AB565" s="166"/>
      <c r="AC565" s="166"/>
      <c r="AD565" s="166"/>
      <c r="AE565" s="166"/>
      <c r="AF565" s="166"/>
      <c r="AG565" s="166"/>
    </row>
    <row r="566" spans="1:33" ht="15.750000" customHeight="1">
      <c r="A566" s="166"/>
      <c r="B566" s="155"/>
      <c r="C566" s="166"/>
      <c r="D566" s="166"/>
      <c r="E566" s="155"/>
      <c r="F566" s="155"/>
      <c r="G566" s="155"/>
      <c r="H566" s="155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  <c r="AA566" s="166"/>
      <c r="AB566" s="166"/>
      <c r="AC566" s="166"/>
      <c r="AD566" s="166"/>
      <c r="AE566" s="166"/>
      <c r="AF566" s="166"/>
      <c r="AG566" s="166"/>
    </row>
    <row r="567" spans="1:33" ht="15.750000" customHeight="1">
      <c r="A567" s="166"/>
      <c r="B567" s="155"/>
      <c r="C567" s="166"/>
      <c r="D567" s="166"/>
      <c r="E567" s="155"/>
      <c r="F567" s="155"/>
      <c r="G567" s="155"/>
      <c r="H567" s="155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  <c r="AA567" s="166"/>
      <c r="AB567" s="166"/>
      <c r="AC567" s="166"/>
      <c r="AD567" s="166"/>
      <c r="AE567" s="166"/>
      <c r="AF567" s="166"/>
      <c r="AG567" s="166"/>
    </row>
    <row r="568" spans="1:33" ht="15.750000" customHeight="1">
      <c r="A568" s="166"/>
      <c r="B568" s="155"/>
      <c r="C568" s="166"/>
      <c r="D568" s="166"/>
      <c r="E568" s="155"/>
      <c r="F568" s="155"/>
      <c r="G568" s="155"/>
      <c r="H568" s="155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  <c r="AA568" s="166"/>
      <c r="AB568" s="166"/>
      <c r="AC568" s="166"/>
      <c r="AD568" s="166"/>
      <c r="AE568" s="166"/>
      <c r="AF568" s="166"/>
      <c r="AG568" s="166"/>
    </row>
    <row r="569" spans="1:33" ht="15.750000" customHeight="1">
      <c r="A569" s="166"/>
      <c r="B569" s="155"/>
      <c r="C569" s="166"/>
      <c r="D569" s="166"/>
      <c r="E569" s="155"/>
      <c r="F569" s="155"/>
      <c r="G569" s="155"/>
      <c r="H569" s="155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  <c r="AA569" s="166"/>
      <c r="AB569" s="166"/>
      <c r="AC569" s="166"/>
      <c r="AD569" s="166"/>
      <c r="AE569" s="166"/>
      <c r="AF569" s="166"/>
      <c r="AG569" s="166"/>
    </row>
    <row r="570" spans="1:33" ht="15.750000" customHeight="1">
      <c r="A570" s="166"/>
      <c r="B570" s="155"/>
      <c r="C570" s="166"/>
      <c r="D570" s="166"/>
      <c r="E570" s="155"/>
      <c r="F570" s="155"/>
      <c r="G570" s="155"/>
      <c r="H570" s="155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  <c r="AA570" s="166"/>
      <c r="AB570" s="166"/>
      <c r="AC570" s="166"/>
      <c r="AD570" s="166"/>
      <c r="AE570" s="166"/>
      <c r="AF570" s="166"/>
      <c r="AG570" s="166"/>
    </row>
    <row r="571" spans="1:33" ht="15.750000" customHeight="1">
      <c r="A571" s="166"/>
      <c r="B571" s="155"/>
      <c r="C571" s="166"/>
      <c r="D571" s="166"/>
      <c r="E571" s="155"/>
      <c r="F571" s="155"/>
      <c r="G571" s="155"/>
      <c r="H571" s="155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  <c r="AA571" s="166"/>
      <c r="AB571" s="166"/>
      <c r="AC571" s="166"/>
      <c r="AD571" s="166"/>
      <c r="AE571" s="166"/>
      <c r="AF571" s="166"/>
      <c r="AG571" s="166"/>
    </row>
    <row r="572" spans="1:33" ht="15.750000" customHeight="1">
      <c r="A572" s="166"/>
      <c r="B572" s="155"/>
      <c r="C572" s="166"/>
      <c r="D572" s="166"/>
      <c r="E572" s="155"/>
      <c r="F572" s="155"/>
      <c r="G572" s="155"/>
      <c r="H572" s="155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  <c r="AA572" s="166"/>
      <c r="AB572" s="166"/>
      <c r="AC572" s="166"/>
      <c r="AD572" s="166"/>
      <c r="AE572" s="166"/>
      <c r="AF572" s="166"/>
      <c r="AG572" s="166"/>
    </row>
    <row r="573" spans="1:33" ht="15.750000" customHeight="1">
      <c r="A573" s="166"/>
      <c r="B573" s="155"/>
      <c r="C573" s="166"/>
      <c r="D573" s="166"/>
      <c r="E573" s="155"/>
      <c r="F573" s="155"/>
      <c r="G573" s="155"/>
      <c r="H573" s="155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  <c r="AA573" s="166"/>
      <c r="AB573" s="166"/>
      <c r="AC573" s="166"/>
      <c r="AD573" s="166"/>
      <c r="AE573" s="166"/>
      <c r="AF573" s="166"/>
      <c r="AG573" s="166"/>
    </row>
    <row r="574" spans="1:33" ht="15.750000" customHeight="1">
      <c r="A574" s="166"/>
      <c r="B574" s="155"/>
      <c r="C574" s="166"/>
      <c r="D574" s="166"/>
      <c r="E574" s="155"/>
      <c r="F574" s="155"/>
      <c r="G574" s="155"/>
      <c r="H574" s="155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  <c r="AA574" s="166"/>
      <c r="AB574" s="166"/>
      <c r="AC574" s="166"/>
      <c r="AD574" s="166"/>
      <c r="AE574" s="166"/>
      <c r="AF574" s="166"/>
      <c r="AG574" s="166"/>
    </row>
    <row r="575" spans="1:33" ht="15.750000" customHeight="1">
      <c r="A575" s="166"/>
      <c r="B575" s="155"/>
      <c r="C575" s="166"/>
      <c r="D575" s="166"/>
      <c r="E575" s="155"/>
      <c r="F575" s="155"/>
      <c r="G575" s="155"/>
      <c r="H575" s="155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  <c r="AA575" s="166"/>
      <c r="AB575" s="166"/>
      <c r="AC575" s="166"/>
      <c r="AD575" s="166"/>
      <c r="AE575" s="166"/>
      <c r="AF575" s="166"/>
      <c r="AG575" s="166"/>
    </row>
    <row r="576" spans="1:33" ht="15.750000" customHeight="1">
      <c r="A576" s="166"/>
      <c r="B576" s="155"/>
      <c r="C576" s="166"/>
      <c r="D576" s="166"/>
      <c r="E576" s="155"/>
      <c r="F576" s="155"/>
      <c r="G576" s="155"/>
      <c r="H576" s="155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  <c r="AA576" s="166"/>
      <c r="AB576" s="166"/>
      <c r="AC576" s="166"/>
      <c r="AD576" s="166"/>
      <c r="AE576" s="166"/>
      <c r="AF576" s="166"/>
      <c r="AG576" s="166"/>
    </row>
    <row r="577" spans="1:33" ht="15.750000" customHeight="1">
      <c r="A577" s="166"/>
      <c r="B577" s="155"/>
      <c r="C577" s="166"/>
      <c r="D577" s="166"/>
      <c r="E577" s="155"/>
      <c r="F577" s="155"/>
      <c r="G577" s="155"/>
      <c r="H577" s="155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  <c r="AA577" s="166"/>
      <c r="AB577" s="166"/>
      <c r="AC577" s="166"/>
      <c r="AD577" s="166"/>
      <c r="AE577" s="166"/>
      <c r="AF577" s="166"/>
      <c r="AG577" s="166"/>
    </row>
    <row r="578" spans="1:33" ht="15.750000" customHeight="1">
      <c r="A578" s="166"/>
      <c r="B578" s="155"/>
      <c r="C578" s="166"/>
      <c r="D578" s="166"/>
      <c r="E578" s="155"/>
      <c r="F578" s="155"/>
      <c r="G578" s="155"/>
      <c r="H578" s="155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  <c r="AA578" s="166"/>
      <c r="AB578" s="166"/>
      <c r="AC578" s="166"/>
      <c r="AD578" s="166"/>
      <c r="AE578" s="166"/>
      <c r="AF578" s="166"/>
      <c r="AG578" s="166"/>
    </row>
    <row r="579" spans="1:33" ht="15.750000" customHeight="1">
      <c r="A579" s="166"/>
      <c r="B579" s="155"/>
      <c r="C579" s="166"/>
      <c r="D579" s="166"/>
      <c r="E579" s="155"/>
      <c r="F579" s="155"/>
      <c r="G579" s="155"/>
      <c r="H579" s="155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  <c r="AA579" s="166"/>
      <c r="AB579" s="166"/>
      <c r="AC579" s="166"/>
      <c r="AD579" s="166"/>
      <c r="AE579" s="166"/>
      <c r="AF579" s="166"/>
      <c r="AG579" s="166"/>
    </row>
    <row r="580" spans="1:33" ht="15.750000" customHeight="1">
      <c r="A580" s="166"/>
      <c r="B580" s="155"/>
      <c r="C580" s="166"/>
      <c r="D580" s="166"/>
      <c r="E580" s="155"/>
      <c r="F580" s="155"/>
      <c r="G580" s="155"/>
      <c r="H580" s="155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  <c r="AA580" s="166"/>
      <c r="AB580" s="166"/>
      <c r="AC580" s="166"/>
      <c r="AD580" s="166"/>
      <c r="AE580" s="166"/>
      <c r="AF580" s="166"/>
      <c r="AG580" s="166"/>
    </row>
    <row r="581" spans="1:33" ht="15.750000" customHeight="1">
      <c r="A581" s="166"/>
      <c r="B581" s="155"/>
      <c r="C581" s="166"/>
      <c r="D581" s="166"/>
      <c r="E581" s="155"/>
      <c r="F581" s="155"/>
      <c r="G581" s="155"/>
      <c r="H581" s="155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  <c r="AA581" s="166"/>
      <c r="AB581" s="166"/>
      <c r="AC581" s="166"/>
      <c r="AD581" s="166"/>
      <c r="AE581" s="166"/>
      <c r="AF581" s="166"/>
      <c r="AG581" s="166"/>
    </row>
    <row r="582" spans="1:33" ht="15.750000" customHeight="1">
      <c r="A582" s="166"/>
      <c r="B582" s="155"/>
      <c r="C582" s="166"/>
      <c r="D582" s="166"/>
      <c r="E582" s="155"/>
      <c r="F582" s="155"/>
      <c r="G582" s="155"/>
      <c r="H582" s="155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  <c r="AA582" s="166"/>
      <c r="AB582" s="166"/>
      <c r="AC582" s="166"/>
      <c r="AD582" s="166"/>
      <c r="AE582" s="166"/>
      <c r="AF582" s="166"/>
      <c r="AG582" s="166"/>
    </row>
    <row r="583" spans="1:33" ht="15.750000" customHeight="1">
      <c r="A583" s="166"/>
      <c r="B583" s="155"/>
      <c r="C583" s="166"/>
      <c r="D583" s="166"/>
      <c r="E583" s="155"/>
      <c r="F583" s="155"/>
      <c r="G583" s="155"/>
      <c r="H583" s="155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  <c r="AA583" s="166"/>
      <c r="AB583" s="166"/>
      <c r="AC583" s="166"/>
      <c r="AD583" s="166"/>
      <c r="AE583" s="166"/>
      <c r="AF583" s="166"/>
      <c r="AG583" s="166"/>
    </row>
    <row r="584" spans="1:33" ht="15.750000" customHeight="1">
      <c r="A584" s="166"/>
      <c r="B584" s="155"/>
      <c r="C584" s="166"/>
      <c r="D584" s="166"/>
      <c r="E584" s="155"/>
      <c r="F584" s="155"/>
      <c r="G584" s="155"/>
      <c r="H584" s="155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  <c r="AA584" s="166"/>
      <c r="AB584" s="166"/>
      <c r="AC584" s="166"/>
      <c r="AD584" s="166"/>
      <c r="AE584" s="166"/>
      <c r="AF584" s="166"/>
      <c r="AG584" s="166"/>
    </row>
    <row r="585" spans="1:33" ht="15.750000" customHeight="1">
      <c r="A585" s="166"/>
      <c r="B585" s="155"/>
      <c r="C585" s="166"/>
      <c r="D585" s="166"/>
      <c r="E585" s="155"/>
      <c r="F585" s="155"/>
      <c r="G585" s="155"/>
      <c r="H585" s="155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  <c r="AA585" s="166"/>
      <c r="AB585" s="166"/>
      <c r="AC585" s="166"/>
      <c r="AD585" s="166"/>
      <c r="AE585" s="166"/>
      <c r="AF585" s="166"/>
      <c r="AG585" s="166"/>
    </row>
    <row r="586" spans="1:33" ht="15.750000" customHeight="1">
      <c r="A586" s="166"/>
      <c r="B586" s="155"/>
      <c r="C586" s="166"/>
      <c r="D586" s="166"/>
      <c r="E586" s="155"/>
      <c r="F586" s="155"/>
      <c r="G586" s="155"/>
      <c r="H586" s="155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  <c r="AA586" s="166"/>
      <c r="AB586" s="166"/>
      <c r="AC586" s="166"/>
      <c r="AD586" s="166"/>
      <c r="AE586" s="166"/>
      <c r="AF586" s="166"/>
      <c r="AG586" s="166"/>
    </row>
    <row r="587" spans="1:33" ht="15.750000" customHeight="1">
      <c r="A587" s="166"/>
      <c r="B587" s="155"/>
      <c r="C587" s="166"/>
      <c r="D587" s="166"/>
      <c r="E587" s="155"/>
      <c r="F587" s="155"/>
      <c r="G587" s="155"/>
      <c r="H587" s="155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  <c r="AA587" s="166"/>
      <c r="AB587" s="166"/>
      <c r="AC587" s="166"/>
      <c r="AD587" s="166"/>
      <c r="AE587" s="166"/>
      <c r="AF587" s="166"/>
      <c r="AG587" s="166"/>
    </row>
    <row r="588" spans="1:33" ht="15.750000" customHeight="1">
      <c r="A588" s="166"/>
      <c r="B588" s="155"/>
      <c r="C588" s="166"/>
      <c r="D588" s="166"/>
      <c r="E588" s="155"/>
      <c r="F588" s="155"/>
      <c r="G588" s="155"/>
      <c r="H588" s="155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  <c r="AA588" s="166"/>
      <c r="AB588" s="166"/>
      <c r="AC588" s="166"/>
      <c r="AD588" s="166"/>
      <c r="AE588" s="166"/>
      <c r="AF588" s="166"/>
      <c r="AG588" s="166"/>
    </row>
    <row r="589" spans="1:33" ht="15.750000" customHeight="1">
      <c r="A589" s="166"/>
      <c r="B589" s="155"/>
      <c r="C589" s="166"/>
      <c r="D589" s="166"/>
      <c r="E589" s="155"/>
      <c r="F589" s="155"/>
      <c r="G589" s="155"/>
      <c r="H589" s="155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  <c r="AA589" s="166"/>
      <c r="AB589" s="166"/>
      <c r="AC589" s="166"/>
      <c r="AD589" s="166"/>
      <c r="AE589" s="166"/>
      <c r="AF589" s="166"/>
      <c r="AG589" s="166"/>
    </row>
    <row r="590" spans="1:33" ht="15.750000" customHeight="1">
      <c r="A590" s="166"/>
      <c r="B590" s="155"/>
      <c r="C590" s="166"/>
      <c r="D590" s="166"/>
      <c r="E590" s="155"/>
      <c r="F590" s="155"/>
      <c r="G590" s="155"/>
      <c r="H590" s="155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  <c r="AA590" s="166"/>
      <c r="AB590" s="166"/>
      <c r="AC590" s="166"/>
      <c r="AD590" s="166"/>
      <c r="AE590" s="166"/>
      <c r="AF590" s="166"/>
      <c r="AG590" s="166"/>
    </row>
    <row r="591" spans="1:33" ht="15.750000" customHeight="1">
      <c r="A591" s="166"/>
      <c r="B591" s="155"/>
      <c r="C591" s="166"/>
      <c r="D591" s="166"/>
      <c r="E591" s="155"/>
      <c r="F591" s="155"/>
      <c r="G591" s="155"/>
      <c r="H591" s="155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  <c r="AA591" s="166"/>
      <c r="AB591" s="166"/>
      <c r="AC591" s="166"/>
      <c r="AD591" s="166"/>
      <c r="AE591" s="166"/>
      <c r="AF591" s="166"/>
      <c r="AG591" s="166"/>
    </row>
    <row r="592" spans="1:33" ht="15.750000" customHeight="1">
      <c r="A592" s="166"/>
      <c r="B592" s="155"/>
      <c r="C592" s="166"/>
      <c r="D592" s="166"/>
      <c r="E592" s="155"/>
      <c r="F592" s="155"/>
      <c r="G592" s="155"/>
      <c r="H592" s="155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  <c r="AA592" s="166"/>
      <c r="AB592" s="166"/>
      <c r="AC592" s="166"/>
      <c r="AD592" s="166"/>
      <c r="AE592" s="166"/>
      <c r="AF592" s="166"/>
      <c r="AG592" s="166"/>
    </row>
    <row r="593" spans="1:33" ht="15.750000" customHeight="1">
      <c r="A593" s="166"/>
      <c r="B593" s="155"/>
      <c r="C593" s="166"/>
      <c r="D593" s="166"/>
      <c r="E593" s="155"/>
      <c r="F593" s="155"/>
      <c r="G593" s="155"/>
      <c r="H593" s="155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  <c r="AA593" s="166"/>
      <c r="AB593" s="166"/>
      <c r="AC593" s="166"/>
      <c r="AD593" s="166"/>
      <c r="AE593" s="166"/>
      <c r="AF593" s="166"/>
      <c r="AG593" s="166"/>
    </row>
    <row r="594" spans="1:33" ht="15.750000" customHeight="1">
      <c r="A594" s="166"/>
      <c r="B594" s="155"/>
      <c r="C594" s="166"/>
      <c r="D594" s="166"/>
      <c r="E594" s="155"/>
      <c r="F594" s="155"/>
      <c r="G594" s="155"/>
      <c r="H594" s="155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  <c r="AA594" s="166"/>
      <c r="AB594" s="166"/>
      <c r="AC594" s="166"/>
      <c r="AD594" s="166"/>
      <c r="AE594" s="166"/>
      <c r="AF594" s="166"/>
      <c r="AG594" s="166"/>
    </row>
    <row r="595" spans="1:33" ht="15.750000" customHeight="1">
      <c r="A595" s="166"/>
      <c r="B595" s="155"/>
      <c r="C595" s="166"/>
      <c r="D595" s="166"/>
      <c r="E595" s="155"/>
      <c r="F595" s="155"/>
      <c r="G595" s="155"/>
      <c r="H595" s="155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  <c r="AA595" s="166"/>
      <c r="AB595" s="166"/>
      <c r="AC595" s="166"/>
      <c r="AD595" s="166"/>
      <c r="AE595" s="166"/>
      <c r="AF595" s="166"/>
      <c r="AG595" s="166"/>
    </row>
    <row r="596" spans="1:33" ht="15.750000" customHeight="1">
      <c r="A596" s="166"/>
      <c r="B596" s="155"/>
      <c r="C596" s="166"/>
      <c r="D596" s="166"/>
      <c r="E596" s="155"/>
      <c r="F596" s="155"/>
      <c r="G596" s="155"/>
      <c r="H596" s="155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  <c r="AA596" s="166"/>
      <c r="AB596" s="166"/>
      <c r="AC596" s="166"/>
      <c r="AD596" s="166"/>
      <c r="AE596" s="166"/>
      <c r="AF596" s="166"/>
      <c r="AG596" s="166"/>
    </row>
    <row r="597" spans="1:33" ht="15.750000" customHeight="1">
      <c r="A597" s="166"/>
      <c r="B597" s="155"/>
      <c r="C597" s="166"/>
      <c r="D597" s="166"/>
      <c r="E597" s="155"/>
      <c r="F597" s="155"/>
      <c r="G597" s="155"/>
      <c r="H597" s="155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  <c r="AA597" s="166"/>
      <c r="AB597" s="166"/>
      <c r="AC597" s="166"/>
      <c r="AD597" s="166"/>
      <c r="AE597" s="166"/>
      <c r="AF597" s="166"/>
      <c r="AG597" s="166"/>
    </row>
    <row r="598" spans="1:33" ht="15.750000" customHeight="1">
      <c r="A598" s="166"/>
      <c r="B598" s="155"/>
      <c r="C598" s="166"/>
      <c r="D598" s="166"/>
      <c r="E598" s="155"/>
      <c r="F598" s="155"/>
      <c r="G598" s="155"/>
      <c r="H598" s="155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  <c r="AA598" s="166"/>
      <c r="AB598" s="166"/>
      <c r="AC598" s="166"/>
      <c r="AD598" s="166"/>
      <c r="AE598" s="166"/>
      <c r="AF598" s="166"/>
      <c r="AG598" s="166"/>
    </row>
    <row r="599" spans="1:33" ht="15.750000" customHeight="1">
      <c r="A599" s="166"/>
      <c r="B599" s="155"/>
      <c r="C599" s="166"/>
      <c r="D599" s="166"/>
      <c r="E599" s="155"/>
      <c r="F599" s="155"/>
      <c r="G599" s="155"/>
      <c r="H599" s="155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  <c r="AA599" s="166"/>
      <c r="AB599" s="166"/>
      <c r="AC599" s="166"/>
      <c r="AD599" s="166"/>
      <c r="AE599" s="166"/>
      <c r="AF599" s="166"/>
      <c r="AG599" s="166"/>
    </row>
    <row r="600" spans="1:33" ht="15.750000" customHeight="1">
      <c r="A600" s="166"/>
      <c r="B600" s="155"/>
      <c r="C600" s="166"/>
      <c r="D600" s="166"/>
      <c r="E600" s="155"/>
      <c r="F600" s="155"/>
      <c r="G600" s="155"/>
      <c r="H600" s="155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  <c r="AA600" s="166"/>
      <c r="AB600" s="166"/>
      <c r="AC600" s="166"/>
      <c r="AD600" s="166"/>
      <c r="AE600" s="166"/>
      <c r="AF600" s="166"/>
      <c r="AG600" s="166"/>
    </row>
    <row r="601" spans="1:33" ht="15.750000" customHeight="1">
      <c r="A601" s="166"/>
      <c r="B601" s="155"/>
      <c r="C601" s="166"/>
      <c r="D601" s="166"/>
      <c r="E601" s="155"/>
      <c r="F601" s="155"/>
      <c r="G601" s="155"/>
      <c r="H601" s="155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  <c r="AA601" s="166"/>
      <c r="AB601" s="166"/>
      <c r="AC601" s="166"/>
      <c r="AD601" s="166"/>
      <c r="AE601" s="166"/>
      <c r="AF601" s="166"/>
      <c r="AG601" s="166"/>
    </row>
    <row r="602" spans="1:33" ht="15.750000" customHeight="1">
      <c r="A602" s="166"/>
      <c r="B602" s="155"/>
      <c r="C602" s="166"/>
      <c r="D602" s="166"/>
      <c r="E602" s="155"/>
      <c r="F602" s="155"/>
      <c r="G602" s="155"/>
      <c r="H602" s="155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  <c r="AA602" s="166"/>
      <c r="AB602" s="166"/>
      <c r="AC602" s="166"/>
      <c r="AD602" s="166"/>
      <c r="AE602" s="166"/>
      <c r="AF602" s="166"/>
      <c r="AG602" s="166"/>
    </row>
    <row r="603" spans="1:33" ht="15.750000" customHeight="1">
      <c r="A603" s="166"/>
      <c r="B603" s="155"/>
      <c r="C603" s="166"/>
      <c r="D603" s="166"/>
      <c r="E603" s="155"/>
      <c r="F603" s="155"/>
      <c r="G603" s="155"/>
      <c r="H603" s="155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  <c r="AA603" s="166"/>
      <c r="AB603" s="166"/>
      <c r="AC603" s="166"/>
      <c r="AD603" s="166"/>
      <c r="AE603" s="166"/>
      <c r="AF603" s="166"/>
      <c r="AG603" s="166"/>
    </row>
    <row r="604" spans="1:33" ht="15.750000" customHeight="1">
      <c r="A604" s="166"/>
      <c r="B604" s="155"/>
      <c r="C604" s="166"/>
      <c r="D604" s="166"/>
      <c r="E604" s="155"/>
      <c r="F604" s="155"/>
      <c r="G604" s="155"/>
      <c r="H604" s="155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6"/>
    </row>
    <row r="605" spans="1:33" ht="15.750000" customHeight="1">
      <c r="A605" s="166"/>
      <c r="B605" s="155"/>
      <c r="C605" s="166"/>
      <c r="D605" s="166"/>
      <c r="E605" s="155"/>
      <c r="F605" s="155"/>
      <c r="G605" s="155"/>
      <c r="H605" s="155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  <c r="AA605" s="166"/>
      <c r="AB605" s="166"/>
      <c r="AC605" s="166"/>
      <c r="AD605" s="166"/>
      <c r="AE605" s="166"/>
      <c r="AF605" s="166"/>
      <c r="AG605" s="166"/>
    </row>
    <row r="606" spans="1:33" ht="15.750000" customHeight="1">
      <c r="A606" s="166"/>
      <c r="B606" s="155"/>
      <c r="C606" s="166"/>
      <c r="D606" s="166"/>
      <c r="E606" s="155"/>
      <c r="F606" s="155"/>
      <c r="G606" s="155"/>
      <c r="H606" s="155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  <c r="AA606" s="166"/>
      <c r="AB606" s="166"/>
      <c r="AC606" s="166"/>
      <c r="AD606" s="166"/>
      <c r="AE606" s="166"/>
      <c r="AF606" s="166"/>
      <c r="AG606" s="166"/>
    </row>
    <row r="607" spans="1:33" ht="15.750000" customHeight="1">
      <c r="A607" s="166"/>
      <c r="B607" s="155"/>
      <c r="C607" s="166"/>
      <c r="D607" s="166"/>
      <c r="E607" s="155"/>
      <c r="F607" s="155"/>
      <c r="G607" s="155"/>
      <c r="H607" s="155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  <c r="AA607" s="166"/>
      <c r="AB607" s="166"/>
      <c r="AC607" s="166"/>
      <c r="AD607" s="166"/>
      <c r="AE607" s="166"/>
      <c r="AF607" s="166"/>
      <c r="AG607" s="166"/>
    </row>
    <row r="608" spans="1:33" ht="15.750000" customHeight="1">
      <c r="A608" s="166"/>
      <c r="B608" s="155"/>
      <c r="C608" s="166"/>
      <c r="D608" s="166"/>
      <c r="E608" s="155"/>
      <c r="F608" s="155"/>
      <c r="G608" s="155"/>
      <c r="H608" s="155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  <c r="AA608" s="166"/>
      <c r="AB608" s="166"/>
      <c r="AC608" s="166"/>
      <c r="AD608" s="166"/>
      <c r="AE608" s="166"/>
      <c r="AF608" s="166"/>
      <c r="AG608" s="166"/>
    </row>
    <row r="609" spans="1:33" ht="15.750000" customHeight="1">
      <c r="A609" s="166"/>
      <c r="B609" s="155"/>
      <c r="C609" s="166"/>
      <c r="D609" s="166"/>
      <c r="E609" s="155"/>
      <c r="F609" s="155"/>
      <c r="G609" s="155"/>
      <c r="H609" s="155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  <c r="AA609" s="166"/>
      <c r="AB609" s="166"/>
      <c r="AC609" s="166"/>
      <c r="AD609" s="166"/>
      <c r="AE609" s="166"/>
      <c r="AF609" s="166"/>
      <c r="AG609" s="166"/>
    </row>
    <row r="610" spans="1:33" ht="15.750000" customHeight="1">
      <c r="A610" s="166"/>
      <c r="B610" s="155"/>
      <c r="C610" s="166"/>
      <c r="D610" s="166"/>
      <c r="E610" s="155"/>
      <c r="F610" s="155"/>
      <c r="G610" s="155"/>
      <c r="H610" s="155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  <c r="AA610" s="166"/>
      <c r="AB610" s="166"/>
      <c r="AC610" s="166"/>
      <c r="AD610" s="166"/>
      <c r="AE610" s="166"/>
      <c r="AF610" s="166"/>
      <c r="AG610" s="166"/>
    </row>
    <row r="611" spans="1:33" ht="15.750000" customHeight="1">
      <c r="A611" s="166"/>
      <c r="B611" s="155"/>
      <c r="C611" s="166"/>
      <c r="D611" s="166"/>
      <c r="E611" s="155"/>
      <c r="F611" s="155"/>
      <c r="G611" s="155"/>
      <c r="H611" s="155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  <c r="AA611" s="166"/>
      <c r="AB611" s="166"/>
      <c r="AC611" s="166"/>
      <c r="AD611" s="166"/>
      <c r="AE611" s="166"/>
      <c r="AF611" s="166"/>
      <c r="AG611" s="166"/>
    </row>
    <row r="612" spans="1:33" ht="15.750000" customHeight="1">
      <c r="A612" s="166"/>
      <c r="B612" s="155"/>
      <c r="C612" s="166"/>
      <c r="D612" s="166"/>
      <c r="E612" s="155"/>
      <c r="F612" s="155"/>
      <c r="G612" s="155"/>
      <c r="H612" s="155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  <c r="AA612" s="166"/>
      <c r="AB612" s="166"/>
      <c r="AC612" s="166"/>
      <c r="AD612" s="166"/>
      <c r="AE612" s="166"/>
      <c r="AF612" s="166"/>
      <c r="AG612" s="166"/>
    </row>
    <row r="613" spans="1:33" ht="15.750000" customHeight="1">
      <c r="A613" s="166"/>
      <c r="B613" s="155"/>
      <c r="C613" s="166"/>
      <c r="D613" s="166"/>
      <c r="E613" s="155"/>
      <c r="F613" s="155"/>
      <c r="G613" s="155"/>
      <c r="H613" s="155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  <c r="AA613" s="166"/>
      <c r="AB613" s="166"/>
      <c r="AC613" s="166"/>
      <c r="AD613" s="166"/>
      <c r="AE613" s="166"/>
      <c r="AF613" s="166"/>
      <c r="AG613" s="166"/>
    </row>
    <row r="614" spans="1:33" ht="15.750000" customHeight="1">
      <c r="A614" s="166"/>
      <c r="B614" s="155"/>
      <c r="C614" s="166"/>
      <c r="D614" s="166"/>
      <c r="E614" s="155"/>
      <c r="F614" s="155"/>
      <c r="G614" s="155"/>
      <c r="H614" s="155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  <c r="AA614" s="166"/>
      <c r="AB614" s="166"/>
      <c r="AC614" s="166"/>
      <c r="AD614" s="166"/>
      <c r="AE614" s="166"/>
      <c r="AF614" s="166"/>
      <c r="AG614" s="166"/>
    </row>
    <row r="615" spans="1:33" ht="15.750000" customHeight="1">
      <c r="A615" s="166"/>
      <c r="B615" s="155"/>
      <c r="C615" s="166"/>
      <c r="D615" s="166"/>
      <c r="E615" s="155"/>
      <c r="F615" s="155"/>
      <c r="G615" s="155"/>
      <c r="H615" s="155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  <c r="AA615" s="166"/>
      <c r="AB615" s="166"/>
      <c r="AC615" s="166"/>
      <c r="AD615" s="166"/>
      <c r="AE615" s="166"/>
      <c r="AF615" s="166"/>
      <c r="AG615" s="166"/>
    </row>
    <row r="616" spans="1:33" ht="15.750000" customHeight="1">
      <c r="A616" s="166"/>
      <c r="B616" s="155"/>
      <c r="C616" s="166"/>
      <c r="D616" s="166"/>
      <c r="E616" s="155"/>
      <c r="F616" s="155"/>
      <c r="G616" s="155"/>
      <c r="H616" s="155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  <c r="AA616" s="166"/>
      <c r="AB616" s="166"/>
      <c r="AC616" s="166"/>
      <c r="AD616" s="166"/>
      <c r="AE616" s="166"/>
      <c r="AF616" s="166"/>
      <c r="AG616" s="166"/>
    </row>
    <row r="617" spans="1:33" ht="15.750000" customHeight="1">
      <c r="A617" s="166"/>
      <c r="B617" s="155"/>
      <c r="C617" s="166"/>
      <c r="D617" s="166"/>
      <c r="E617" s="155"/>
      <c r="F617" s="155"/>
      <c r="G617" s="155"/>
      <c r="H617" s="155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  <c r="AA617" s="166"/>
      <c r="AB617" s="166"/>
      <c r="AC617" s="166"/>
      <c r="AD617" s="166"/>
      <c r="AE617" s="166"/>
      <c r="AF617" s="166"/>
      <c r="AG617" s="166"/>
    </row>
    <row r="618" spans="1:33" ht="15.750000" customHeight="1">
      <c r="A618" s="166"/>
      <c r="B618" s="155"/>
      <c r="C618" s="166"/>
      <c r="D618" s="166"/>
      <c r="E618" s="155"/>
      <c r="F618" s="155"/>
      <c r="G618" s="155"/>
      <c r="H618" s="155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  <c r="AA618" s="166"/>
      <c r="AB618" s="166"/>
      <c r="AC618" s="166"/>
      <c r="AD618" s="166"/>
      <c r="AE618" s="166"/>
      <c r="AF618" s="166"/>
      <c r="AG618" s="166"/>
    </row>
    <row r="619" spans="1:33" ht="15.750000" customHeight="1">
      <c r="A619" s="166"/>
      <c r="B619" s="155"/>
      <c r="C619" s="166"/>
      <c r="D619" s="166"/>
      <c r="E619" s="155"/>
      <c r="F619" s="155"/>
      <c r="G619" s="155"/>
      <c r="H619" s="155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  <c r="AA619" s="166"/>
      <c r="AB619" s="166"/>
      <c r="AC619" s="166"/>
      <c r="AD619" s="166"/>
      <c r="AE619" s="166"/>
      <c r="AF619" s="166"/>
      <c r="AG619" s="166"/>
    </row>
    <row r="620" spans="1:33" ht="15.750000" customHeight="1">
      <c r="A620" s="166"/>
      <c r="B620" s="155"/>
      <c r="C620" s="166"/>
      <c r="D620" s="166"/>
      <c r="E620" s="155"/>
      <c r="F620" s="155"/>
      <c r="G620" s="155"/>
      <c r="H620" s="155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  <c r="AA620" s="166"/>
      <c r="AB620" s="166"/>
      <c r="AC620" s="166"/>
      <c r="AD620" s="166"/>
      <c r="AE620" s="166"/>
      <c r="AF620" s="166"/>
      <c r="AG620" s="166"/>
    </row>
    <row r="621" spans="1:33" ht="15.750000" customHeight="1">
      <c r="A621" s="166"/>
      <c r="B621" s="155"/>
      <c r="C621" s="166"/>
      <c r="D621" s="166"/>
      <c r="E621" s="155"/>
      <c r="F621" s="155"/>
      <c r="G621" s="155"/>
      <c r="H621" s="155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  <c r="AA621" s="166"/>
      <c r="AB621" s="166"/>
      <c r="AC621" s="166"/>
      <c r="AD621" s="166"/>
      <c r="AE621" s="166"/>
      <c r="AF621" s="166"/>
      <c r="AG621" s="166"/>
    </row>
    <row r="622" spans="1:33" ht="15.750000" customHeight="1">
      <c r="A622" s="166"/>
      <c r="B622" s="155"/>
      <c r="C622" s="166"/>
      <c r="D622" s="166"/>
      <c r="E622" s="155"/>
      <c r="F622" s="155"/>
      <c r="G622" s="155"/>
      <c r="H622" s="155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  <c r="AA622" s="166"/>
      <c r="AB622" s="166"/>
      <c r="AC622" s="166"/>
      <c r="AD622" s="166"/>
      <c r="AE622" s="166"/>
      <c r="AF622" s="166"/>
      <c r="AG622" s="166"/>
    </row>
    <row r="623" spans="1:33" ht="15.750000" customHeight="1">
      <c r="A623" s="166"/>
      <c r="B623" s="155"/>
      <c r="C623" s="166"/>
      <c r="D623" s="166"/>
      <c r="E623" s="155"/>
      <c r="F623" s="155"/>
      <c r="G623" s="155"/>
      <c r="H623" s="155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  <c r="AA623" s="166"/>
      <c r="AB623" s="166"/>
      <c r="AC623" s="166"/>
      <c r="AD623" s="166"/>
      <c r="AE623" s="166"/>
      <c r="AF623" s="166"/>
      <c r="AG623" s="166"/>
    </row>
    <row r="624" spans="1:33" ht="15.750000" customHeight="1">
      <c r="A624" s="166"/>
      <c r="B624" s="155"/>
      <c r="C624" s="166"/>
      <c r="D624" s="166"/>
      <c r="E624" s="155"/>
      <c r="F624" s="155"/>
      <c r="G624" s="155"/>
      <c r="H624" s="155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  <c r="AA624" s="166"/>
      <c r="AB624" s="166"/>
      <c r="AC624" s="166"/>
      <c r="AD624" s="166"/>
      <c r="AE624" s="166"/>
      <c r="AF624" s="166"/>
      <c r="AG624" s="166"/>
    </row>
    <row r="625" spans="1:33" ht="15.750000" customHeight="1">
      <c r="A625" s="166"/>
      <c r="B625" s="155"/>
      <c r="C625" s="166"/>
      <c r="D625" s="166"/>
      <c r="E625" s="155"/>
      <c r="F625" s="155"/>
      <c r="G625" s="155"/>
      <c r="H625" s="155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  <c r="AA625" s="166"/>
      <c r="AB625" s="166"/>
      <c r="AC625" s="166"/>
      <c r="AD625" s="166"/>
      <c r="AE625" s="166"/>
      <c r="AF625" s="166"/>
      <c r="AG625" s="166"/>
    </row>
    <row r="626" spans="1:33" ht="15.750000" customHeight="1">
      <c r="A626" s="166"/>
      <c r="B626" s="155"/>
      <c r="C626" s="166"/>
      <c r="D626" s="166"/>
      <c r="E626" s="155"/>
      <c r="F626" s="155"/>
      <c r="G626" s="155"/>
      <c r="H626" s="155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  <c r="AA626" s="166"/>
      <c r="AB626" s="166"/>
      <c r="AC626" s="166"/>
      <c r="AD626" s="166"/>
      <c r="AE626" s="166"/>
      <c r="AF626" s="166"/>
      <c r="AG626" s="166"/>
    </row>
    <row r="627" spans="1:33" ht="15.750000" customHeight="1">
      <c r="A627" s="166"/>
      <c r="B627" s="155"/>
      <c r="C627" s="166"/>
      <c r="D627" s="166"/>
      <c r="E627" s="155"/>
      <c r="F627" s="155"/>
      <c r="G627" s="155"/>
      <c r="H627" s="155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  <c r="AA627" s="166"/>
      <c r="AB627" s="166"/>
      <c r="AC627" s="166"/>
      <c r="AD627" s="166"/>
      <c r="AE627" s="166"/>
      <c r="AF627" s="166"/>
      <c r="AG627" s="166"/>
    </row>
    <row r="628" spans="1:33" ht="15.750000" customHeight="1">
      <c r="A628" s="166"/>
      <c r="B628" s="155"/>
      <c r="C628" s="166"/>
      <c r="D628" s="166"/>
      <c r="E628" s="155"/>
      <c r="F628" s="155"/>
      <c r="G628" s="155"/>
      <c r="H628" s="155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  <c r="AA628" s="166"/>
      <c r="AB628" s="166"/>
      <c r="AC628" s="166"/>
      <c r="AD628" s="166"/>
      <c r="AE628" s="166"/>
      <c r="AF628" s="166"/>
      <c r="AG628" s="166"/>
    </row>
    <row r="629" spans="1:33" ht="15.750000" customHeight="1">
      <c r="A629" s="166"/>
      <c r="B629" s="155"/>
      <c r="C629" s="166"/>
      <c r="D629" s="166"/>
      <c r="E629" s="155"/>
      <c r="F629" s="155"/>
      <c r="G629" s="155"/>
      <c r="H629" s="155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  <c r="AA629" s="166"/>
      <c r="AB629" s="166"/>
      <c r="AC629" s="166"/>
      <c r="AD629" s="166"/>
      <c r="AE629" s="166"/>
      <c r="AF629" s="166"/>
      <c r="AG629" s="166"/>
    </row>
    <row r="630" spans="1:33" ht="15.750000" customHeight="1">
      <c r="A630" s="166"/>
      <c r="B630" s="155"/>
      <c r="C630" s="166"/>
      <c r="D630" s="166"/>
      <c r="E630" s="155"/>
      <c r="F630" s="155"/>
      <c r="G630" s="155"/>
      <c r="H630" s="155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  <c r="AA630" s="166"/>
      <c r="AB630" s="166"/>
      <c r="AC630" s="166"/>
      <c r="AD630" s="166"/>
      <c r="AE630" s="166"/>
      <c r="AF630" s="166"/>
      <c r="AG630" s="166"/>
    </row>
    <row r="631" spans="1:33" ht="15.750000" customHeight="1">
      <c r="A631" s="166"/>
      <c r="B631" s="155"/>
      <c r="C631" s="166"/>
      <c r="D631" s="166"/>
      <c r="E631" s="155"/>
      <c r="F631" s="155"/>
      <c r="G631" s="155"/>
      <c r="H631" s="155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  <c r="AA631" s="166"/>
      <c r="AB631" s="166"/>
      <c r="AC631" s="166"/>
      <c r="AD631" s="166"/>
      <c r="AE631" s="166"/>
      <c r="AF631" s="166"/>
      <c r="AG631" s="166"/>
    </row>
    <row r="632" spans="1:33" ht="15.750000" customHeight="1">
      <c r="A632" s="166"/>
      <c r="B632" s="155"/>
      <c r="C632" s="166"/>
      <c r="D632" s="166"/>
      <c r="E632" s="155"/>
      <c r="F632" s="155"/>
      <c r="G632" s="155"/>
      <c r="H632" s="155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  <c r="AA632" s="166"/>
      <c r="AB632" s="166"/>
      <c r="AC632" s="166"/>
      <c r="AD632" s="166"/>
      <c r="AE632" s="166"/>
      <c r="AF632" s="166"/>
      <c r="AG632" s="166"/>
    </row>
    <row r="633" spans="1:33" ht="15.750000" customHeight="1">
      <c r="A633" s="166"/>
      <c r="B633" s="155"/>
      <c r="C633" s="166"/>
      <c r="D633" s="166"/>
      <c r="E633" s="155"/>
      <c r="F633" s="155"/>
      <c r="G633" s="155"/>
      <c r="H633" s="155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  <c r="AA633" s="166"/>
      <c r="AB633" s="166"/>
      <c r="AC633" s="166"/>
      <c r="AD633" s="166"/>
      <c r="AE633" s="166"/>
      <c r="AF633" s="166"/>
      <c r="AG633" s="166"/>
    </row>
    <row r="634" spans="1:33" ht="15.750000" customHeight="1">
      <c r="A634" s="166"/>
      <c r="B634" s="155"/>
      <c r="C634" s="166"/>
      <c r="D634" s="166"/>
      <c r="E634" s="155"/>
      <c r="F634" s="155"/>
      <c r="G634" s="155"/>
      <c r="H634" s="155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  <c r="AA634" s="166"/>
      <c r="AB634" s="166"/>
      <c r="AC634" s="166"/>
      <c r="AD634" s="166"/>
      <c r="AE634" s="166"/>
      <c r="AF634" s="166"/>
      <c r="AG634" s="166"/>
    </row>
    <row r="635" spans="1:33" ht="15.750000" customHeight="1">
      <c r="A635" s="166"/>
      <c r="B635" s="155"/>
      <c r="C635" s="166"/>
      <c r="D635" s="166"/>
      <c r="E635" s="155"/>
      <c r="F635" s="155"/>
      <c r="G635" s="155"/>
      <c r="H635" s="155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  <c r="AA635" s="166"/>
      <c r="AB635" s="166"/>
      <c r="AC635" s="166"/>
      <c r="AD635" s="166"/>
      <c r="AE635" s="166"/>
      <c r="AF635" s="166"/>
      <c r="AG635" s="166"/>
    </row>
    <row r="636" spans="1:33" ht="15.750000" customHeight="1">
      <c r="A636" s="166"/>
      <c r="B636" s="155"/>
      <c r="C636" s="166"/>
      <c r="D636" s="166"/>
      <c r="E636" s="155"/>
      <c r="F636" s="155"/>
      <c r="G636" s="155"/>
      <c r="H636" s="155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  <c r="AA636" s="166"/>
      <c r="AB636" s="166"/>
      <c r="AC636" s="166"/>
      <c r="AD636" s="166"/>
      <c r="AE636" s="166"/>
      <c r="AF636" s="166"/>
      <c r="AG636" s="166"/>
    </row>
    <row r="637" spans="1:33" ht="15.750000" customHeight="1">
      <c r="A637" s="166"/>
      <c r="B637" s="155"/>
      <c r="C637" s="166"/>
      <c r="D637" s="166"/>
      <c r="E637" s="155"/>
      <c r="F637" s="155"/>
      <c r="G637" s="155"/>
      <c r="H637" s="155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  <c r="AA637" s="166"/>
      <c r="AB637" s="166"/>
      <c r="AC637" s="166"/>
      <c r="AD637" s="166"/>
      <c r="AE637" s="166"/>
      <c r="AF637" s="166"/>
      <c r="AG637" s="166"/>
    </row>
    <row r="638" spans="1:33" ht="15.750000" customHeight="1">
      <c r="A638" s="166"/>
      <c r="B638" s="155"/>
      <c r="C638" s="166"/>
      <c r="D638" s="166"/>
      <c r="E638" s="155"/>
      <c r="F638" s="155"/>
      <c r="G638" s="155"/>
      <c r="H638" s="155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  <c r="AA638" s="166"/>
      <c r="AB638" s="166"/>
      <c r="AC638" s="166"/>
      <c r="AD638" s="166"/>
      <c r="AE638" s="166"/>
      <c r="AF638" s="166"/>
      <c r="AG638" s="166"/>
    </row>
    <row r="639" spans="1:33" ht="15.750000" customHeight="1">
      <c r="A639" s="166"/>
      <c r="B639" s="155"/>
      <c r="C639" s="166"/>
      <c r="D639" s="166"/>
      <c r="E639" s="155"/>
      <c r="F639" s="155"/>
      <c r="G639" s="155"/>
      <c r="H639" s="155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  <c r="AA639" s="166"/>
      <c r="AB639" s="166"/>
      <c r="AC639" s="166"/>
      <c r="AD639" s="166"/>
      <c r="AE639" s="166"/>
      <c r="AF639" s="166"/>
      <c r="AG639" s="166"/>
    </row>
    <row r="640" spans="1:33" ht="15.750000" customHeight="1">
      <c r="A640" s="166"/>
      <c r="B640" s="155"/>
      <c r="C640" s="166"/>
      <c r="D640" s="166"/>
      <c r="E640" s="155"/>
      <c r="F640" s="155"/>
      <c r="G640" s="155"/>
      <c r="H640" s="155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  <c r="AA640" s="166"/>
      <c r="AB640" s="166"/>
      <c r="AC640" s="166"/>
      <c r="AD640" s="166"/>
      <c r="AE640" s="166"/>
      <c r="AF640" s="166"/>
      <c r="AG640" s="166"/>
    </row>
    <row r="641" spans="1:33" ht="15.750000" customHeight="1">
      <c r="A641" s="166"/>
      <c r="B641" s="155"/>
      <c r="C641" s="166"/>
      <c r="D641" s="166"/>
      <c r="E641" s="155"/>
      <c r="F641" s="155"/>
      <c r="G641" s="155"/>
      <c r="H641" s="155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  <c r="AA641" s="166"/>
      <c r="AB641" s="166"/>
      <c r="AC641" s="166"/>
      <c r="AD641" s="166"/>
      <c r="AE641" s="166"/>
      <c r="AF641" s="166"/>
      <c r="AG641" s="166"/>
    </row>
    <row r="642" spans="1:33" ht="15.750000" customHeight="1">
      <c r="A642" s="166"/>
      <c r="B642" s="155"/>
      <c r="C642" s="166"/>
      <c r="D642" s="166"/>
      <c r="E642" s="155"/>
      <c r="F642" s="155"/>
      <c r="G642" s="155"/>
      <c r="H642" s="155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  <c r="AA642" s="166"/>
      <c r="AB642" s="166"/>
      <c r="AC642" s="166"/>
      <c r="AD642" s="166"/>
      <c r="AE642" s="166"/>
      <c r="AF642" s="166"/>
      <c r="AG642" s="166"/>
    </row>
    <row r="643" spans="1:33" ht="15.750000" customHeight="1">
      <c r="A643" s="166"/>
      <c r="B643" s="155"/>
      <c r="C643" s="166"/>
      <c r="D643" s="166"/>
      <c r="E643" s="155"/>
      <c r="F643" s="155"/>
      <c r="G643" s="155"/>
      <c r="H643" s="155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  <c r="AA643" s="166"/>
      <c r="AB643" s="166"/>
      <c r="AC643" s="166"/>
      <c r="AD643" s="166"/>
      <c r="AE643" s="166"/>
      <c r="AF643" s="166"/>
      <c r="AG643" s="166"/>
    </row>
    <row r="644" spans="1:33" ht="15.750000" customHeight="1">
      <c r="A644" s="166"/>
      <c r="B644" s="155"/>
      <c r="C644" s="166"/>
      <c r="D644" s="166"/>
      <c r="E644" s="155"/>
      <c r="F644" s="155"/>
      <c r="G644" s="155"/>
      <c r="H644" s="155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  <c r="AA644" s="166"/>
      <c r="AB644" s="166"/>
      <c r="AC644" s="166"/>
      <c r="AD644" s="166"/>
      <c r="AE644" s="166"/>
      <c r="AF644" s="166"/>
      <c r="AG644" s="166"/>
    </row>
    <row r="645" spans="1:33" ht="15.750000" customHeight="1">
      <c r="A645" s="166"/>
      <c r="B645" s="155"/>
      <c r="C645" s="166"/>
      <c r="D645" s="166"/>
      <c r="E645" s="155"/>
      <c r="F645" s="155"/>
      <c r="G645" s="155"/>
      <c r="H645" s="155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  <c r="AA645" s="166"/>
      <c r="AB645" s="166"/>
      <c r="AC645" s="166"/>
      <c r="AD645" s="166"/>
      <c r="AE645" s="166"/>
      <c r="AF645" s="166"/>
      <c r="AG645" s="166"/>
    </row>
    <row r="646" spans="1:33" ht="15.750000" customHeight="1">
      <c r="A646" s="166"/>
      <c r="B646" s="155"/>
      <c r="C646" s="166"/>
      <c r="D646" s="166"/>
      <c r="E646" s="155"/>
      <c r="F646" s="155"/>
      <c r="G646" s="155"/>
      <c r="H646" s="155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  <c r="AA646" s="166"/>
      <c r="AB646" s="166"/>
      <c r="AC646" s="166"/>
      <c r="AD646" s="166"/>
      <c r="AE646" s="166"/>
      <c r="AF646" s="166"/>
      <c r="AG646" s="166"/>
    </row>
    <row r="647" spans="1:33" ht="15.750000" customHeight="1">
      <c r="A647" s="166"/>
      <c r="B647" s="155"/>
      <c r="C647" s="166"/>
      <c r="D647" s="166"/>
      <c r="E647" s="155"/>
      <c r="F647" s="155"/>
      <c r="G647" s="155"/>
      <c r="H647" s="155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  <c r="AA647" s="166"/>
      <c r="AB647" s="166"/>
      <c r="AC647" s="166"/>
      <c r="AD647" s="166"/>
      <c r="AE647" s="166"/>
      <c r="AF647" s="166"/>
      <c r="AG647" s="166"/>
    </row>
    <row r="648" spans="1:33" ht="15.750000" customHeight="1">
      <c r="A648" s="166"/>
      <c r="B648" s="155"/>
      <c r="C648" s="166"/>
      <c r="D648" s="166"/>
      <c r="E648" s="155"/>
      <c r="F648" s="155"/>
      <c r="G648" s="155"/>
      <c r="H648" s="155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  <c r="AA648" s="166"/>
      <c r="AB648" s="166"/>
      <c r="AC648" s="166"/>
      <c r="AD648" s="166"/>
      <c r="AE648" s="166"/>
      <c r="AF648" s="166"/>
      <c r="AG648" s="166"/>
    </row>
    <row r="649" spans="1:33" ht="15.750000" customHeight="1">
      <c r="A649" s="166"/>
      <c r="B649" s="155"/>
      <c r="C649" s="166"/>
      <c r="D649" s="166"/>
      <c r="E649" s="155"/>
      <c r="F649" s="155"/>
      <c r="G649" s="155"/>
      <c r="H649" s="155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  <c r="AA649" s="166"/>
      <c r="AB649" s="166"/>
      <c r="AC649" s="166"/>
      <c r="AD649" s="166"/>
      <c r="AE649" s="166"/>
      <c r="AF649" s="166"/>
      <c r="AG649" s="166"/>
    </row>
    <row r="650" spans="1:33" ht="15.750000" customHeight="1">
      <c r="A650" s="166"/>
      <c r="B650" s="155"/>
      <c r="C650" s="166"/>
      <c r="D650" s="166"/>
      <c r="E650" s="155"/>
      <c r="F650" s="155"/>
      <c r="G650" s="155"/>
      <c r="H650" s="155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  <c r="AA650" s="166"/>
      <c r="AB650" s="166"/>
      <c r="AC650" s="166"/>
      <c r="AD650" s="166"/>
      <c r="AE650" s="166"/>
      <c r="AF650" s="166"/>
      <c r="AG650" s="166"/>
    </row>
    <row r="651" spans="1:33" ht="15.750000" customHeight="1">
      <c r="A651" s="166"/>
      <c r="B651" s="155"/>
      <c r="C651" s="166"/>
      <c r="D651" s="166"/>
      <c r="E651" s="155"/>
      <c r="F651" s="155"/>
      <c r="G651" s="155"/>
      <c r="H651" s="155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  <c r="AA651" s="166"/>
      <c r="AB651" s="166"/>
      <c r="AC651" s="166"/>
      <c r="AD651" s="166"/>
      <c r="AE651" s="166"/>
      <c r="AF651" s="166"/>
      <c r="AG651" s="166"/>
    </row>
    <row r="652" spans="1:33" ht="15.750000" customHeight="1">
      <c r="A652" s="166"/>
      <c r="B652" s="155"/>
      <c r="C652" s="166"/>
      <c r="D652" s="166"/>
      <c r="E652" s="155"/>
      <c r="F652" s="155"/>
      <c r="G652" s="155"/>
      <c r="H652" s="155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  <c r="AA652" s="166"/>
      <c r="AB652" s="166"/>
      <c r="AC652" s="166"/>
      <c r="AD652" s="166"/>
      <c r="AE652" s="166"/>
      <c r="AF652" s="166"/>
      <c r="AG652" s="166"/>
    </row>
    <row r="653" spans="1:33" ht="15.750000" customHeight="1">
      <c r="A653" s="166"/>
      <c r="B653" s="155"/>
      <c r="C653" s="166"/>
      <c r="D653" s="166"/>
      <c r="E653" s="155"/>
      <c r="F653" s="155"/>
      <c r="G653" s="155"/>
      <c r="H653" s="155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  <c r="AA653" s="166"/>
      <c r="AB653" s="166"/>
      <c r="AC653" s="166"/>
      <c r="AD653" s="166"/>
      <c r="AE653" s="166"/>
      <c r="AF653" s="166"/>
      <c r="AG653" s="166"/>
    </row>
    <row r="654" spans="1:33" ht="15.750000" customHeight="1">
      <c r="A654" s="166"/>
      <c r="B654" s="155"/>
      <c r="C654" s="166"/>
      <c r="D654" s="166"/>
      <c r="E654" s="155"/>
      <c r="F654" s="155"/>
      <c r="G654" s="155"/>
      <c r="H654" s="155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  <c r="AA654" s="166"/>
      <c r="AB654" s="166"/>
      <c r="AC654" s="166"/>
      <c r="AD654" s="166"/>
      <c r="AE654" s="166"/>
      <c r="AF654" s="166"/>
      <c r="AG654" s="166"/>
    </row>
    <row r="655" spans="1:33" ht="15.750000" customHeight="1">
      <c r="A655" s="166"/>
      <c r="B655" s="155"/>
      <c r="C655" s="166"/>
      <c r="D655" s="166"/>
      <c r="E655" s="155"/>
      <c r="F655" s="155"/>
      <c r="G655" s="155"/>
      <c r="H655" s="155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  <c r="AA655" s="166"/>
      <c r="AB655" s="166"/>
      <c r="AC655" s="166"/>
      <c r="AD655" s="166"/>
      <c r="AE655" s="166"/>
      <c r="AF655" s="166"/>
      <c r="AG655" s="166"/>
    </row>
    <row r="656" spans="1:33" ht="15.750000" customHeight="1">
      <c r="A656" s="166"/>
      <c r="B656" s="155"/>
      <c r="C656" s="166"/>
      <c r="D656" s="166"/>
      <c r="E656" s="155"/>
      <c r="F656" s="155"/>
      <c r="G656" s="155"/>
      <c r="H656" s="155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  <c r="AA656" s="166"/>
      <c r="AB656" s="166"/>
      <c r="AC656" s="166"/>
      <c r="AD656" s="166"/>
      <c r="AE656" s="166"/>
      <c r="AF656" s="166"/>
      <c r="AG656" s="166"/>
    </row>
    <row r="657" spans="1:33" ht="15.750000" customHeight="1">
      <c r="A657" s="166"/>
      <c r="B657" s="155"/>
      <c r="C657" s="166"/>
      <c r="D657" s="166"/>
      <c r="E657" s="155"/>
      <c r="F657" s="155"/>
      <c r="G657" s="155"/>
      <c r="H657" s="155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  <c r="AA657" s="166"/>
      <c r="AB657" s="166"/>
      <c r="AC657" s="166"/>
      <c r="AD657" s="166"/>
      <c r="AE657" s="166"/>
      <c r="AF657" s="166"/>
      <c r="AG657" s="166"/>
    </row>
    <row r="658" spans="1:33" ht="15.750000" customHeight="1">
      <c r="A658" s="166"/>
      <c r="B658" s="155"/>
      <c r="C658" s="166"/>
      <c r="D658" s="166"/>
      <c r="E658" s="155"/>
      <c r="F658" s="155"/>
      <c r="G658" s="155"/>
      <c r="H658" s="155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  <c r="AA658" s="166"/>
      <c r="AB658" s="166"/>
      <c r="AC658" s="166"/>
      <c r="AD658" s="166"/>
      <c r="AE658" s="166"/>
      <c r="AF658" s="166"/>
      <c r="AG658" s="166"/>
    </row>
    <row r="659" spans="1:33" ht="15.750000" customHeight="1">
      <c r="A659" s="166"/>
      <c r="B659" s="155"/>
      <c r="C659" s="166"/>
      <c r="D659" s="166"/>
      <c r="E659" s="155"/>
      <c r="F659" s="155"/>
      <c r="G659" s="155"/>
      <c r="H659" s="155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  <c r="AA659" s="166"/>
      <c r="AB659" s="166"/>
      <c r="AC659" s="166"/>
      <c r="AD659" s="166"/>
      <c r="AE659" s="166"/>
      <c r="AF659" s="166"/>
      <c r="AG659" s="166"/>
    </row>
    <row r="660" spans="1:33" ht="15.750000" customHeight="1">
      <c r="A660" s="166"/>
      <c r="B660" s="155"/>
      <c r="C660" s="166"/>
      <c r="D660" s="166"/>
      <c r="E660" s="155"/>
      <c r="F660" s="155"/>
      <c r="G660" s="155"/>
      <c r="H660" s="155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  <c r="AA660" s="166"/>
      <c r="AB660" s="166"/>
      <c r="AC660" s="166"/>
      <c r="AD660" s="166"/>
      <c r="AE660" s="166"/>
      <c r="AF660" s="166"/>
      <c r="AG660" s="166"/>
    </row>
    <row r="661" spans="1:33" ht="15.750000" customHeight="1">
      <c r="A661" s="166"/>
      <c r="B661" s="155"/>
      <c r="C661" s="166"/>
      <c r="D661" s="166"/>
      <c r="E661" s="155"/>
      <c r="F661" s="155"/>
      <c r="G661" s="155"/>
      <c r="H661" s="155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  <c r="AA661" s="166"/>
      <c r="AB661" s="166"/>
      <c r="AC661" s="166"/>
      <c r="AD661" s="166"/>
      <c r="AE661" s="166"/>
      <c r="AF661" s="166"/>
      <c r="AG661" s="166"/>
    </row>
    <row r="662" spans="1:33" ht="15.750000" customHeight="1">
      <c r="A662" s="166"/>
      <c r="B662" s="155"/>
      <c r="C662" s="166"/>
      <c r="D662" s="166"/>
      <c r="E662" s="155"/>
      <c r="F662" s="155"/>
      <c r="G662" s="155"/>
      <c r="H662" s="155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  <c r="AA662" s="166"/>
      <c r="AB662" s="166"/>
      <c r="AC662" s="166"/>
      <c r="AD662" s="166"/>
      <c r="AE662" s="166"/>
      <c r="AF662" s="166"/>
      <c r="AG662" s="166"/>
    </row>
    <row r="663" spans="1:33" ht="15.750000" customHeight="1">
      <c r="A663" s="166"/>
      <c r="B663" s="155"/>
      <c r="C663" s="166"/>
      <c r="D663" s="166"/>
      <c r="E663" s="155"/>
      <c r="F663" s="155"/>
      <c r="G663" s="155"/>
      <c r="H663" s="155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  <c r="AA663" s="166"/>
      <c r="AB663" s="166"/>
      <c r="AC663" s="166"/>
      <c r="AD663" s="166"/>
      <c r="AE663" s="166"/>
      <c r="AF663" s="166"/>
      <c r="AG663" s="166"/>
    </row>
    <row r="664" spans="1:33" ht="15.750000" customHeight="1">
      <c r="A664" s="166"/>
      <c r="B664" s="155"/>
      <c r="C664" s="166"/>
      <c r="D664" s="166"/>
      <c r="E664" s="155"/>
      <c r="F664" s="155"/>
      <c r="G664" s="155"/>
      <c r="H664" s="155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  <c r="AA664" s="166"/>
      <c r="AB664" s="166"/>
      <c r="AC664" s="166"/>
      <c r="AD664" s="166"/>
      <c r="AE664" s="166"/>
      <c r="AF664" s="166"/>
      <c r="AG664" s="166"/>
    </row>
    <row r="665" spans="1:33" ht="15.750000" customHeight="1">
      <c r="A665" s="166"/>
      <c r="B665" s="155"/>
      <c r="C665" s="166"/>
      <c r="D665" s="166"/>
      <c r="E665" s="155"/>
      <c r="F665" s="155"/>
      <c r="G665" s="155"/>
      <c r="H665" s="155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  <c r="AA665" s="166"/>
      <c r="AB665" s="166"/>
      <c r="AC665" s="166"/>
      <c r="AD665" s="166"/>
      <c r="AE665" s="166"/>
      <c r="AF665" s="166"/>
      <c r="AG665" s="166"/>
    </row>
    <row r="666" spans="1:33" ht="15.750000" customHeight="1">
      <c r="A666" s="166"/>
      <c r="B666" s="155"/>
      <c r="C666" s="166"/>
      <c r="D666" s="166"/>
      <c r="E666" s="155"/>
      <c r="F666" s="155"/>
      <c r="G666" s="155"/>
      <c r="H666" s="155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  <c r="AA666" s="166"/>
      <c r="AB666" s="166"/>
      <c r="AC666" s="166"/>
      <c r="AD666" s="166"/>
      <c r="AE666" s="166"/>
      <c r="AF666" s="166"/>
      <c r="AG666" s="166"/>
    </row>
    <row r="667" spans="1:33" ht="15.750000" customHeight="1">
      <c r="A667" s="166"/>
      <c r="B667" s="155"/>
      <c r="C667" s="166"/>
      <c r="D667" s="166"/>
      <c r="E667" s="155"/>
      <c r="F667" s="155"/>
      <c r="G667" s="155"/>
      <c r="H667" s="155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  <c r="AA667" s="166"/>
      <c r="AB667" s="166"/>
      <c r="AC667" s="166"/>
      <c r="AD667" s="166"/>
      <c r="AE667" s="166"/>
      <c r="AF667" s="166"/>
      <c r="AG667" s="166"/>
    </row>
    <row r="668" spans="1:33" ht="15.750000" customHeight="1">
      <c r="A668" s="166"/>
      <c r="B668" s="155"/>
      <c r="C668" s="166"/>
      <c r="D668" s="166"/>
      <c r="E668" s="155"/>
      <c r="F668" s="155"/>
      <c r="G668" s="155"/>
      <c r="H668" s="155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  <c r="AA668" s="166"/>
      <c r="AB668" s="166"/>
      <c r="AC668" s="166"/>
      <c r="AD668" s="166"/>
      <c r="AE668" s="166"/>
      <c r="AF668" s="166"/>
      <c r="AG668" s="166"/>
    </row>
    <row r="669" spans="1:33" ht="15.750000" customHeight="1">
      <c r="A669" s="166"/>
      <c r="B669" s="155"/>
      <c r="C669" s="166"/>
      <c r="D669" s="166"/>
      <c r="E669" s="155"/>
      <c r="F669" s="155"/>
      <c r="G669" s="155"/>
      <c r="H669" s="155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  <c r="AA669" s="166"/>
      <c r="AB669" s="166"/>
      <c r="AC669" s="166"/>
      <c r="AD669" s="166"/>
      <c r="AE669" s="166"/>
      <c r="AF669" s="166"/>
      <c r="AG669" s="166"/>
    </row>
    <row r="670" spans="1:33" ht="15.750000" customHeight="1">
      <c r="A670" s="166"/>
      <c r="B670" s="155"/>
      <c r="C670" s="166"/>
      <c r="D670" s="166"/>
      <c r="E670" s="155"/>
      <c r="F670" s="155"/>
      <c r="G670" s="155"/>
      <c r="H670" s="155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  <c r="AA670" s="166"/>
      <c r="AB670" s="166"/>
      <c r="AC670" s="166"/>
      <c r="AD670" s="166"/>
      <c r="AE670" s="166"/>
      <c r="AF670" s="166"/>
      <c r="AG670" s="166"/>
    </row>
    <row r="671" spans="1:33" ht="15.750000" customHeight="1">
      <c r="A671" s="166"/>
      <c r="B671" s="155"/>
      <c r="C671" s="166"/>
      <c r="D671" s="166"/>
      <c r="E671" s="155"/>
      <c r="F671" s="155"/>
      <c r="G671" s="155"/>
      <c r="H671" s="155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  <c r="AA671" s="166"/>
      <c r="AB671" s="166"/>
      <c r="AC671" s="166"/>
      <c r="AD671" s="166"/>
      <c r="AE671" s="166"/>
      <c r="AF671" s="166"/>
      <c r="AG671" s="166"/>
    </row>
    <row r="672" spans="1:33" ht="15.750000" customHeight="1">
      <c r="A672" s="166"/>
      <c r="B672" s="155"/>
      <c r="C672" s="166"/>
      <c r="D672" s="166"/>
      <c r="E672" s="155"/>
      <c r="F672" s="155"/>
      <c r="G672" s="155"/>
      <c r="H672" s="155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  <c r="AA672" s="166"/>
      <c r="AB672" s="166"/>
      <c r="AC672" s="166"/>
      <c r="AD672" s="166"/>
      <c r="AE672" s="166"/>
      <c r="AF672" s="166"/>
      <c r="AG672" s="166"/>
    </row>
    <row r="673" spans="1:33" ht="15.750000" customHeight="1">
      <c r="A673" s="166"/>
      <c r="B673" s="155"/>
      <c r="C673" s="166"/>
      <c r="D673" s="166"/>
      <c r="E673" s="155"/>
      <c r="F673" s="155"/>
      <c r="G673" s="155"/>
      <c r="H673" s="155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  <c r="AA673" s="166"/>
      <c r="AB673" s="166"/>
      <c r="AC673" s="166"/>
      <c r="AD673" s="166"/>
      <c r="AE673" s="166"/>
      <c r="AF673" s="166"/>
      <c r="AG673" s="166"/>
    </row>
    <row r="674" spans="1:33" ht="15.750000" customHeight="1">
      <c r="A674" s="166"/>
      <c r="B674" s="155"/>
      <c r="C674" s="166"/>
      <c r="D674" s="166"/>
      <c r="E674" s="155"/>
      <c r="F674" s="155"/>
      <c r="G674" s="155"/>
      <c r="H674" s="155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  <c r="AA674" s="166"/>
      <c r="AB674" s="166"/>
      <c r="AC674" s="166"/>
      <c r="AD674" s="166"/>
      <c r="AE674" s="166"/>
      <c r="AF674" s="166"/>
      <c r="AG674" s="166"/>
    </row>
    <row r="675" spans="1:33" ht="15.750000" customHeight="1">
      <c r="A675" s="166"/>
      <c r="B675" s="155"/>
      <c r="C675" s="166"/>
      <c r="D675" s="166"/>
      <c r="E675" s="155"/>
      <c r="F675" s="155"/>
      <c r="G675" s="155"/>
      <c r="H675" s="155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  <c r="AA675" s="166"/>
      <c r="AB675" s="166"/>
      <c r="AC675" s="166"/>
      <c r="AD675" s="166"/>
      <c r="AE675" s="166"/>
      <c r="AF675" s="166"/>
      <c r="AG675" s="166"/>
    </row>
    <row r="676" spans="1:33" ht="15.750000" customHeight="1">
      <c r="A676" s="166"/>
      <c r="B676" s="155"/>
      <c r="C676" s="166"/>
      <c r="D676" s="166"/>
      <c r="E676" s="155"/>
      <c r="F676" s="155"/>
      <c r="G676" s="155"/>
      <c r="H676" s="155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  <c r="AA676" s="166"/>
      <c r="AB676" s="166"/>
      <c r="AC676" s="166"/>
      <c r="AD676" s="166"/>
      <c r="AE676" s="166"/>
      <c r="AF676" s="166"/>
      <c r="AG676" s="166"/>
    </row>
    <row r="677" spans="1:33" ht="15.750000" customHeight="1">
      <c r="A677" s="166"/>
      <c r="B677" s="155"/>
      <c r="C677" s="166"/>
      <c r="D677" s="166"/>
      <c r="E677" s="155"/>
      <c r="F677" s="155"/>
      <c r="G677" s="155"/>
      <c r="H677" s="155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  <c r="AA677" s="166"/>
      <c r="AB677" s="166"/>
      <c r="AC677" s="166"/>
      <c r="AD677" s="166"/>
      <c r="AE677" s="166"/>
      <c r="AF677" s="166"/>
      <c r="AG677" s="166"/>
    </row>
    <row r="678" spans="1:33" ht="15.750000" customHeight="1">
      <c r="A678" s="166"/>
      <c r="B678" s="155"/>
      <c r="C678" s="166"/>
      <c r="D678" s="166"/>
      <c r="E678" s="155"/>
      <c r="F678" s="155"/>
      <c r="G678" s="155"/>
      <c r="H678" s="155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  <c r="AA678" s="166"/>
      <c r="AB678" s="166"/>
      <c r="AC678" s="166"/>
      <c r="AD678" s="166"/>
      <c r="AE678" s="166"/>
      <c r="AF678" s="166"/>
      <c r="AG678" s="166"/>
    </row>
    <row r="679" spans="1:33" ht="15.750000" customHeight="1">
      <c r="A679" s="166"/>
      <c r="B679" s="155"/>
      <c r="C679" s="166"/>
      <c r="D679" s="166"/>
      <c r="E679" s="155"/>
      <c r="F679" s="155"/>
      <c r="G679" s="155"/>
      <c r="H679" s="155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  <c r="AA679" s="166"/>
      <c r="AB679" s="166"/>
      <c r="AC679" s="166"/>
      <c r="AD679" s="166"/>
      <c r="AE679" s="166"/>
      <c r="AF679" s="166"/>
      <c r="AG679" s="166"/>
    </row>
    <row r="680" spans="1:33" ht="15.750000" customHeight="1">
      <c r="A680" s="166"/>
      <c r="B680" s="155"/>
      <c r="C680" s="166"/>
      <c r="D680" s="166"/>
      <c r="E680" s="155"/>
      <c r="F680" s="155"/>
      <c r="G680" s="155"/>
      <c r="H680" s="155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  <c r="AA680" s="166"/>
      <c r="AB680" s="166"/>
      <c r="AC680" s="166"/>
      <c r="AD680" s="166"/>
      <c r="AE680" s="166"/>
      <c r="AF680" s="166"/>
      <c r="AG680" s="166"/>
    </row>
    <row r="681" spans="1:33" ht="15.750000" customHeight="1">
      <c r="A681" s="166"/>
      <c r="B681" s="155"/>
      <c r="C681" s="166"/>
      <c r="D681" s="166"/>
      <c r="E681" s="155"/>
      <c r="F681" s="155"/>
      <c r="G681" s="155"/>
      <c r="H681" s="155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  <c r="AA681" s="166"/>
      <c r="AB681" s="166"/>
      <c r="AC681" s="166"/>
      <c r="AD681" s="166"/>
      <c r="AE681" s="166"/>
      <c r="AF681" s="166"/>
      <c r="AG681" s="166"/>
    </row>
    <row r="682" spans="1:33" ht="15.750000" customHeight="1">
      <c r="A682" s="166"/>
      <c r="B682" s="155"/>
      <c r="C682" s="166"/>
      <c r="D682" s="166"/>
      <c r="E682" s="155"/>
      <c r="F682" s="155"/>
      <c r="G682" s="155"/>
      <c r="H682" s="155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  <c r="AA682" s="166"/>
      <c r="AB682" s="166"/>
      <c r="AC682" s="166"/>
      <c r="AD682" s="166"/>
      <c r="AE682" s="166"/>
      <c r="AF682" s="166"/>
      <c r="AG682" s="166"/>
    </row>
    <row r="683" spans="1:33" ht="15.750000" customHeight="1">
      <c r="A683" s="166"/>
      <c r="B683" s="155"/>
      <c r="C683" s="166"/>
      <c r="D683" s="166"/>
      <c r="E683" s="155"/>
      <c r="F683" s="155"/>
      <c r="G683" s="155"/>
      <c r="H683" s="155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  <c r="AA683" s="166"/>
      <c r="AB683" s="166"/>
      <c r="AC683" s="166"/>
      <c r="AD683" s="166"/>
      <c r="AE683" s="166"/>
      <c r="AF683" s="166"/>
      <c r="AG683" s="166"/>
    </row>
    <row r="684" spans="1:33" ht="15.750000" customHeight="1">
      <c r="A684" s="166"/>
      <c r="B684" s="155"/>
      <c r="C684" s="166"/>
      <c r="D684" s="166"/>
      <c r="E684" s="155"/>
      <c r="F684" s="155"/>
      <c r="G684" s="155"/>
      <c r="H684" s="155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  <c r="AA684" s="166"/>
      <c r="AB684" s="166"/>
      <c r="AC684" s="166"/>
      <c r="AD684" s="166"/>
      <c r="AE684" s="166"/>
      <c r="AF684" s="166"/>
      <c r="AG684" s="166"/>
    </row>
    <row r="685" spans="1:33" ht="15.750000" customHeight="1">
      <c r="A685" s="166"/>
      <c r="B685" s="155"/>
      <c r="C685" s="166"/>
      <c r="D685" s="166"/>
      <c r="E685" s="155"/>
      <c r="F685" s="155"/>
      <c r="G685" s="155"/>
      <c r="H685" s="155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  <c r="AA685" s="166"/>
      <c r="AB685" s="166"/>
      <c r="AC685" s="166"/>
      <c r="AD685" s="166"/>
      <c r="AE685" s="166"/>
      <c r="AF685" s="166"/>
      <c r="AG685" s="166"/>
    </row>
    <row r="686" spans="1:33" ht="15.750000" customHeight="1">
      <c r="A686" s="166"/>
      <c r="B686" s="155"/>
      <c r="C686" s="166"/>
      <c r="D686" s="166"/>
      <c r="E686" s="155"/>
      <c r="F686" s="155"/>
      <c r="G686" s="155"/>
      <c r="H686" s="155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  <c r="AA686" s="166"/>
      <c r="AB686" s="166"/>
      <c r="AC686" s="166"/>
      <c r="AD686" s="166"/>
      <c r="AE686" s="166"/>
      <c r="AF686" s="166"/>
      <c r="AG686" s="166"/>
    </row>
    <row r="687" spans="1:33" ht="15.750000" customHeight="1">
      <c r="A687" s="166"/>
      <c r="B687" s="155"/>
      <c r="C687" s="166"/>
      <c r="D687" s="166"/>
      <c r="E687" s="155"/>
      <c r="F687" s="155"/>
      <c r="G687" s="155"/>
      <c r="H687" s="155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  <c r="AA687" s="166"/>
      <c r="AB687" s="166"/>
      <c r="AC687" s="166"/>
      <c r="AD687" s="166"/>
      <c r="AE687" s="166"/>
      <c r="AF687" s="166"/>
      <c r="AG687" s="166"/>
    </row>
    <row r="688" spans="1:33" ht="15.750000" customHeight="1">
      <c r="A688" s="166"/>
      <c r="B688" s="155"/>
      <c r="C688" s="166"/>
      <c r="D688" s="166"/>
      <c r="E688" s="155"/>
      <c r="F688" s="155"/>
      <c r="G688" s="155"/>
      <c r="H688" s="155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  <c r="AA688" s="166"/>
      <c r="AB688" s="166"/>
      <c r="AC688" s="166"/>
      <c r="AD688" s="166"/>
      <c r="AE688" s="166"/>
      <c r="AF688" s="166"/>
      <c r="AG688" s="166"/>
    </row>
    <row r="689" spans="1:33" ht="15.750000" customHeight="1">
      <c r="A689" s="166"/>
      <c r="B689" s="155"/>
      <c r="C689" s="166"/>
      <c r="D689" s="166"/>
      <c r="E689" s="155"/>
      <c r="F689" s="155"/>
      <c r="G689" s="155"/>
      <c r="H689" s="155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  <c r="AA689" s="166"/>
      <c r="AB689" s="166"/>
      <c r="AC689" s="166"/>
      <c r="AD689" s="166"/>
      <c r="AE689" s="166"/>
      <c r="AF689" s="166"/>
      <c r="AG689" s="166"/>
    </row>
    <row r="690" spans="1:33" ht="15.750000" customHeight="1">
      <c r="A690" s="166"/>
      <c r="B690" s="155"/>
      <c r="C690" s="166"/>
      <c r="D690" s="166"/>
      <c r="E690" s="155"/>
      <c r="F690" s="155"/>
      <c r="G690" s="155"/>
      <c r="H690" s="155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  <c r="AA690" s="166"/>
      <c r="AB690" s="166"/>
      <c r="AC690" s="166"/>
      <c r="AD690" s="166"/>
      <c r="AE690" s="166"/>
      <c r="AF690" s="166"/>
      <c r="AG690" s="166"/>
    </row>
    <row r="691" spans="1:33" ht="15.750000" customHeight="1">
      <c r="A691" s="166"/>
      <c r="B691" s="155"/>
      <c r="C691" s="166"/>
      <c r="D691" s="166"/>
      <c r="E691" s="155"/>
      <c r="F691" s="155"/>
      <c r="G691" s="155"/>
      <c r="H691" s="155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  <c r="AA691" s="166"/>
      <c r="AB691" s="166"/>
      <c r="AC691" s="166"/>
      <c r="AD691" s="166"/>
      <c r="AE691" s="166"/>
      <c r="AF691" s="166"/>
      <c r="AG691" s="166"/>
    </row>
    <row r="692" spans="1:33" ht="15.750000" customHeight="1">
      <c r="A692" s="166"/>
      <c r="B692" s="155"/>
      <c r="C692" s="166"/>
      <c r="D692" s="166"/>
      <c r="E692" s="155"/>
      <c r="F692" s="155"/>
      <c r="G692" s="155"/>
      <c r="H692" s="155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  <c r="AA692" s="166"/>
      <c r="AB692" s="166"/>
      <c r="AC692" s="166"/>
      <c r="AD692" s="166"/>
      <c r="AE692" s="166"/>
      <c r="AF692" s="166"/>
      <c r="AG692" s="166"/>
    </row>
    <row r="693" spans="1:33" ht="15.750000" customHeight="1">
      <c r="A693" s="166"/>
      <c r="B693" s="155"/>
      <c r="C693" s="166"/>
      <c r="D693" s="166"/>
      <c r="E693" s="155"/>
      <c r="F693" s="155"/>
      <c r="G693" s="155"/>
      <c r="H693" s="155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  <c r="AA693" s="166"/>
      <c r="AB693" s="166"/>
      <c r="AC693" s="166"/>
      <c r="AD693" s="166"/>
      <c r="AE693" s="166"/>
      <c r="AF693" s="166"/>
      <c r="AG693" s="166"/>
    </row>
    <row r="694" spans="1:33" ht="15.750000" customHeight="1">
      <c r="A694" s="166"/>
      <c r="B694" s="155"/>
      <c r="C694" s="166"/>
      <c r="D694" s="166"/>
      <c r="E694" s="155"/>
      <c r="F694" s="155"/>
      <c r="G694" s="155"/>
      <c r="H694" s="155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  <c r="AA694" s="166"/>
      <c r="AB694" s="166"/>
      <c r="AC694" s="166"/>
      <c r="AD694" s="166"/>
      <c r="AE694" s="166"/>
      <c r="AF694" s="166"/>
      <c r="AG694" s="166"/>
    </row>
    <row r="695" spans="1:33" ht="15.750000" customHeight="1">
      <c r="A695" s="166"/>
      <c r="B695" s="155"/>
      <c r="C695" s="166"/>
      <c r="D695" s="166"/>
      <c r="E695" s="155"/>
      <c r="F695" s="155"/>
      <c r="G695" s="155"/>
      <c r="H695" s="155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  <c r="AA695" s="166"/>
      <c r="AB695" s="166"/>
      <c r="AC695" s="166"/>
      <c r="AD695" s="166"/>
      <c r="AE695" s="166"/>
      <c r="AF695" s="166"/>
      <c r="AG695" s="166"/>
    </row>
    <row r="696" spans="1:33" ht="15.750000" customHeight="1">
      <c r="A696" s="166"/>
      <c r="B696" s="155"/>
      <c r="C696" s="166"/>
      <c r="D696" s="166"/>
      <c r="E696" s="155"/>
      <c r="F696" s="155"/>
      <c r="G696" s="155"/>
      <c r="H696" s="155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  <c r="AA696" s="166"/>
      <c r="AB696" s="166"/>
      <c r="AC696" s="166"/>
      <c r="AD696" s="166"/>
      <c r="AE696" s="166"/>
      <c r="AF696" s="166"/>
      <c r="AG696" s="166"/>
    </row>
    <row r="697" spans="1:33" ht="15.750000" customHeight="1">
      <c r="A697" s="166"/>
      <c r="B697" s="155"/>
      <c r="C697" s="166"/>
      <c r="D697" s="166"/>
      <c r="E697" s="155"/>
      <c r="F697" s="155"/>
      <c r="G697" s="155"/>
      <c r="H697" s="155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  <c r="AA697" s="166"/>
      <c r="AB697" s="166"/>
      <c r="AC697" s="166"/>
      <c r="AD697" s="166"/>
      <c r="AE697" s="166"/>
      <c r="AF697" s="166"/>
      <c r="AG697" s="166"/>
    </row>
    <row r="698" spans="1:33" ht="15.750000" customHeight="1">
      <c r="A698" s="166"/>
      <c r="B698" s="155"/>
      <c r="C698" s="166"/>
      <c r="D698" s="166"/>
      <c r="E698" s="155"/>
      <c r="F698" s="155"/>
      <c r="G698" s="155"/>
      <c r="H698" s="155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  <c r="AA698" s="166"/>
      <c r="AB698" s="166"/>
      <c r="AC698" s="166"/>
      <c r="AD698" s="166"/>
      <c r="AE698" s="166"/>
      <c r="AF698" s="166"/>
      <c r="AG698" s="166"/>
    </row>
    <row r="699" spans="1:33" ht="15.750000" customHeight="1">
      <c r="A699" s="166"/>
      <c r="B699" s="155"/>
      <c r="C699" s="166"/>
      <c r="D699" s="166"/>
      <c r="E699" s="155"/>
      <c r="F699" s="155"/>
      <c r="G699" s="155"/>
      <c r="H699" s="155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  <c r="AA699" s="166"/>
      <c r="AB699" s="166"/>
      <c r="AC699" s="166"/>
      <c r="AD699" s="166"/>
      <c r="AE699" s="166"/>
      <c r="AF699" s="166"/>
      <c r="AG699" s="166"/>
    </row>
    <row r="700" spans="1:33" ht="15.750000" customHeight="1">
      <c r="A700" s="166"/>
      <c r="B700" s="155"/>
      <c r="C700" s="166"/>
      <c r="D700" s="166"/>
      <c r="E700" s="155"/>
      <c r="F700" s="155"/>
      <c r="G700" s="155"/>
      <c r="H700" s="155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  <c r="AA700" s="166"/>
      <c r="AB700" s="166"/>
      <c r="AC700" s="166"/>
      <c r="AD700" s="166"/>
      <c r="AE700" s="166"/>
      <c r="AF700" s="166"/>
      <c r="AG700" s="166"/>
    </row>
    <row r="701" spans="1:33" ht="15.750000" customHeight="1">
      <c r="A701" s="166"/>
      <c r="B701" s="155"/>
      <c r="C701" s="166"/>
      <c r="D701" s="166"/>
      <c r="E701" s="155"/>
      <c r="F701" s="155"/>
      <c r="G701" s="155"/>
      <c r="H701" s="155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  <c r="AA701" s="166"/>
      <c r="AB701" s="166"/>
      <c r="AC701" s="166"/>
      <c r="AD701" s="166"/>
      <c r="AE701" s="166"/>
      <c r="AF701" s="166"/>
      <c r="AG701" s="166"/>
    </row>
    <row r="702" spans="1:33" ht="15.750000" customHeight="1">
      <c r="A702" s="166"/>
      <c r="B702" s="155"/>
      <c r="C702" s="166"/>
      <c r="D702" s="166"/>
      <c r="E702" s="155"/>
      <c r="F702" s="155"/>
      <c r="G702" s="155"/>
      <c r="H702" s="155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  <c r="AA702" s="166"/>
      <c r="AB702" s="166"/>
      <c r="AC702" s="166"/>
      <c r="AD702" s="166"/>
      <c r="AE702" s="166"/>
      <c r="AF702" s="166"/>
      <c r="AG702" s="166"/>
    </row>
    <row r="703" spans="1:33" ht="15.750000" customHeight="1">
      <c r="A703" s="166"/>
      <c r="B703" s="155"/>
      <c r="C703" s="166"/>
      <c r="D703" s="166"/>
      <c r="E703" s="155"/>
      <c r="F703" s="155"/>
      <c r="G703" s="155"/>
      <c r="H703" s="155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  <c r="AA703" s="166"/>
      <c r="AB703" s="166"/>
      <c r="AC703" s="166"/>
      <c r="AD703" s="166"/>
      <c r="AE703" s="166"/>
      <c r="AF703" s="166"/>
      <c r="AG703" s="166"/>
    </row>
    <row r="704" spans="1:33" ht="15.750000" customHeight="1">
      <c r="A704" s="166"/>
      <c r="B704" s="155"/>
      <c r="C704" s="166"/>
      <c r="D704" s="166"/>
      <c r="E704" s="155"/>
      <c r="F704" s="155"/>
      <c r="G704" s="155"/>
      <c r="H704" s="155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  <c r="AA704" s="166"/>
      <c r="AB704" s="166"/>
      <c r="AC704" s="166"/>
      <c r="AD704" s="166"/>
      <c r="AE704" s="166"/>
      <c r="AF704" s="166"/>
      <c r="AG704" s="166"/>
    </row>
    <row r="705" spans="1:33" ht="15.750000" customHeight="1">
      <c r="A705" s="166"/>
      <c r="B705" s="155"/>
      <c r="C705" s="166"/>
      <c r="D705" s="166"/>
      <c r="E705" s="155"/>
      <c r="F705" s="155"/>
      <c r="G705" s="155"/>
      <c r="H705" s="155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  <c r="AA705" s="166"/>
      <c r="AB705" s="166"/>
      <c r="AC705" s="166"/>
      <c r="AD705" s="166"/>
      <c r="AE705" s="166"/>
      <c r="AF705" s="166"/>
      <c r="AG705" s="166"/>
    </row>
    <row r="706" spans="1:33" ht="15.750000" customHeight="1">
      <c r="A706" s="166"/>
      <c r="B706" s="155"/>
      <c r="C706" s="166"/>
      <c r="D706" s="166"/>
      <c r="E706" s="155"/>
      <c r="F706" s="155"/>
      <c r="G706" s="155"/>
      <c r="H706" s="155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  <c r="AA706" s="166"/>
      <c r="AB706" s="166"/>
      <c r="AC706" s="166"/>
      <c r="AD706" s="166"/>
      <c r="AE706" s="166"/>
      <c r="AF706" s="166"/>
      <c r="AG706" s="166"/>
    </row>
    <row r="707" spans="1:33" ht="15.750000" customHeight="1">
      <c r="A707" s="166"/>
      <c r="B707" s="155"/>
      <c r="C707" s="166"/>
      <c r="D707" s="166"/>
      <c r="E707" s="155"/>
      <c r="F707" s="155"/>
      <c r="G707" s="155"/>
      <c r="H707" s="155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  <c r="AA707" s="166"/>
      <c r="AB707" s="166"/>
      <c r="AC707" s="166"/>
      <c r="AD707" s="166"/>
      <c r="AE707" s="166"/>
      <c r="AF707" s="166"/>
      <c r="AG707" s="166"/>
    </row>
    <row r="708" spans="1:33" ht="15.750000" customHeight="1">
      <c r="A708" s="166"/>
      <c r="B708" s="155"/>
      <c r="C708" s="166"/>
      <c r="D708" s="166"/>
      <c r="E708" s="155"/>
      <c r="F708" s="155"/>
      <c r="G708" s="155"/>
      <c r="H708" s="155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  <c r="AA708" s="166"/>
      <c r="AB708" s="166"/>
      <c r="AC708" s="166"/>
      <c r="AD708" s="166"/>
      <c r="AE708" s="166"/>
      <c r="AF708" s="166"/>
      <c r="AG708" s="166"/>
    </row>
    <row r="709" spans="1:33" ht="15.750000" customHeight="1">
      <c r="A709" s="166"/>
      <c r="B709" s="155"/>
      <c r="C709" s="166"/>
      <c r="D709" s="166"/>
      <c r="E709" s="155"/>
      <c r="F709" s="155"/>
      <c r="G709" s="155"/>
      <c r="H709" s="155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  <c r="AA709" s="166"/>
      <c r="AB709" s="166"/>
      <c r="AC709" s="166"/>
      <c r="AD709" s="166"/>
      <c r="AE709" s="166"/>
      <c r="AF709" s="166"/>
      <c r="AG709" s="166"/>
    </row>
    <row r="710" spans="1:33" ht="15.750000" customHeight="1">
      <c r="A710" s="166"/>
      <c r="B710" s="155"/>
      <c r="C710" s="166"/>
      <c r="D710" s="166"/>
      <c r="E710" s="155"/>
      <c r="F710" s="155"/>
      <c r="G710" s="155"/>
      <c r="H710" s="155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  <c r="AA710" s="166"/>
      <c r="AB710" s="166"/>
      <c r="AC710" s="166"/>
      <c r="AD710" s="166"/>
      <c r="AE710" s="166"/>
      <c r="AF710" s="166"/>
      <c r="AG710" s="166"/>
    </row>
    <row r="711" spans="1:33" ht="15.750000" customHeight="1">
      <c r="A711" s="166"/>
      <c r="B711" s="155"/>
      <c r="C711" s="166"/>
      <c r="D711" s="166"/>
      <c r="E711" s="155"/>
      <c r="F711" s="155"/>
      <c r="G711" s="155"/>
      <c r="H711" s="155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  <c r="AA711" s="166"/>
      <c r="AB711" s="166"/>
      <c r="AC711" s="166"/>
      <c r="AD711" s="166"/>
      <c r="AE711" s="166"/>
      <c r="AF711" s="166"/>
      <c r="AG711" s="166"/>
    </row>
    <row r="712" spans="1:33" ht="15.750000" customHeight="1">
      <c r="A712" s="166"/>
      <c r="B712" s="155"/>
      <c r="C712" s="166"/>
      <c r="D712" s="166"/>
      <c r="E712" s="155"/>
      <c r="F712" s="155"/>
      <c r="G712" s="155"/>
      <c r="H712" s="155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  <c r="AA712" s="166"/>
      <c r="AB712" s="166"/>
      <c r="AC712" s="166"/>
      <c r="AD712" s="166"/>
      <c r="AE712" s="166"/>
      <c r="AF712" s="166"/>
      <c r="AG712" s="166"/>
    </row>
    <row r="713" spans="1:33" ht="15.750000" customHeight="1">
      <c r="A713" s="166"/>
      <c r="B713" s="155"/>
      <c r="C713" s="166"/>
      <c r="D713" s="166"/>
      <c r="E713" s="155"/>
      <c r="F713" s="155"/>
      <c r="G713" s="155"/>
      <c r="H713" s="155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  <c r="AA713" s="166"/>
      <c r="AB713" s="166"/>
      <c r="AC713" s="166"/>
      <c r="AD713" s="166"/>
      <c r="AE713" s="166"/>
      <c r="AF713" s="166"/>
      <c r="AG713" s="166"/>
    </row>
    <row r="714" spans="1:33" ht="15.750000" customHeight="1">
      <c r="A714" s="166"/>
      <c r="B714" s="155"/>
      <c r="C714" s="166"/>
      <c r="D714" s="166"/>
      <c r="E714" s="155"/>
      <c r="F714" s="155"/>
      <c r="G714" s="155"/>
      <c r="H714" s="155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  <c r="AA714" s="166"/>
      <c r="AB714" s="166"/>
      <c r="AC714" s="166"/>
      <c r="AD714" s="166"/>
      <c r="AE714" s="166"/>
      <c r="AF714" s="166"/>
      <c r="AG714" s="166"/>
    </row>
    <row r="715" spans="1:33" ht="15.750000" customHeight="1">
      <c r="A715" s="166"/>
      <c r="B715" s="155"/>
      <c r="C715" s="166"/>
      <c r="D715" s="166"/>
      <c r="E715" s="155"/>
      <c r="F715" s="155"/>
      <c r="G715" s="155"/>
      <c r="H715" s="155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  <c r="AA715" s="166"/>
      <c r="AB715" s="166"/>
      <c r="AC715" s="166"/>
      <c r="AD715" s="166"/>
      <c r="AE715" s="166"/>
      <c r="AF715" s="166"/>
      <c r="AG715" s="166"/>
    </row>
    <row r="716" spans="1:33" ht="15.750000" customHeight="1">
      <c r="A716" s="166"/>
      <c r="B716" s="155"/>
      <c r="C716" s="166"/>
      <c r="D716" s="166"/>
      <c r="E716" s="155"/>
      <c r="F716" s="155"/>
      <c r="G716" s="155"/>
      <c r="H716" s="155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  <c r="AA716" s="166"/>
      <c r="AB716" s="166"/>
      <c r="AC716" s="166"/>
      <c r="AD716" s="166"/>
      <c r="AE716" s="166"/>
      <c r="AF716" s="166"/>
      <c r="AG716" s="166"/>
    </row>
    <row r="717" spans="1:33" ht="15.750000" customHeight="1">
      <c r="A717" s="166"/>
      <c r="B717" s="155"/>
      <c r="C717" s="166"/>
      <c r="D717" s="166"/>
      <c r="E717" s="155"/>
      <c r="F717" s="155"/>
      <c r="G717" s="155"/>
      <c r="H717" s="155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  <c r="AA717" s="166"/>
      <c r="AB717" s="166"/>
      <c r="AC717" s="166"/>
      <c r="AD717" s="166"/>
      <c r="AE717" s="166"/>
      <c r="AF717" s="166"/>
      <c r="AG717" s="166"/>
    </row>
    <row r="718" spans="1:33" ht="15.750000" customHeight="1">
      <c r="A718" s="166"/>
      <c r="B718" s="155"/>
      <c r="C718" s="166"/>
      <c r="D718" s="166"/>
      <c r="E718" s="155"/>
      <c r="F718" s="155"/>
      <c r="G718" s="155"/>
      <c r="H718" s="155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  <c r="AA718" s="166"/>
      <c r="AB718" s="166"/>
      <c r="AC718" s="166"/>
      <c r="AD718" s="166"/>
      <c r="AE718" s="166"/>
      <c r="AF718" s="166"/>
      <c r="AG718" s="166"/>
    </row>
    <row r="719" spans="1:33" ht="15.750000" customHeight="1">
      <c r="A719" s="166"/>
      <c r="B719" s="155"/>
      <c r="C719" s="166"/>
      <c r="D719" s="166"/>
      <c r="E719" s="155"/>
      <c r="F719" s="155"/>
      <c r="G719" s="155"/>
      <c r="H719" s="155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  <c r="AA719" s="166"/>
      <c r="AB719" s="166"/>
      <c r="AC719" s="166"/>
      <c r="AD719" s="166"/>
      <c r="AE719" s="166"/>
      <c r="AF719" s="166"/>
      <c r="AG719" s="166"/>
    </row>
    <row r="720" spans="1:33" ht="15.750000" customHeight="1">
      <c r="A720" s="166"/>
      <c r="B720" s="155"/>
      <c r="C720" s="166"/>
      <c r="D720" s="166"/>
      <c r="E720" s="155"/>
      <c r="F720" s="155"/>
      <c r="G720" s="155"/>
      <c r="H720" s="155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  <c r="AA720" s="166"/>
      <c r="AB720" s="166"/>
      <c r="AC720" s="166"/>
      <c r="AD720" s="166"/>
      <c r="AE720" s="166"/>
      <c r="AF720" s="166"/>
      <c r="AG720" s="166"/>
    </row>
    <row r="721" spans="1:33" ht="15.750000" customHeight="1">
      <c r="A721" s="166"/>
      <c r="B721" s="155"/>
      <c r="C721" s="166"/>
      <c r="D721" s="166"/>
      <c r="E721" s="155"/>
      <c r="F721" s="155"/>
      <c r="G721" s="155"/>
      <c r="H721" s="155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  <c r="AA721" s="166"/>
      <c r="AB721" s="166"/>
      <c r="AC721" s="166"/>
      <c r="AD721" s="166"/>
      <c r="AE721" s="166"/>
      <c r="AF721" s="166"/>
      <c r="AG721" s="166"/>
    </row>
    <row r="722" spans="1:33" ht="15.750000" customHeight="1">
      <c r="A722" s="166"/>
      <c r="B722" s="155"/>
      <c r="C722" s="166"/>
      <c r="D722" s="166"/>
      <c r="E722" s="155"/>
      <c r="F722" s="155"/>
      <c r="G722" s="155"/>
      <c r="H722" s="155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  <c r="AA722" s="166"/>
      <c r="AB722" s="166"/>
      <c r="AC722" s="166"/>
      <c r="AD722" s="166"/>
      <c r="AE722" s="166"/>
      <c r="AF722" s="166"/>
      <c r="AG722" s="166"/>
    </row>
    <row r="723" spans="1:33" ht="15.750000" customHeight="1">
      <c r="A723" s="166"/>
      <c r="B723" s="155"/>
      <c r="C723" s="166"/>
      <c r="D723" s="166"/>
      <c r="E723" s="155"/>
      <c r="F723" s="155"/>
      <c r="G723" s="155"/>
      <c r="H723" s="155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  <c r="AA723" s="166"/>
      <c r="AB723" s="166"/>
      <c r="AC723" s="166"/>
      <c r="AD723" s="166"/>
      <c r="AE723" s="166"/>
      <c r="AF723" s="166"/>
      <c r="AG723" s="166"/>
    </row>
    <row r="724" spans="1:33" ht="15.750000" customHeight="1">
      <c r="A724" s="166"/>
      <c r="B724" s="155"/>
      <c r="C724" s="166"/>
      <c r="D724" s="166"/>
      <c r="E724" s="155"/>
      <c r="F724" s="155"/>
      <c r="G724" s="155"/>
      <c r="H724" s="155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  <c r="AA724" s="166"/>
      <c r="AB724" s="166"/>
      <c r="AC724" s="166"/>
      <c r="AD724" s="166"/>
      <c r="AE724" s="166"/>
      <c r="AF724" s="166"/>
      <c r="AG724" s="166"/>
    </row>
    <row r="725" spans="1:33" ht="15.750000" customHeight="1">
      <c r="A725" s="166"/>
      <c r="B725" s="155"/>
      <c r="C725" s="166"/>
      <c r="D725" s="166"/>
      <c r="E725" s="155"/>
      <c r="F725" s="155"/>
      <c r="G725" s="155"/>
      <c r="H725" s="155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  <c r="AA725" s="166"/>
      <c r="AB725" s="166"/>
      <c r="AC725" s="166"/>
      <c r="AD725" s="166"/>
      <c r="AE725" s="166"/>
      <c r="AF725" s="166"/>
      <c r="AG725" s="166"/>
    </row>
    <row r="726" spans="1:33" ht="15.750000" customHeight="1">
      <c r="A726" s="166"/>
      <c r="B726" s="155"/>
      <c r="C726" s="166"/>
      <c r="D726" s="166"/>
      <c r="E726" s="155"/>
      <c r="F726" s="155"/>
      <c r="G726" s="155"/>
      <c r="H726" s="155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  <c r="AA726" s="166"/>
      <c r="AB726" s="166"/>
      <c r="AC726" s="166"/>
      <c r="AD726" s="166"/>
      <c r="AE726" s="166"/>
      <c r="AF726" s="166"/>
      <c r="AG726" s="166"/>
    </row>
    <row r="727" spans="1:33" ht="15.750000" customHeight="1">
      <c r="A727" s="166"/>
      <c r="B727" s="155"/>
      <c r="C727" s="166"/>
      <c r="D727" s="166"/>
      <c r="E727" s="155"/>
      <c r="F727" s="155"/>
      <c r="G727" s="155"/>
      <c r="H727" s="155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  <c r="AA727" s="166"/>
      <c r="AB727" s="166"/>
      <c r="AC727" s="166"/>
      <c r="AD727" s="166"/>
      <c r="AE727" s="166"/>
      <c r="AF727" s="166"/>
      <c r="AG727" s="166"/>
    </row>
    <row r="728" spans="1:33" ht="15.750000" customHeight="1">
      <c r="A728" s="166"/>
      <c r="B728" s="155"/>
      <c r="C728" s="166"/>
      <c r="D728" s="166"/>
      <c r="E728" s="155"/>
      <c r="F728" s="155"/>
      <c r="G728" s="155"/>
      <c r="H728" s="155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  <c r="AA728" s="166"/>
      <c r="AB728" s="166"/>
      <c r="AC728" s="166"/>
      <c r="AD728" s="166"/>
      <c r="AE728" s="166"/>
      <c r="AF728" s="166"/>
      <c r="AG728" s="166"/>
    </row>
    <row r="729" spans="1:33" ht="15.750000" customHeight="1">
      <c r="A729" s="166"/>
      <c r="B729" s="155"/>
      <c r="C729" s="166"/>
      <c r="D729" s="166"/>
      <c r="E729" s="155"/>
      <c r="F729" s="155"/>
      <c r="G729" s="155"/>
      <c r="H729" s="155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  <c r="AA729" s="166"/>
      <c r="AB729" s="166"/>
      <c r="AC729" s="166"/>
      <c r="AD729" s="166"/>
      <c r="AE729" s="166"/>
      <c r="AF729" s="166"/>
      <c r="AG729" s="166"/>
    </row>
    <row r="730" spans="1:33" ht="15.750000" customHeight="1">
      <c r="A730" s="166"/>
      <c r="B730" s="155"/>
      <c r="C730" s="166"/>
      <c r="D730" s="166"/>
      <c r="E730" s="155"/>
      <c r="F730" s="155"/>
      <c r="G730" s="155"/>
      <c r="H730" s="155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  <c r="AA730" s="166"/>
      <c r="AB730" s="166"/>
      <c r="AC730" s="166"/>
      <c r="AD730" s="166"/>
      <c r="AE730" s="166"/>
      <c r="AF730" s="166"/>
      <c r="AG730" s="166"/>
    </row>
    <row r="731" spans="1:33" ht="15.750000" customHeight="1">
      <c r="A731" s="166"/>
      <c r="B731" s="155"/>
      <c r="C731" s="166"/>
      <c r="D731" s="166"/>
      <c r="E731" s="155"/>
      <c r="F731" s="155"/>
      <c r="G731" s="155"/>
      <c r="H731" s="155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  <c r="AA731" s="166"/>
      <c r="AB731" s="166"/>
      <c r="AC731" s="166"/>
      <c r="AD731" s="166"/>
      <c r="AE731" s="166"/>
      <c r="AF731" s="166"/>
      <c r="AG731" s="166"/>
    </row>
    <row r="732" spans="1:33" ht="15.750000" customHeight="1">
      <c r="A732" s="166"/>
      <c r="B732" s="155"/>
      <c r="C732" s="166"/>
      <c r="D732" s="166"/>
      <c r="E732" s="155"/>
      <c r="F732" s="155"/>
      <c r="G732" s="155"/>
      <c r="H732" s="155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  <c r="AA732" s="166"/>
      <c r="AB732" s="166"/>
      <c r="AC732" s="166"/>
      <c r="AD732" s="166"/>
      <c r="AE732" s="166"/>
      <c r="AF732" s="166"/>
      <c r="AG732" s="166"/>
    </row>
    <row r="733" spans="1:33" ht="15.750000" customHeight="1">
      <c r="A733" s="166"/>
      <c r="B733" s="155"/>
      <c r="C733" s="166"/>
      <c r="D733" s="166"/>
      <c r="E733" s="155"/>
      <c r="F733" s="155"/>
      <c r="G733" s="155"/>
      <c r="H733" s="155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  <c r="AA733" s="166"/>
      <c r="AB733" s="166"/>
      <c r="AC733" s="166"/>
      <c r="AD733" s="166"/>
      <c r="AE733" s="166"/>
      <c r="AF733" s="166"/>
      <c r="AG733" s="166"/>
    </row>
    <row r="734" spans="1:33" ht="15.750000" customHeight="1">
      <c r="A734" s="166"/>
      <c r="B734" s="155"/>
      <c r="C734" s="166"/>
      <c r="D734" s="166"/>
      <c r="E734" s="155"/>
      <c r="F734" s="155"/>
      <c r="G734" s="155"/>
      <c r="H734" s="155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  <c r="AA734" s="166"/>
      <c r="AB734" s="166"/>
      <c r="AC734" s="166"/>
      <c r="AD734" s="166"/>
      <c r="AE734" s="166"/>
      <c r="AF734" s="166"/>
      <c r="AG734" s="166"/>
    </row>
    <row r="735" spans="1:33" ht="15.750000" customHeight="1">
      <c r="A735" s="166"/>
      <c r="B735" s="155"/>
      <c r="C735" s="166"/>
      <c r="D735" s="166"/>
      <c r="E735" s="155"/>
      <c r="F735" s="155"/>
      <c r="G735" s="155"/>
      <c r="H735" s="155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  <c r="AA735" s="166"/>
      <c r="AB735" s="166"/>
      <c r="AC735" s="166"/>
      <c r="AD735" s="166"/>
      <c r="AE735" s="166"/>
      <c r="AF735" s="166"/>
      <c r="AG735" s="166"/>
    </row>
    <row r="736" spans="1:33" ht="15.750000" customHeight="1">
      <c r="A736" s="166"/>
      <c r="B736" s="155"/>
      <c r="C736" s="166"/>
      <c r="D736" s="166"/>
      <c r="E736" s="155"/>
      <c r="F736" s="155"/>
      <c r="G736" s="155"/>
      <c r="H736" s="155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  <c r="AA736" s="166"/>
      <c r="AB736" s="166"/>
      <c r="AC736" s="166"/>
      <c r="AD736" s="166"/>
      <c r="AE736" s="166"/>
      <c r="AF736" s="166"/>
      <c r="AG736" s="166"/>
    </row>
    <row r="737" spans="1:33" ht="15.750000" customHeight="1">
      <c r="A737" s="166"/>
      <c r="B737" s="155"/>
      <c r="C737" s="166"/>
      <c r="D737" s="166"/>
      <c r="E737" s="155"/>
      <c r="F737" s="155"/>
      <c r="G737" s="155"/>
      <c r="H737" s="155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  <c r="AA737" s="166"/>
      <c r="AB737" s="166"/>
      <c r="AC737" s="166"/>
      <c r="AD737" s="166"/>
      <c r="AE737" s="166"/>
      <c r="AF737" s="166"/>
      <c r="AG737" s="166"/>
    </row>
    <row r="738" spans="1:33" ht="15.750000" customHeight="1">
      <c r="A738" s="166"/>
      <c r="B738" s="155"/>
      <c r="C738" s="166"/>
      <c r="D738" s="166"/>
      <c r="E738" s="155"/>
      <c r="F738" s="155"/>
      <c r="G738" s="155"/>
      <c r="H738" s="155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  <c r="AA738" s="166"/>
      <c r="AB738" s="166"/>
      <c r="AC738" s="166"/>
      <c r="AD738" s="166"/>
      <c r="AE738" s="166"/>
      <c r="AF738" s="166"/>
      <c r="AG738" s="166"/>
    </row>
    <row r="739" spans="1:33" ht="15.750000" customHeight="1">
      <c r="A739" s="166"/>
      <c r="B739" s="155"/>
      <c r="C739" s="166"/>
      <c r="D739" s="166"/>
      <c r="E739" s="155"/>
      <c r="F739" s="155"/>
      <c r="G739" s="155"/>
      <c r="H739" s="155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  <c r="AA739" s="166"/>
      <c r="AB739" s="166"/>
      <c r="AC739" s="166"/>
      <c r="AD739" s="166"/>
      <c r="AE739" s="166"/>
      <c r="AF739" s="166"/>
      <c r="AG739" s="166"/>
    </row>
    <row r="740" spans="1:33" ht="15.750000" customHeight="1">
      <c r="A740" s="166"/>
      <c r="B740" s="155"/>
      <c r="C740" s="166"/>
      <c r="D740" s="166"/>
      <c r="E740" s="155"/>
      <c r="F740" s="155"/>
      <c r="G740" s="155"/>
      <c r="H740" s="155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  <c r="AA740" s="166"/>
      <c r="AB740" s="166"/>
      <c r="AC740" s="166"/>
      <c r="AD740" s="166"/>
      <c r="AE740" s="166"/>
      <c r="AF740" s="166"/>
      <c r="AG740" s="166"/>
    </row>
    <row r="741" spans="1:33" ht="15.750000" customHeight="1">
      <c r="A741" s="166"/>
      <c r="B741" s="155"/>
      <c r="C741" s="166"/>
      <c r="D741" s="166"/>
      <c r="E741" s="155"/>
      <c r="F741" s="155"/>
      <c r="G741" s="155"/>
      <c r="H741" s="155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  <c r="AA741" s="166"/>
      <c r="AB741" s="166"/>
      <c r="AC741" s="166"/>
      <c r="AD741" s="166"/>
      <c r="AE741" s="166"/>
      <c r="AF741" s="166"/>
      <c r="AG741" s="166"/>
    </row>
    <row r="742" spans="1:33" ht="15.750000" customHeight="1">
      <c r="A742" s="166"/>
      <c r="B742" s="155"/>
      <c r="C742" s="166"/>
      <c r="D742" s="166"/>
      <c r="E742" s="155"/>
      <c r="F742" s="155"/>
      <c r="G742" s="155"/>
      <c r="H742" s="155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  <c r="AA742" s="166"/>
      <c r="AB742" s="166"/>
      <c r="AC742" s="166"/>
      <c r="AD742" s="166"/>
      <c r="AE742" s="166"/>
      <c r="AF742" s="166"/>
      <c r="AG742" s="166"/>
    </row>
    <row r="743" spans="1:33" ht="15.750000" customHeight="1">
      <c r="A743" s="166"/>
      <c r="B743" s="155"/>
      <c r="C743" s="166"/>
      <c r="D743" s="166"/>
      <c r="E743" s="155"/>
      <c r="F743" s="155"/>
      <c r="G743" s="155"/>
      <c r="H743" s="155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  <c r="AA743" s="166"/>
      <c r="AB743" s="166"/>
      <c r="AC743" s="166"/>
      <c r="AD743" s="166"/>
      <c r="AE743" s="166"/>
      <c r="AF743" s="166"/>
      <c r="AG743" s="166"/>
    </row>
    <row r="744" spans="1:33" ht="15.750000" customHeight="1">
      <c r="A744" s="166"/>
      <c r="B744" s="155"/>
      <c r="C744" s="166"/>
      <c r="D744" s="166"/>
      <c r="E744" s="155"/>
      <c r="F744" s="155"/>
      <c r="G744" s="155"/>
      <c r="H744" s="155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  <c r="AA744" s="166"/>
      <c r="AB744" s="166"/>
      <c r="AC744" s="166"/>
      <c r="AD744" s="166"/>
      <c r="AE744" s="166"/>
      <c r="AF744" s="166"/>
      <c r="AG744" s="166"/>
    </row>
    <row r="745" spans="1:33" ht="15.750000" customHeight="1">
      <c r="A745" s="166"/>
      <c r="B745" s="155"/>
      <c r="C745" s="166"/>
      <c r="D745" s="166"/>
      <c r="E745" s="155"/>
      <c r="F745" s="155"/>
      <c r="G745" s="155"/>
      <c r="H745" s="155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  <c r="AA745" s="166"/>
      <c r="AB745" s="166"/>
      <c r="AC745" s="166"/>
      <c r="AD745" s="166"/>
      <c r="AE745" s="166"/>
      <c r="AF745" s="166"/>
      <c r="AG745" s="166"/>
    </row>
    <row r="746" spans="1:33" ht="15.750000" customHeight="1">
      <c r="A746" s="166"/>
      <c r="B746" s="155"/>
      <c r="C746" s="166"/>
      <c r="D746" s="166"/>
      <c r="E746" s="155"/>
      <c r="F746" s="155"/>
      <c r="G746" s="155"/>
      <c r="H746" s="155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  <c r="AA746" s="166"/>
      <c r="AB746" s="166"/>
      <c r="AC746" s="166"/>
      <c r="AD746" s="166"/>
      <c r="AE746" s="166"/>
      <c r="AF746" s="166"/>
      <c r="AG746" s="166"/>
    </row>
    <row r="747" spans="1:33" ht="15.750000" customHeight="1">
      <c r="A747" s="166"/>
      <c r="B747" s="155"/>
      <c r="C747" s="166"/>
      <c r="D747" s="166"/>
      <c r="E747" s="155"/>
      <c r="F747" s="155"/>
      <c r="G747" s="155"/>
      <c r="H747" s="155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  <c r="AA747" s="166"/>
      <c r="AB747" s="166"/>
      <c r="AC747" s="166"/>
      <c r="AD747" s="166"/>
      <c r="AE747" s="166"/>
      <c r="AF747" s="166"/>
      <c r="AG747" s="166"/>
    </row>
    <row r="748" spans="1:33" ht="15.750000" customHeight="1">
      <c r="A748" s="166"/>
      <c r="B748" s="155"/>
      <c r="C748" s="166"/>
      <c r="D748" s="166"/>
      <c r="E748" s="155"/>
      <c r="F748" s="155"/>
      <c r="G748" s="155"/>
      <c r="H748" s="155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  <c r="AA748" s="166"/>
      <c r="AB748" s="166"/>
      <c r="AC748" s="166"/>
      <c r="AD748" s="166"/>
      <c r="AE748" s="166"/>
      <c r="AF748" s="166"/>
      <c r="AG748" s="166"/>
    </row>
    <row r="749" spans="1:33" ht="15.750000" customHeight="1">
      <c r="A749" s="166"/>
      <c r="B749" s="155"/>
      <c r="C749" s="166"/>
      <c r="D749" s="166"/>
      <c r="E749" s="155"/>
      <c r="F749" s="155"/>
      <c r="G749" s="155"/>
      <c r="H749" s="155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  <c r="AA749" s="166"/>
      <c r="AB749" s="166"/>
      <c r="AC749" s="166"/>
      <c r="AD749" s="166"/>
      <c r="AE749" s="166"/>
      <c r="AF749" s="166"/>
      <c r="AG749" s="166"/>
    </row>
    <row r="750" spans="1:33" ht="15.750000" customHeight="1">
      <c r="A750" s="166"/>
      <c r="B750" s="155"/>
      <c r="C750" s="166"/>
      <c r="D750" s="166"/>
      <c r="E750" s="155"/>
      <c r="F750" s="155"/>
      <c r="G750" s="155"/>
      <c r="H750" s="155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  <c r="AA750" s="166"/>
      <c r="AB750" s="166"/>
      <c r="AC750" s="166"/>
      <c r="AD750" s="166"/>
      <c r="AE750" s="166"/>
      <c r="AF750" s="166"/>
      <c r="AG750" s="166"/>
    </row>
    <row r="751" spans="1:33" ht="15.750000" customHeight="1">
      <c r="A751" s="166"/>
      <c r="B751" s="155"/>
      <c r="C751" s="166"/>
      <c r="D751" s="166"/>
      <c r="E751" s="155"/>
      <c r="F751" s="155"/>
      <c r="G751" s="155"/>
      <c r="H751" s="155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  <c r="AA751" s="166"/>
      <c r="AB751" s="166"/>
      <c r="AC751" s="166"/>
      <c r="AD751" s="166"/>
      <c r="AE751" s="166"/>
      <c r="AF751" s="166"/>
      <c r="AG751" s="166"/>
    </row>
    <row r="752" spans="1:33" ht="15.750000" customHeight="1">
      <c r="A752" s="166"/>
      <c r="B752" s="155"/>
      <c r="C752" s="166"/>
      <c r="D752" s="166"/>
      <c r="E752" s="155"/>
      <c r="F752" s="155"/>
      <c r="G752" s="155"/>
      <c r="H752" s="155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  <c r="AA752" s="166"/>
      <c r="AB752" s="166"/>
      <c r="AC752" s="166"/>
      <c r="AD752" s="166"/>
      <c r="AE752" s="166"/>
      <c r="AF752" s="166"/>
      <c r="AG752" s="166"/>
    </row>
    <row r="753" spans="1:33" ht="15.750000" customHeight="1">
      <c r="A753" s="166"/>
      <c r="B753" s="155"/>
      <c r="C753" s="166"/>
      <c r="D753" s="166"/>
      <c r="E753" s="155"/>
      <c r="F753" s="155"/>
      <c r="G753" s="155"/>
      <c r="H753" s="155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  <c r="AA753" s="166"/>
      <c r="AB753" s="166"/>
      <c r="AC753" s="166"/>
      <c r="AD753" s="166"/>
      <c r="AE753" s="166"/>
      <c r="AF753" s="166"/>
      <c r="AG753" s="166"/>
    </row>
    <row r="754" spans="1:33" ht="15.750000" customHeight="1">
      <c r="A754" s="166"/>
      <c r="B754" s="155"/>
      <c r="C754" s="166"/>
      <c r="D754" s="166"/>
      <c r="E754" s="155"/>
      <c r="F754" s="155"/>
      <c r="G754" s="155"/>
      <c r="H754" s="155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  <c r="AA754" s="166"/>
      <c r="AB754" s="166"/>
      <c r="AC754" s="166"/>
      <c r="AD754" s="166"/>
      <c r="AE754" s="166"/>
      <c r="AF754" s="166"/>
      <c r="AG754" s="166"/>
    </row>
    <row r="755" spans="1:33" ht="15.750000" customHeight="1">
      <c r="A755" s="166"/>
      <c r="B755" s="155"/>
      <c r="C755" s="166"/>
      <c r="D755" s="166"/>
      <c r="E755" s="155"/>
      <c r="F755" s="155"/>
      <c r="G755" s="155"/>
      <c r="H755" s="155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  <c r="AA755" s="166"/>
      <c r="AB755" s="166"/>
      <c r="AC755" s="166"/>
      <c r="AD755" s="166"/>
      <c r="AE755" s="166"/>
      <c r="AF755" s="166"/>
      <c r="AG755" s="166"/>
    </row>
    <row r="756" spans="1:33" ht="15.750000" customHeight="1">
      <c r="A756" s="166"/>
      <c r="B756" s="155"/>
      <c r="C756" s="166"/>
      <c r="D756" s="166"/>
      <c r="E756" s="155"/>
      <c r="F756" s="155"/>
      <c r="G756" s="155"/>
      <c r="H756" s="155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  <c r="AA756" s="166"/>
      <c r="AB756" s="166"/>
      <c r="AC756" s="166"/>
      <c r="AD756" s="166"/>
      <c r="AE756" s="166"/>
      <c r="AF756" s="166"/>
      <c r="AG756" s="166"/>
    </row>
    <row r="757" spans="1:33" ht="15.750000" customHeight="1">
      <c r="A757" s="166"/>
      <c r="B757" s="155"/>
      <c r="C757" s="166"/>
      <c r="D757" s="166"/>
      <c r="E757" s="155"/>
      <c r="F757" s="155"/>
      <c r="G757" s="155"/>
      <c r="H757" s="155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  <c r="AA757" s="166"/>
      <c r="AB757" s="166"/>
      <c r="AC757" s="166"/>
      <c r="AD757" s="166"/>
      <c r="AE757" s="166"/>
      <c r="AF757" s="166"/>
      <c r="AG757" s="166"/>
    </row>
    <row r="758" spans="1:33" ht="15.750000" customHeight="1">
      <c r="A758" s="166"/>
      <c r="B758" s="155"/>
      <c r="C758" s="166"/>
      <c r="D758" s="166"/>
      <c r="E758" s="155"/>
      <c r="F758" s="155"/>
      <c r="G758" s="155"/>
      <c r="H758" s="155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  <c r="AA758" s="166"/>
      <c r="AB758" s="166"/>
      <c r="AC758" s="166"/>
      <c r="AD758" s="166"/>
      <c r="AE758" s="166"/>
      <c r="AF758" s="166"/>
      <c r="AG758" s="166"/>
    </row>
    <row r="759" spans="1:33" ht="15.750000" customHeight="1">
      <c r="A759" s="166"/>
      <c r="B759" s="155"/>
      <c r="C759" s="166"/>
      <c r="D759" s="166"/>
      <c r="E759" s="155"/>
      <c r="F759" s="155"/>
      <c r="G759" s="155"/>
      <c r="H759" s="155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  <c r="AA759" s="166"/>
      <c r="AB759" s="166"/>
      <c r="AC759" s="166"/>
      <c r="AD759" s="166"/>
      <c r="AE759" s="166"/>
      <c r="AF759" s="166"/>
      <c r="AG759" s="166"/>
    </row>
    <row r="760" spans="1:33" ht="15.750000" customHeight="1">
      <c r="A760" s="166"/>
      <c r="B760" s="155"/>
      <c r="C760" s="166"/>
      <c r="D760" s="166"/>
      <c r="E760" s="155"/>
      <c r="F760" s="155"/>
      <c r="G760" s="155"/>
      <c r="H760" s="155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  <c r="AA760" s="166"/>
      <c r="AB760" s="166"/>
      <c r="AC760" s="166"/>
      <c r="AD760" s="166"/>
      <c r="AE760" s="166"/>
      <c r="AF760" s="166"/>
      <c r="AG760" s="166"/>
    </row>
    <row r="761" spans="1:33" ht="15.750000" customHeight="1">
      <c r="A761" s="166"/>
      <c r="B761" s="155"/>
      <c r="C761" s="166"/>
      <c r="D761" s="166"/>
      <c r="E761" s="155"/>
      <c r="F761" s="155"/>
      <c r="G761" s="155"/>
      <c r="H761" s="155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  <c r="AA761" s="166"/>
      <c r="AB761" s="166"/>
      <c r="AC761" s="166"/>
      <c r="AD761" s="166"/>
      <c r="AE761" s="166"/>
      <c r="AF761" s="166"/>
      <c r="AG761" s="166"/>
    </row>
    <row r="762" spans="1:33" ht="15.750000" customHeight="1">
      <c r="A762" s="166"/>
      <c r="B762" s="155"/>
      <c r="C762" s="166"/>
      <c r="D762" s="166"/>
      <c r="E762" s="155"/>
      <c r="F762" s="155"/>
      <c r="G762" s="155"/>
      <c r="H762" s="155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  <c r="AA762" s="166"/>
      <c r="AB762" s="166"/>
      <c r="AC762" s="166"/>
      <c r="AD762" s="166"/>
      <c r="AE762" s="166"/>
      <c r="AF762" s="166"/>
      <c r="AG762" s="166"/>
    </row>
    <row r="763" spans="1:33" ht="15.750000" customHeight="1">
      <c r="A763" s="166"/>
      <c r="B763" s="155"/>
      <c r="C763" s="166"/>
      <c r="D763" s="166"/>
      <c r="E763" s="155"/>
      <c r="F763" s="155"/>
      <c r="G763" s="155"/>
      <c r="H763" s="155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  <c r="AA763" s="166"/>
      <c r="AB763" s="166"/>
      <c r="AC763" s="166"/>
      <c r="AD763" s="166"/>
      <c r="AE763" s="166"/>
      <c r="AF763" s="166"/>
      <c r="AG763" s="166"/>
    </row>
    <row r="764" spans="1:33" ht="15.750000" customHeight="1">
      <c r="A764" s="166"/>
      <c r="B764" s="155"/>
      <c r="C764" s="166"/>
      <c r="D764" s="166"/>
      <c r="E764" s="155"/>
      <c r="F764" s="155"/>
      <c r="G764" s="155"/>
      <c r="H764" s="155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  <c r="AA764" s="166"/>
      <c r="AB764" s="166"/>
      <c r="AC764" s="166"/>
      <c r="AD764" s="166"/>
      <c r="AE764" s="166"/>
      <c r="AF764" s="166"/>
      <c r="AG764" s="166"/>
    </row>
    <row r="765" spans="1:33" ht="15.750000" customHeight="1">
      <c r="A765" s="166"/>
      <c r="B765" s="155"/>
      <c r="C765" s="166"/>
      <c r="D765" s="166"/>
      <c r="E765" s="155"/>
      <c r="F765" s="155"/>
      <c r="G765" s="155"/>
      <c r="H765" s="155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  <c r="AA765" s="166"/>
      <c r="AB765" s="166"/>
      <c r="AC765" s="166"/>
      <c r="AD765" s="166"/>
      <c r="AE765" s="166"/>
      <c r="AF765" s="166"/>
      <c r="AG765" s="166"/>
    </row>
    <row r="766" spans="1:33" ht="15.750000" customHeight="1">
      <c r="A766" s="166"/>
      <c r="B766" s="155"/>
      <c r="C766" s="166"/>
      <c r="D766" s="166"/>
      <c r="E766" s="155"/>
      <c r="F766" s="155"/>
      <c r="G766" s="155"/>
      <c r="H766" s="155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  <c r="AA766" s="166"/>
      <c r="AB766" s="166"/>
      <c r="AC766" s="166"/>
      <c r="AD766" s="166"/>
      <c r="AE766" s="166"/>
      <c r="AF766" s="166"/>
      <c r="AG766" s="166"/>
    </row>
    <row r="767" spans="1:33" ht="15.750000" customHeight="1">
      <c r="A767" s="166"/>
      <c r="B767" s="155"/>
      <c r="C767" s="166"/>
      <c r="D767" s="166"/>
      <c r="E767" s="155"/>
      <c r="F767" s="155"/>
      <c r="G767" s="155"/>
      <c r="H767" s="155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  <c r="AA767" s="166"/>
      <c r="AB767" s="166"/>
      <c r="AC767" s="166"/>
      <c r="AD767" s="166"/>
      <c r="AE767" s="166"/>
      <c r="AF767" s="166"/>
      <c r="AG767" s="166"/>
    </row>
    <row r="768" spans="1:33" ht="15.750000" customHeight="1">
      <c r="A768" s="166"/>
      <c r="B768" s="155"/>
      <c r="C768" s="166"/>
      <c r="D768" s="166"/>
      <c r="E768" s="155"/>
      <c r="F768" s="155"/>
      <c r="G768" s="155"/>
      <c r="H768" s="155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  <c r="AA768" s="166"/>
      <c r="AB768" s="166"/>
      <c r="AC768" s="166"/>
      <c r="AD768" s="166"/>
      <c r="AE768" s="166"/>
      <c r="AF768" s="166"/>
      <c r="AG768" s="166"/>
    </row>
    <row r="769" spans="1:33" ht="15.750000" customHeight="1">
      <c r="A769" s="166"/>
      <c r="B769" s="155"/>
      <c r="C769" s="166"/>
      <c r="D769" s="166"/>
      <c r="E769" s="155"/>
      <c r="F769" s="155"/>
      <c r="G769" s="155"/>
      <c r="H769" s="155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  <c r="AA769" s="166"/>
      <c r="AB769" s="166"/>
      <c r="AC769" s="166"/>
      <c r="AD769" s="166"/>
      <c r="AE769" s="166"/>
      <c r="AF769" s="166"/>
      <c r="AG769" s="166"/>
    </row>
    <row r="770" spans="1:33" ht="15.750000" customHeight="1">
      <c r="A770" s="166"/>
      <c r="B770" s="155"/>
      <c r="C770" s="166"/>
      <c r="D770" s="166"/>
      <c r="E770" s="155"/>
      <c r="F770" s="155"/>
      <c r="G770" s="155"/>
      <c r="H770" s="155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  <c r="AA770" s="166"/>
      <c r="AB770" s="166"/>
      <c r="AC770" s="166"/>
      <c r="AD770" s="166"/>
      <c r="AE770" s="166"/>
      <c r="AF770" s="166"/>
      <c r="AG770" s="166"/>
    </row>
    <row r="771" spans="1:33" ht="15.750000" customHeight="1">
      <c r="A771" s="166"/>
      <c r="B771" s="155"/>
      <c r="C771" s="166"/>
      <c r="D771" s="166"/>
      <c r="E771" s="155"/>
      <c r="F771" s="155"/>
      <c r="G771" s="155"/>
      <c r="H771" s="155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  <c r="AA771" s="166"/>
      <c r="AB771" s="166"/>
      <c r="AC771" s="166"/>
      <c r="AD771" s="166"/>
      <c r="AE771" s="166"/>
      <c r="AF771" s="166"/>
      <c r="AG771" s="166"/>
    </row>
    <row r="772" spans="1:33" ht="15.750000" customHeight="1">
      <c r="A772" s="166"/>
      <c r="B772" s="155"/>
      <c r="C772" s="166"/>
      <c r="D772" s="166"/>
      <c r="E772" s="155"/>
      <c r="F772" s="155"/>
      <c r="G772" s="155"/>
      <c r="H772" s="155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  <c r="AA772" s="166"/>
      <c r="AB772" s="166"/>
      <c r="AC772" s="166"/>
      <c r="AD772" s="166"/>
      <c r="AE772" s="166"/>
      <c r="AF772" s="166"/>
      <c r="AG772" s="166"/>
    </row>
    <row r="773" spans="1:33" ht="15.750000" customHeight="1">
      <c r="A773" s="166"/>
      <c r="B773" s="155"/>
      <c r="C773" s="166"/>
      <c r="D773" s="166"/>
      <c r="E773" s="155"/>
      <c r="F773" s="155"/>
      <c r="G773" s="155"/>
      <c r="H773" s="155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  <c r="AA773" s="166"/>
      <c r="AB773" s="166"/>
      <c r="AC773" s="166"/>
      <c r="AD773" s="166"/>
      <c r="AE773" s="166"/>
      <c r="AF773" s="166"/>
      <c r="AG773" s="166"/>
    </row>
    <row r="774" spans="1:33" ht="15.750000" customHeight="1">
      <c r="A774" s="166"/>
      <c r="B774" s="155"/>
      <c r="C774" s="166"/>
      <c r="D774" s="166"/>
      <c r="E774" s="155"/>
      <c r="F774" s="155"/>
      <c r="G774" s="155"/>
      <c r="H774" s="155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  <c r="AA774" s="166"/>
      <c r="AB774" s="166"/>
      <c r="AC774" s="166"/>
      <c r="AD774" s="166"/>
      <c r="AE774" s="166"/>
      <c r="AF774" s="166"/>
      <c r="AG774" s="166"/>
    </row>
    <row r="775" spans="1:33" ht="15.750000" customHeight="1">
      <c r="A775" s="166"/>
      <c r="B775" s="155"/>
      <c r="C775" s="166"/>
      <c r="D775" s="166"/>
      <c r="E775" s="155"/>
      <c r="F775" s="155"/>
      <c r="G775" s="155"/>
      <c r="H775" s="155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  <c r="AA775" s="166"/>
      <c r="AB775" s="166"/>
      <c r="AC775" s="166"/>
      <c r="AD775" s="166"/>
      <c r="AE775" s="166"/>
      <c r="AF775" s="166"/>
      <c r="AG775" s="166"/>
    </row>
    <row r="776" spans="1:33" ht="15.750000" customHeight="1">
      <c r="A776" s="166"/>
      <c r="B776" s="155"/>
      <c r="C776" s="166"/>
      <c r="D776" s="166"/>
      <c r="E776" s="155"/>
      <c r="F776" s="155"/>
      <c r="G776" s="155"/>
      <c r="H776" s="155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  <c r="AA776" s="166"/>
      <c r="AB776" s="166"/>
      <c r="AC776" s="166"/>
      <c r="AD776" s="166"/>
      <c r="AE776" s="166"/>
      <c r="AF776" s="166"/>
      <c r="AG776" s="166"/>
    </row>
    <row r="777" spans="1:33" ht="15.750000" customHeight="1">
      <c r="A777" s="166"/>
      <c r="B777" s="155"/>
      <c r="C777" s="166"/>
      <c r="D777" s="166"/>
      <c r="E777" s="155"/>
      <c r="F777" s="155"/>
      <c r="G777" s="155"/>
      <c r="H777" s="155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  <c r="AA777" s="166"/>
      <c r="AB777" s="166"/>
      <c r="AC777" s="166"/>
      <c r="AD777" s="166"/>
      <c r="AE777" s="166"/>
      <c r="AF777" s="166"/>
      <c r="AG777" s="166"/>
    </row>
    <row r="778" spans="1:33" ht="15.750000" customHeight="1">
      <c r="A778" s="166"/>
      <c r="B778" s="155"/>
      <c r="C778" s="166"/>
      <c r="D778" s="166"/>
      <c r="E778" s="155"/>
      <c r="F778" s="155"/>
      <c r="G778" s="155"/>
      <c r="H778" s="155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  <c r="AA778" s="166"/>
      <c r="AB778" s="166"/>
      <c r="AC778" s="166"/>
      <c r="AD778" s="166"/>
      <c r="AE778" s="166"/>
      <c r="AF778" s="166"/>
      <c r="AG778" s="166"/>
    </row>
    <row r="779" spans="1:33" ht="15.750000" customHeight="1">
      <c r="A779" s="166"/>
      <c r="B779" s="155"/>
      <c r="C779" s="166"/>
      <c r="D779" s="166"/>
      <c r="E779" s="155"/>
      <c r="F779" s="155"/>
      <c r="G779" s="155"/>
      <c r="H779" s="155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  <c r="AA779" s="166"/>
      <c r="AB779" s="166"/>
      <c r="AC779" s="166"/>
      <c r="AD779" s="166"/>
      <c r="AE779" s="166"/>
      <c r="AF779" s="166"/>
      <c r="AG779" s="166"/>
    </row>
    <row r="780" spans="1:33" ht="15.750000" customHeight="1">
      <c r="A780" s="166"/>
      <c r="B780" s="155"/>
      <c r="C780" s="166"/>
      <c r="D780" s="166"/>
      <c r="E780" s="155"/>
      <c r="F780" s="155"/>
      <c r="G780" s="155"/>
      <c r="H780" s="155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  <c r="AA780" s="166"/>
      <c r="AB780" s="166"/>
      <c r="AC780" s="166"/>
      <c r="AD780" s="166"/>
      <c r="AE780" s="166"/>
      <c r="AF780" s="166"/>
      <c r="AG780" s="166"/>
    </row>
    <row r="781" spans="1:33" ht="15.750000" customHeight="1">
      <c r="A781" s="166"/>
      <c r="B781" s="155"/>
      <c r="C781" s="166"/>
      <c r="D781" s="166"/>
      <c r="E781" s="155"/>
      <c r="F781" s="155"/>
      <c r="G781" s="155"/>
      <c r="H781" s="155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  <c r="AA781" s="166"/>
      <c r="AB781" s="166"/>
      <c r="AC781" s="166"/>
      <c r="AD781" s="166"/>
      <c r="AE781" s="166"/>
      <c r="AF781" s="166"/>
      <c r="AG781" s="166"/>
    </row>
    <row r="782" spans="1:33" ht="15.750000" customHeight="1">
      <c r="A782" s="166"/>
      <c r="B782" s="155"/>
      <c r="C782" s="166"/>
      <c r="D782" s="166"/>
      <c r="E782" s="155"/>
      <c r="F782" s="155"/>
      <c r="G782" s="155"/>
      <c r="H782" s="155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  <c r="AA782" s="166"/>
      <c r="AB782" s="166"/>
      <c r="AC782" s="166"/>
      <c r="AD782" s="166"/>
      <c r="AE782" s="166"/>
      <c r="AF782" s="166"/>
      <c r="AG782" s="166"/>
    </row>
    <row r="783" spans="1:33" ht="15.750000" customHeight="1">
      <c r="A783" s="166"/>
      <c r="B783" s="155"/>
      <c r="C783" s="166"/>
      <c r="D783" s="166"/>
      <c r="E783" s="155"/>
      <c r="F783" s="155"/>
      <c r="G783" s="155"/>
      <c r="H783" s="155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  <c r="AA783" s="166"/>
      <c r="AB783" s="166"/>
      <c r="AC783" s="166"/>
      <c r="AD783" s="166"/>
      <c r="AE783" s="166"/>
      <c r="AF783" s="166"/>
      <c r="AG783" s="166"/>
    </row>
    <row r="784" spans="1:33" ht="15.750000" customHeight="1">
      <c r="A784" s="166"/>
      <c r="B784" s="155"/>
      <c r="C784" s="166"/>
      <c r="D784" s="166"/>
      <c r="E784" s="155"/>
      <c r="F784" s="155"/>
      <c r="G784" s="155"/>
      <c r="H784" s="155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  <c r="AA784" s="166"/>
      <c r="AB784" s="166"/>
      <c r="AC784" s="166"/>
      <c r="AD784" s="166"/>
      <c r="AE784" s="166"/>
      <c r="AF784" s="166"/>
      <c r="AG784" s="166"/>
    </row>
    <row r="785" spans="1:33" ht="15.750000" customHeight="1">
      <c r="A785" s="166"/>
      <c r="B785" s="155"/>
      <c r="C785" s="166"/>
      <c r="D785" s="166"/>
      <c r="E785" s="155"/>
      <c r="F785" s="155"/>
      <c r="G785" s="155"/>
      <c r="H785" s="155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  <c r="AA785" s="166"/>
      <c r="AB785" s="166"/>
      <c r="AC785" s="166"/>
      <c r="AD785" s="166"/>
      <c r="AE785" s="166"/>
      <c r="AF785" s="166"/>
      <c r="AG785" s="166"/>
    </row>
    <row r="786" spans="1:33" ht="15.750000" customHeight="1">
      <c r="A786" s="166"/>
      <c r="B786" s="155"/>
      <c r="C786" s="166"/>
      <c r="D786" s="166"/>
      <c r="E786" s="155"/>
      <c r="F786" s="155"/>
      <c r="G786" s="155"/>
      <c r="H786" s="155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  <c r="AA786" s="166"/>
      <c r="AB786" s="166"/>
      <c r="AC786" s="166"/>
      <c r="AD786" s="166"/>
      <c r="AE786" s="166"/>
      <c r="AF786" s="166"/>
      <c r="AG786" s="166"/>
    </row>
    <row r="787" spans="1:33" ht="15.750000" customHeight="1">
      <c r="A787" s="166"/>
      <c r="B787" s="155"/>
      <c r="C787" s="166"/>
      <c r="D787" s="166"/>
      <c r="E787" s="155"/>
      <c r="F787" s="155"/>
      <c r="G787" s="155"/>
      <c r="H787" s="155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  <c r="AA787" s="166"/>
      <c r="AB787" s="166"/>
      <c r="AC787" s="166"/>
      <c r="AD787" s="166"/>
      <c r="AE787" s="166"/>
      <c r="AF787" s="166"/>
      <c r="AG787" s="166"/>
    </row>
    <row r="788" spans="1:33" ht="15.750000" customHeight="1">
      <c r="A788" s="166"/>
      <c r="B788" s="155"/>
      <c r="C788" s="166"/>
      <c r="D788" s="166"/>
      <c r="E788" s="155"/>
      <c r="F788" s="155"/>
      <c r="G788" s="155"/>
      <c r="H788" s="155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  <c r="AA788" s="166"/>
      <c r="AB788" s="166"/>
      <c r="AC788" s="166"/>
      <c r="AD788" s="166"/>
      <c r="AE788" s="166"/>
      <c r="AF788" s="166"/>
      <c r="AG788" s="166"/>
    </row>
    <row r="789" spans="1:33" ht="15.750000" customHeight="1">
      <c r="A789" s="166"/>
      <c r="B789" s="155"/>
      <c r="C789" s="166"/>
      <c r="D789" s="166"/>
      <c r="E789" s="155"/>
      <c r="F789" s="155"/>
      <c r="G789" s="155"/>
      <c r="H789" s="155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  <c r="AA789" s="166"/>
      <c r="AB789" s="166"/>
      <c r="AC789" s="166"/>
      <c r="AD789" s="166"/>
      <c r="AE789" s="166"/>
      <c r="AF789" s="166"/>
      <c r="AG789" s="166"/>
    </row>
    <row r="790" spans="1:33" ht="15.750000" customHeight="1">
      <c r="A790" s="166"/>
      <c r="B790" s="155"/>
      <c r="C790" s="166"/>
      <c r="D790" s="166"/>
      <c r="E790" s="155"/>
      <c r="F790" s="155"/>
      <c r="G790" s="155"/>
      <c r="H790" s="155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  <c r="AA790" s="166"/>
      <c r="AB790" s="166"/>
      <c r="AC790" s="166"/>
      <c r="AD790" s="166"/>
      <c r="AE790" s="166"/>
      <c r="AF790" s="166"/>
      <c r="AG790" s="166"/>
    </row>
    <row r="791" spans="1:33" ht="15.750000" customHeight="1">
      <c r="A791" s="166"/>
      <c r="B791" s="155"/>
      <c r="C791" s="166"/>
      <c r="D791" s="166"/>
      <c r="E791" s="155"/>
      <c r="F791" s="155"/>
      <c r="G791" s="155"/>
      <c r="H791" s="155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  <c r="AA791" s="166"/>
      <c r="AB791" s="166"/>
      <c r="AC791" s="166"/>
      <c r="AD791" s="166"/>
      <c r="AE791" s="166"/>
      <c r="AF791" s="166"/>
      <c r="AG791" s="166"/>
    </row>
    <row r="792" spans="1:33" ht="15.750000" customHeight="1">
      <c r="A792" s="166"/>
      <c r="B792" s="155"/>
      <c r="C792" s="166"/>
      <c r="D792" s="166"/>
      <c r="E792" s="155"/>
      <c r="F792" s="155"/>
      <c r="G792" s="155"/>
      <c r="H792" s="155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  <c r="AA792" s="166"/>
      <c r="AB792" s="166"/>
      <c r="AC792" s="166"/>
      <c r="AD792" s="166"/>
      <c r="AE792" s="166"/>
      <c r="AF792" s="166"/>
      <c r="AG792" s="166"/>
    </row>
    <row r="793" spans="1:33" ht="15.750000" customHeight="1">
      <c r="A793" s="166"/>
      <c r="B793" s="155"/>
      <c r="C793" s="166"/>
      <c r="D793" s="166"/>
      <c r="E793" s="155"/>
      <c r="F793" s="155"/>
      <c r="G793" s="155"/>
      <c r="H793" s="155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  <c r="AA793" s="166"/>
      <c r="AB793" s="166"/>
      <c r="AC793" s="166"/>
      <c r="AD793" s="166"/>
      <c r="AE793" s="166"/>
      <c r="AF793" s="166"/>
      <c r="AG793" s="166"/>
    </row>
    <row r="794" spans="1:33" ht="15.750000" customHeight="1">
      <c r="A794" s="166"/>
      <c r="B794" s="155"/>
      <c r="C794" s="166"/>
      <c r="D794" s="166"/>
      <c r="E794" s="155"/>
      <c r="F794" s="155"/>
      <c r="G794" s="155"/>
      <c r="H794" s="155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  <c r="AA794" s="166"/>
      <c r="AB794" s="166"/>
      <c r="AC794" s="166"/>
      <c r="AD794" s="166"/>
      <c r="AE794" s="166"/>
      <c r="AF794" s="166"/>
      <c r="AG794" s="166"/>
    </row>
    <row r="795" spans="1:33" ht="15.750000" customHeight="1">
      <c r="A795" s="166"/>
      <c r="B795" s="155"/>
      <c r="C795" s="166"/>
      <c r="D795" s="166"/>
      <c r="E795" s="155"/>
      <c r="F795" s="155"/>
      <c r="G795" s="155"/>
      <c r="H795" s="155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  <c r="AA795" s="166"/>
      <c r="AB795" s="166"/>
      <c r="AC795" s="166"/>
      <c r="AD795" s="166"/>
      <c r="AE795" s="166"/>
      <c r="AF795" s="166"/>
      <c r="AG795" s="166"/>
    </row>
    <row r="796" spans="1:33" ht="15.750000" customHeight="1">
      <c r="A796" s="166"/>
      <c r="B796" s="155"/>
      <c r="C796" s="166"/>
      <c r="D796" s="166"/>
      <c r="E796" s="155"/>
      <c r="F796" s="155"/>
      <c r="G796" s="155"/>
      <c r="H796" s="155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  <c r="AA796" s="166"/>
      <c r="AB796" s="166"/>
      <c r="AC796" s="166"/>
      <c r="AD796" s="166"/>
      <c r="AE796" s="166"/>
      <c r="AF796" s="166"/>
      <c r="AG796" s="166"/>
    </row>
    <row r="797" spans="1:33" ht="15.750000" customHeight="1">
      <c r="A797" s="166"/>
      <c r="B797" s="155"/>
      <c r="C797" s="166"/>
      <c r="D797" s="166"/>
      <c r="E797" s="155"/>
      <c r="F797" s="155"/>
      <c r="G797" s="155"/>
      <c r="H797" s="155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  <c r="AA797" s="166"/>
      <c r="AB797" s="166"/>
      <c r="AC797" s="166"/>
      <c r="AD797" s="166"/>
      <c r="AE797" s="166"/>
      <c r="AF797" s="166"/>
      <c r="AG797" s="166"/>
    </row>
    <row r="798" spans="1:33" ht="15.750000" customHeight="1">
      <c r="A798" s="166"/>
      <c r="B798" s="155"/>
      <c r="C798" s="166"/>
      <c r="D798" s="166"/>
      <c r="E798" s="155"/>
      <c r="F798" s="155"/>
      <c r="G798" s="155"/>
      <c r="H798" s="155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  <c r="AA798" s="166"/>
      <c r="AB798" s="166"/>
      <c r="AC798" s="166"/>
      <c r="AD798" s="166"/>
      <c r="AE798" s="166"/>
      <c r="AF798" s="166"/>
      <c r="AG798" s="166"/>
    </row>
    <row r="799" spans="1:33" ht="15.750000" customHeight="1">
      <c r="A799" s="166"/>
      <c r="B799" s="155"/>
      <c r="C799" s="166"/>
      <c r="D799" s="166"/>
      <c r="E799" s="155"/>
      <c r="F799" s="155"/>
      <c r="G799" s="155"/>
      <c r="H799" s="155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  <c r="AA799" s="166"/>
      <c r="AB799" s="166"/>
      <c r="AC799" s="166"/>
      <c r="AD799" s="166"/>
      <c r="AE799" s="166"/>
      <c r="AF799" s="166"/>
      <c r="AG799" s="166"/>
    </row>
    <row r="800" spans="1:33" ht="15.750000" customHeight="1">
      <c r="A800" s="166"/>
      <c r="B800" s="155"/>
      <c r="C800" s="166"/>
      <c r="D800" s="166"/>
      <c r="E800" s="155"/>
      <c r="F800" s="155"/>
      <c r="G800" s="155"/>
      <c r="H800" s="155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  <c r="AA800" s="166"/>
      <c r="AB800" s="166"/>
      <c r="AC800" s="166"/>
      <c r="AD800" s="166"/>
      <c r="AE800" s="166"/>
      <c r="AF800" s="166"/>
      <c r="AG800" s="166"/>
    </row>
    <row r="801" spans="1:33" ht="15.750000" customHeight="1">
      <c r="A801" s="166"/>
      <c r="B801" s="155"/>
      <c r="C801" s="166"/>
      <c r="D801" s="166"/>
      <c r="E801" s="155"/>
      <c r="F801" s="155"/>
      <c r="G801" s="155"/>
      <c r="H801" s="155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  <c r="AA801" s="166"/>
      <c r="AB801" s="166"/>
      <c r="AC801" s="166"/>
      <c r="AD801" s="166"/>
      <c r="AE801" s="166"/>
      <c r="AF801" s="166"/>
      <c r="AG801" s="166"/>
    </row>
    <row r="802" spans="1:33" ht="15.750000" customHeight="1">
      <c r="A802" s="166"/>
      <c r="B802" s="155"/>
      <c r="C802" s="166"/>
      <c r="D802" s="166"/>
      <c r="E802" s="155"/>
      <c r="F802" s="155"/>
      <c r="G802" s="155"/>
      <c r="H802" s="155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  <c r="AA802" s="166"/>
      <c r="AB802" s="166"/>
      <c r="AC802" s="166"/>
      <c r="AD802" s="166"/>
      <c r="AE802" s="166"/>
      <c r="AF802" s="166"/>
      <c r="AG802" s="166"/>
    </row>
    <row r="803" spans="1:33" ht="15.750000" customHeight="1">
      <c r="A803" s="166"/>
      <c r="B803" s="155"/>
      <c r="C803" s="166"/>
      <c r="D803" s="166"/>
      <c r="E803" s="155"/>
      <c r="F803" s="155"/>
      <c r="G803" s="155"/>
      <c r="H803" s="155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  <c r="AA803" s="166"/>
      <c r="AB803" s="166"/>
      <c r="AC803" s="166"/>
      <c r="AD803" s="166"/>
      <c r="AE803" s="166"/>
      <c r="AF803" s="166"/>
      <c r="AG803" s="166"/>
    </row>
    <row r="804" spans="1:33" ht="15.750000" customHeight="1">
      <c r="A804" s="166"/>
      <c r="B804" s="155"/>
      <c r="C804" s="166"/>
      <c r="D804" s="166"/>
      <c r="E804" s="155"/>
      <c r="F804" s="155"/>
      <c r="G804" s="155"/>
      <c r="H804" s="155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  <c r="AA804" s="166"/>
      <c r="AB804" s="166"/>
      <c r="AC804" s="166"/>
      <c r="AD804" s="166"/>
      <c r="AE804" s="166"/>
      <c r="AF804" s="166"/>
      <c r="AG804" s="166"/>
    </row>
    <row r="805" spans="1:33" ht="15.750000" customHeight="1">
      <c r="A805" s="166"/>
      <c r="B805" s="155"/>
      <c r="C805" s="166"/>
      <c r="D805" s="166"/>
      <c r="E805" s="155"/>
      <c r="F805" s="155"/>
      <c r="G805" s="155"/>
      <c r="H805" s="155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  <c r="AA805" s="166"/>
      <c r="AB805" s="166"/>
      <c r="AC805" s="166"/>
      <c r="AD805" s="166"/>
      <c r="AE805" s="166"/>
      <c r="AF805" s="166"/>
      <c r="AG805" s="166"/>
    </row>
    <row r="806" spans="1:33" ht="15.750000" customHeight="1">
      <c r="A806" s="166"/>
      <c r="B806" s="155"/>
      <c r="C806" s="166"/>
      <c r="D806" s="166"/>
      <c r="E806" s="155"/>
      <c r="F806" s="155"/>
      <c r="G806" s="155"/>
      <c r="H806" s="155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  <c r="AA806" s="166"/>
      <c r="AB806" s="166"/>
      <c r="AC806" s="166"/>
      <c r="AD806" s="166"/>
      <c r="AE806" s="166"/>
      <c r="AF806" s="166"/>
      <c r="AG806" s="166"/>
    </row>
    <row r="807" spans="1:33" ht="15.750000" customHeight="1">
      <c r="A807" s="166"/>
      <c r="B807" s="155"/>
      <c r="C807" s="166"/>
      <c r="D807" s="166"/>
      <c r="E807" s="155"/>
      <c r="F807" s="155"/>
      <c r="G807" s="155"/>
      <c r="H807" s="155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  <c r="AA807" s="166"/>
      <c r="AB807" s="166"/>
      <c r="AC807" s="166"/>
      <c r="AD807" s="166"/>
      <c r="AE807" s="166"/>
      <c r="AF807" s="166"/>
      <c r="AG807" s="166"/>
    </row>
    <row r="808" spans="1:33" ht="15.750000" customHeight="1">
      <c r="A808" s="166"/>
      <c r="B808" s="155"/>
      <c r="C808" s="166"/>
      <c r="D808" s="166"/>
      <c r="E808" s="155"/>
      <c r="F808" s="155"/>
      <c r="G808" s="155"/>
      <c r="H808" s="155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  <c r="AA808" s="166"/>
      <c r="AB808" s="166"/>
      <c r="AC808" s="166"/>
      <c r="AD808" s="166"/>
      <c r="AE808" s="166"/>
      <c r="AF808" s="166"/>
      <c r="AG808" s="166"/>
    </row>
    <row r="809" spans="1:33" ht="15.750000" customHeight="1">
      <c r="A809" s="166"/>
      <c r="B809" s="155"/>
      <c r="C809" s="166"/>
      <c r="D809" s="166"/>
      <c r="E809" s="155"/>
      <c r="F809" s="155"/>
      <c r="G809" s="155"/>
      <c r="H809" s="155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  <c r="AA809" s="166"/>
      <c r="AB809" s="166"/>
      <c r="AC809" s="166"/>
      <c r="AD809" s="166"/>
      <c r="AE809" s="166"/>
      <c r="AF809" s="166"/>
      <c r="AG809" s="166"/>
    </row>
    <row r="810" spans="1:33" ht="15.750000" customHeight="1">
      <c r="A810" s="166"/>
      <c r="B810" s="155"/>
      <c r="C810" s="166"/>
      <c r="D810" s="166"/>
      <c r="E810" s="155"/>
      <c r="F810" s="155"/>
      <c r="G810" s="155"/>
      <c r="H810" s="155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  <c r="AA810" s="166"/>
      <c r="AB810" s="166"/>
      <c r="AC810" s="166"/>
      <c r="AD810" s="166"/>
      <c r="AE810" s="166"/>
      <c r="AF810" s="166"/>
      <c r="AG810" s="166"/>
    </row>
    <row r="811" spans="1:33" ht="15.750000" customHeight="1">
      <c r="A811" s="166"/>
      <c r="B811" s="155"/>
      <c r="C811" s="166"/>
      <c r="D811" s="166"/>
      <c r="E811" s="155"/>
      <c r="F811" s="155"/>
      <c r="G811" s="155"/>
      <c r="H811" s="155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  <c r="AA811" s="166"/>
      <c r="AB811" s="166"/>
      <c r="AC811" s="166"/>
      <c r="AD811" s="166"/>
      <c r="AE811" s="166"/>
      <c r="AF811" s="166"/>
      <c r="AG811" s="166"/>
    </row>
    <row r="812" spans="1:33" ht="15.750000" customHeight="1">
      <c r="A812" s="166"/>
      <c r="B812" s="155"/>
      <c r="C812" s="166"/>
      <c r="D812" s="166"/>
      <c r="E812" s="155"/>
      <c r="F812" s="155"/>
      <c r="G812" s="155"/>
      <c r="H812" s="155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  <c r="AA812" s="166"/>
      <c r="AB812" s="166"/>
      <c r="AC812" s="166"/>
      <c r="AD812" s="166"/>
      <c r="AE812" s="166"/>
      <c r="AF812" s="166"/>
      <c r="AG812" s="166"/>
    </row>
    <row r="813" spans="1:33" ht="15.750000" customHeight="1">
      <c r="A813" s="166"/>
      <c r="B813" s="155"/>
      <c r="C813" s="166"/>
      <c r="D813" s="166"/>
      <c r="E813" s="155"/>
      <c r="F813" s="155"/>
      <c r="G813" s="155"/>
      <c r="H813" s="155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  <c r="AA813" s="166"/>
      <c r="AB813" s="166"/>
      <c r="AC813" s="166"/>
      <c r="AD813" s="166"/>
      <c r="AE813" s="166"/>
      <c r="AF813" s="166"/>
      <c r="AG813" s="166"/>
    </row>
    <row r="814" spans="1:33" ht="15.750000" customHeight="1">
      <c r="A814" s="166"/>
      <c r="B814" s="155"/>
      <c r="C814" s="166"/>
      <c r="D814" s="166"/>
      <c r="E814" s="155"/>
      <c r="F814" s="155"/>
      <c r="G814" s="155"/>
      <c r="H814" s="155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  <c r="AA814" s="166"/>
      <c r="AB814" s="166"/>
      <c r="AC814" s="166"/>
      <c r="AD814" s="166"/>
      <c r="AE814" s="166"/>
      <c r="AF814" s="166"/>
      <c r="AG814" s="166"/>
    </row>
    <row r="815" spans="1:33" ht="15.750000" customHeight="1">
      <c r="A815" s="166"/>
      <c r="B815" s="155"/>
      <c r="C815" s="166"/>
      <c r="D815" s="166"/>
      <c r="E815" s="155"/>
      <c r="F815" s="155"/>
      <c r="G815" s="155"/>
      <c r="H815" s="155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  <c r="AA815" s="166"/>
      <c r="AB815" s="166"/>
      <c r="AC815" s="166"/>
      <c r="AD815" s="166"/>
      <c r="AE815" s="166"/>
      <c r="AF815" s="166"/>
      <c r="AG815" s="166"/>
    </row>
    <row r="816" spans="1:33" ht="15.750000" customHeight="1">
      <c r="A816" s="166"/>
      <c r="B816" s="155"/>
      <c r="C816" s="166"/>
      <c r="D816" s="166"/>
      <c r="E816" s="155"/>
      <c r="F816" s="155"/>
      <c r="G816" s="155"/>
      <c r="H816" s="155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  <c r="AA816" s="166"/>
      <c r="AB816" s="166"/>
      <c r="AC816" s="166"/>
      <c r="AD816" s="166"/>
      <c r="AE816" s="166"/>
      <c r="AF816" s="166"/>
      <c r="AG816" s="166"/>
    </row>
    <row r="817" spans="1:33" ht="15.750000" customHeight="1">
      <c r="A817" s="166"/>
      <c r="B817" s="155"/>
      <c r="C817" s="166"/>
      <c r="D817" s="166"/>
      <c r="E817" s="155"/>
      <c r="F817" s="155"/>
      <c r="G817" s="155"/>
      <c r="H817" s="155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  <c r="AA817" s="166"/>
      <c r="AB817" s="166"/>
      <c r="AC817" s="166"/>
      <c r="AD817" s="166"/>
      <c r="AE817" s="166"/>
      <c r="AF817" s="166"/>
      <c r="AG817" s="166"/>
    </row>
    <row r="818" spans="1:33" ht="15.750000" customHeight="1">
      <c r="A818" s="166"/>
      <c r="B818" s="155"/>
      <c r="C818" s="166"/>
      <c r="D818" s="166"/>
      <c r="E818" s="155"/>
      <c r="F818" s="155"/>
      <c r="G818" s="155"/>
      <c r="H818" s="155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  <c r="AA818" s="166"/>
      <c r="AB818" s="166"/>
      <c r="AC818" s="166"/>
      <c r="AD818" s="166"/>
      <c r="AE818" s="166"/>
      <c r="AF818" s="166"/>
      <c r="AG818" s="166"/>
    </row>
    <row r="819" spans="1:33" ht="15.750000" customHeight="1">
      <c r="A819" s="166"/>
      <c r="B819" s="155"/>
      <c r="C819" s="166"/>
      <c r="D819" s="166"/>
      <c r="E819" s="155"/>
      <c r="F819" s="155"/>
      <c r="G819" s="155"/>
      <c r="H819" s="155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  <c r="AA819" s="166"/>
      <c r="AB819" s="166"/>
      <c r="AC819" s="166"/>
      <c r="AD819" s="166"/>
      <c r="AE819" s="166"/>
      <c r="AF819" s="166"/>
      <c r="AG819" s="166"/>
    </row>
    <row r="820" spans="1:33" ht="15.750000" customHeight="1">
      <c r="A820" s="166"/>
      <c r="B820" s="155"/>
      <c r="C820" s="166"/>
      <c r="D820" s="166"/>
      <c r="E820" s="155"/>
      <c r="F820" s="155"/>
      <c r="G820" s="155"/>
      <c r="H820" s="155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  <c r="AA820" s="166"/>
      <c r="AB820" s="166"/>
      <c r="AC820" s="166"/>
      <c r="AD820" s="166"/>
      <c r="AE820" s="166"/>
      <c r="AF820" s="166"/>
      <c r="AG820" s="166"/>
    </row>
    <row r="821" spans="1:33" ht="15.750000" customHeight="1">
      <c r="A821" s="166"/>
      <c r="B821" s="155"/>
      <c r="C821" s="166"/>
      <c r="D821" s="166"/>
      <c r="E821" s="155"/>
      <c r="F821" s="155"/>
      <c r="G821" s="155"/>
      <c r="H821" s="155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  <c r="AA821" s="166"/>
      <c r="AB821" s="166"/>
      <c r="AC821" s="166"/>
      <c r="AD821" s="166"/>
      <c r="AE821" s="166"/>
      <c r="AF821" s="166"/>
      <c r="AG821" s="166"/>
    </row>
    <row r="822" spans="1:33" ht="15.750000" customHeight="1">
      <c r="A822" s="166"/>
      <c r="B822" s="155"/>
      <c r="C822" s="166"/>
      <c r="D822" s="166"/>
      <c r="E822" s="155"/>
      <c r="F822" s="155"/>
      <c r="G822" s="155"/>
      <c r="H822" s="155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  <c r="AA822" s="166"/>
      <c r="AB822" s="166"/>
      <c r="AC822" s="166"/>
      <c r="AD822" s="166"/>
      <c r="AE822" s="166"/>
      <c r="AF822" s="166"/>
      <c r="AG822" s="166"/>
    </row>
    <row r="823" spans="1:33" ht="15.750000" customHeight="1">
      <c r="A823" s="166"/>
      <c r="B823" s="155"/>
      <c r="C823" s="166"/>
      <c r="D823" s="166"/>
      <c r="E823" s="155"/>
      <c r="F823" s="155"/>
      <c r="G823" s="155"/>
      <c r="H823" s="155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  <c r="AA823" s="166"/>
      <c r="AB823" s="166"/>
      <c r="AC823" s="166"/>
      <c r="AD823" s="166"/>
      <c r="AE823" s="166"/>
      <c r="AF823" s="166"/>
      <c r="AG823" s="166"/>
    </row>
    <row r="824" spans="1:33" ht="15.750000" customHeight="1">
      <c r="A824" s="166"/>
      <c r="B824" s="155"/>
      <c r="C824" s="166"/>
      <c r="D824" s="166"/>
      <c r="E824" s="155"/>
      <c r="F824" s="155"/>
      <c r="G824" s="155"/>
      <c r="H824" s="155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  <c r="AA824" s="166"/>
      <c r="AB824" s="166"/>
      <c r="AC824" s="166"/>
      <c r="AD824" s="166"/>
      <c r="AE824" s="166"/>
      <c r="AF824" s="166"/>
      <c r="AG824" s="166"/>
    </row>
    <row r="825" spans="1:33" ht="15.750000" customHeight="1">
      <c r="A825" s="166"/>
      <c r="B825" s="155"/>
      <c r="C825" s="166"/>
      <c r="D825" s="166"/>
      <c r="E825" s="155"/>
      <c r="F825" s="155"/>
      <c r="G825" s="155"/>
      <c r="H825" s="155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  <c r="AA825" s="166"/>
      <c r="AB825" s="166"/>
      <c r="AC825" s="166"/>
      <c r="AD825" s="166"/>
      <c r="AE825" s="166"/>
      <c r="AF825" s="166"/>
      <c r="AG825" s="166"/>
    </row>
    <row r="826" spans="1:33" ht="15.750000" customHeight="1">
      <c r="A826" s="166"/>
      <c r="B826" s="155"/>
      <c r="C826" s="166"/>
      <c r="D826" s="166"/>
      <c r="E826" s="155"/>
      <c r="F826" s="155"/>
      <c r="G826" s="155"/>
      <c r="H826" s="155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  <c r="AA826" s="166"/>
      <c r="AB826" s="166"/>
      <c r="AC826" s="166"/>
      <c r="AD826" s="166"/>
      <c r="AE826" s="166"/>
      <c r="AF826" s="166"/>
      <c r="AG826" s="166"/>
    </row>
    <row r="827" spans="1:33" ht="15.750000" customHeight="1">
      <c r="A827" s="166"/>
      <c r="B827" s="155"/>
      <c r="C827" s="166"/>
      <c r="D827" s="166"/>
      <c r="E827" s="155"/>
      <c r="F827" s="155"/>
      <c r="G827" s="155"/>
      <c r="H827" s="155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  <c r="AA827" s="166"/>
      <c r="AB827" s="166"/>
      <c r="AC827" s="166"/>
      <c r="AD827" s="166"/>
      <c r="AE827" s="166"/>
      <c r="AF827" s="166"/>
      <c r="AG827" s="166"/>
    </row>
    <row r="828" spans="1:33" ht="15.750000" customHeight="1">
      <c r="A828" s="166"/>
      <c r="B828" s="155"/>
      <c r="C828" s="166"/>
      <c r="D828" s="166"/>
      <c r="E828" s="155"/>
      <c r="F828" s="155"/>
      <c r="G828" s="155"/>
      <c r="H828" s="155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  <c r="AA828" s="166"/>
      <c r="AB828" s="166"/>
      <c r="AC828" s="166"/>
      <c r="AD828" s="166"/>
      <c r="AE828" s="166"/>
      <c r="AF828" s="166"/>
      <c r="AG828" s="166"/>
    </row>
    <row r="829" spans="1:33" ht="15.750000" customHeight="1">
      <c r="A829" s="166"/>
      <c r="B829" s="155"/>
      <c r="C829" s="166"/>
      <c r="D829" s="166"/>
      <c r="E829" s="155"/>
      <c r="F829" s="155"/>
      <c r="G829" s="155"/>
      <c r="H829" s="155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  <c r="AA829" s="166"/>
      <c r="AB829" s="166"/>
      <c r="AC829" s="166"/>
      <c r="AD829" s="166"/>
      <c r="AE829" s="166"/>
      <c r="AF829" s="166"/>
      <c r="AG829" s="166"/>
    </row>
    <row r="830" spans="1:33" ht="15.750000" customHeight="1">
      <c r="A830" s="166"/>
      <c r="B830" s="155"/>
      <c r="C830" s="166"/>
      <c r="D830" s="166"/>
      <c r="E830" s="155"/>
      <c r="F830" s="155"/>
      <c r="G830" s="155"/>
      <c r="H830" s="155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  <c r="AA830" s="166"/>
      <c r="AB830" s="166"/>
      <c r="AC830" s="166"/>
      <c r="AD830" s="166"/>
      <c r="AE830" s="166"/>
      <c r="AF830" s="166"/>
      <c r="AG830" s="166"/>
    </row>
    <row r="831" spans="1:33" ht="15.750000" customHeight="1">
      <c r="A831" s="166"/>
      <c r="B831" s="155"/>
      <c r="C831" s="166"/>
      <c r="D831" s="166"/>
      <c r="E831" s="155"/>
      <c r="F831" s="155"/>
      <c r="G831" s="155"/>
      <c r="H831" s="155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  <c r="AA831" s="166"/>
      <c r="AB831" s="166"/>
      <c r="AC831" s="166"/>
      <c r="AD831" s="166"/>
      <c r="AE831" s="166"/>
      <c r="AF831" s="166"/>
      <c r="AG831" s="166"/>
    </row>
    <row r="832" spans="1:33" ht="15.750000" customHeight="1">
      <c r="A832" s="166"/>
      <c r="B832" s="155"/>
      <c r="C832" s="166"/>
      <c r="D832" s="166"/>
      <c r="E832" s="155"/>
      <c r="F832" s="155"/>
      <c r="G832" s="155"/>
      <c r="H832" s="155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  <c r="AA832" s="166"/>
      <c r="AB832" s="166"/>
      <c r="AC832" s="166"/>
      <c r="AD832" s="166"/>
      <c r="AE832" s="166"/>
      <c r="AF832" s="166"/>
      <c r="AG832" s="166"/>
    </row>
    <row r="833" spans="1:33" ht="15.750000" customHeight="1">
      <c r="A833" s="166"/>
      <c r="B833" s="155"/>
      <c r="C833" s="166"/>
      <c r="D833" s="166"/>
      <c r="E833" s="155"/>
      <c r="F833" s="155"/>
      <c r="G833" s="155"/>
      <c r="H833" s="155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  <c r="AA833" s="166"/>
      <c r="AB833" s="166"/>
      <c r="AC833" s="166"/>
      <c r="AD833" s="166"/>
      <c r="AE833" s="166"/>
      <c r="AF833" s="166"/>
      <c r="AG833" s="166"/>
    </row>
    <row r="834" spans="1:33" ht="15.750000" customHeight="1">
      <c r="A834" s="166"/>
      <c r="B834" s="155"/>
      <c r="C834" s="166"/>
      <c r="D834" s="166"/>
      <c r="E834" s="155"/>
      <c r="F834" s="155"/>
      <c r="G834" s="155"/>
      <c r="H834" s="155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  <c r="AA834" s="166"/>
      <c r="AB834" s="166"/>
      <c r="AC834" s="166"/>
      <c r="AD834" s="166"/>
      <c r="AE834" s="166"/>
      <c r="AF834" s="166"/>
      <c r="AG834" s="166"/>
    </row>
    <row r="835" spans="1:33" ht="15.750000" customHeight="1">
      <c r="A835" s="166"/>
      <c r="B835" s="155"/>
      <c r="C835" s="166"/>
      <c r="D835" s="166"/>
      <c r="E835" s="155"/>
      <c r="F835" s="155"/>
      <c r="G835" s="155"/>
      <c r="H835" s="155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  <c r="AA835" s="166"/>
      <c r="AB835" s="166"/>
      <c r="AC835" s="166"/>
      <c r="AD835" s="166"/>
      <c r="AE835" s="166"/>
      <c r="AF835" s="166"/>
      <c r="AG835" s="166"/>
    </row>
    <row r="836" spans="1:33" ht="15.750000" customHeight="1">
      <c r="A836" s="166"/>
      <c r="B836" s="155"/>
      <c r="C836" s="166"/>
      <c r="D836" s="166"/>
      <c r="E836" s="155"/>
      <c r="F836" s="155"/>
      <c r="G836" s="155"/>
      <c r="H836" s="155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  <c r="AA836" s="166"/>
      <c r="AB836" s="166"/>
      <c r="AC836" s="166"/>
      <c r="AD836" s="166"/>
      <c r="AE836" s="166"/>
      <c r="AF836" s="166"/>
      <c r="AG836" s="166"/>
    </row>
    <row r="837" spans="1:33" ht="15.750000" customHeight="1">
      <c r="A837" s="166"/>
      <c r="B837" s="155"/>
      <c r="C837" s="166"/>
      <c r="D837" s="166"/>
      <c r="E837" s="155"/>
      <c r="F837" s="155"/>
      <c r="G837" s="155"/>
      <c r="H837" s="155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  <c r="AA837" s="166"/>
      <c r="AB837" s="166"/>
      <c r="AC837" s="166"/>
      <c r="AD837" s="166"/>
      <c r="AE837" s="166"/>
      <c r="AF837" s="166"/>
      <c r="AG837" s="166"/>
    </row>
    <row r="838" spans="1:33" ht="15.750000" customHeight="1">
      <c r="A838" s="166"/>
      <c r="B838" s="155"/>
      <c r="C838" s="166"/>
      <c r="D838" s="166"/>
      <c r="E838" s="155"/>
      <c r="F838" s="155"/>
      <c r="G838" s="155"/>
      <c r="H838" s="155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  <c r="AA838" s="166"/>
      <c r="AB838" s="166"/>
      <c r="AC838" s="166"/>
      <c r="AD838" s="166"/>
      <c r="AE838" s="166"/>
      <c r="AF838" s="166"/>
      <c r="AG838" s="166"/>
    </row>
    <row r="839" spans="1:33" ht="15.750000" customHeight="1">
      <c r="A839" s="166"/>
      <c r="B839" s="155"/>
      <c r="C839" s="166"/>
      <c r="D839" s="166"/>
      <c r="E839" s="155"/>
      <c r="F839" s="155"/>
      <c r="G839" s="155"/>
      <c r="H839" s="155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  <c r="AA839" s="166"/>
      <c r="AB839" s="166"/>
      <c r="AC839" s="166"/>
      <c r="AD839" s="166"/>
      <c r="AE839" s="166"/>
      <c r="AF839" s="166"/>
      <c r="AG839" s="166"/>
    </row>
    <row r="840" spans="1:33" ht="15.750000" customHeight="1">
      <c r="A840" s="166"/>
      <c r="B840" s="155"/>
      <c r="C840" s="166"/>
      <c r="D840" s="166"/>
      <c r="E840" s="155"/>
      <c r="F840" s="155"/>
      <c r="G840" s="155"/>
      <c r="H840" s="155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  <c r="AA840" s="166"/>
      <c r="AB840" s="166"/>
      <c r="AC840" s="166"/>
      <c r="AD840" s="166"/>
      <c r="AE840" s="166"/>
      <c r="AF840" s="166"/>
      <c r="AG840" s="166"/>
    </row>
    <row r="841" spans="1:33" ht="15.750000" customHeight="1">
      <c r="A841" s="166"/>
      <c r="B841" s="155"/>
      <c r="C841" s="166"/>
      <c r="D841" s="166"/>
      <c r="E841" s="155"/>
      <c r="F841" s="155"/>
      <c r="G841" s="155"/>
      <c r="H841" s="155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  <c r="AA841" s="166"/>
      <c r="AB841" s="166"/>
      <c r="AC841" s="166"/>
      <c r="AD841" s="166"/>
      <c r="AE841" s="166"/>
      <c r="AF841" s="166"/>
      <c r="AG841" s="166"/>
    </row>
    <row r="842" spans="1:33" ht="15.750000" customHeight="1">
      <c r="A842" s="166"/>
      <c r="B842" s="155"/>
      <c r="C842" s="166"/>
      <c r="D842" s="166"/>
      <c r="E842" s="155"/>
      <c r="F842" s="155"/>
      <c r="G842" s="155"/>
      <c r="H842" s="155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  <c r="AA842" s="166"/>
      <c r="AB842" s="166"/>
      <c r="AC842" s="166"/>
      <c r="AD842" s="166"/>
      <c r="AE842" s="166"/>
      <c r="AF842" s="166"/>
      <c r="AG842" s="166"/>
    </row>
    <row r="843" spans="1:33" ht="15.750000" customHeight="1">
      <c r="A843" s="166"/>
      <c r="B843" s="155"/>
      <c r="C843" s="166"/>
      <c r="D843" s="166"/>
      <c r="E843" s="155"/>
      <c r="F843" s="155"/>
      <c r="G843" s="155"/>
      <c r="H843" s="155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  <c r="AA843" s="166"/>
      <c r="AB843" s="166"/>
      <c r="AC843" s="166"/>
      <c r="AD843" s="166"/>
      <c r="AE843" s="166"/>
      <c r="AF843" s="166"/>
      <c r="AG843" s="166"/>
    </row>
    <row r="844" spans="1:33" ht="15.750000" customHeight="1">
      <c r="A844" s="166"/>
      <c r="B844" s="155"/>
      <c r="C844" s="166"/>
      <c r="D844" s="166"/>
      <c r="E844" s="155"/>
      <c r="F844" s="155"/>
      <c r="G844" s="155"/>
      <c r="H844" s="155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  <c r="AA844" s="166"/>
      <c r="AB844" s="166"/>
      <c r="AC844" s="166"/>
      <c r="AD844" s="166"/>
      <c r="AE844" s="166"/>
      <c r="AF844" s="166"/>
      <c r="AG844" s="166"/>
    </row>
    <row r="845" spans="1:33" ht="15.750000" customHeight="1">
      <c r="A845" s="166"/>
      <c r="B845" s="155"/>
      <c r="C845" s="166"/>
      <c r="D845" s="166"/>
      <c r="E845" s="155"/>
      <c r="F845" s="155"/>
      <c r="G845" s="155"/>
      <c r="H845" s="155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  <c r="AA845" s="166"/>
      <c r="AB845" s="166"/>
      <c r="AC845" s="166"/>
      <c r="AD845" s="166"/>
      <c r="AE845" s="166"/>
      <c r="AF845" s="166"/>
      <c r="AG845" s="166"/>
    </row>
    <row r="846" spans="1:33" ht="15.750000" customHeight="1">
      <c r="A846" s="166"/>
      <c r="B846" s="155"/>
      <c r="C846" s="166"/>
      <c r="D846" s="166"/>
      <c r="E846" s="155"/>
      <c r="F846" s="155"/>
      <c r="G846" s="155"/>
      <c r="H846" s="155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  <c r="AA846" s="166"/>
      <c r="AB846" s="166"/>
      <c r="AC846" s="166"/>
      <c r="AD846" s="166"/>
      <c r="AE846" s="166"/>
      <c r="AF846" s="166"/>
      <c r="AG846" s="166"/>
    </row>
    <row r="847" spans="1:33" ht="15.750000" customHeight="1">
      <c r="A847" s="166"/>
      <c r="B847" s="155"/>
      <c r="C847" s="166"/>
      <c r="D847" s="166"/>
      <c r="E847" s="155"/>
      <c r="F847" s="155"/>
      <c r="G847" s="155"/>
      <c r="H847" s="155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  <c r="AA847" s="166"/>
      <c r="AB847" s="166"/>
      <c r="AC847" s="166"/>
      <c r="AD847" s="166"/>
      <c r="AE847" s="166"/>
      <c r="AF847" s="166"/>
      <c r="AG847" s="166"/>
    </row>
    <row r="848" spans="1:33" ht="15.750000" customHeight="1">
      <c r="A848" s="166"/>
      <c r="B848" s="155"/>
      <c r="C848" s="166"/>
      <c r="D848" s="166"/>
      <c r="E848" s="155"/>
      <c r="F848" s="155"/>
      <c r="G848" s="155"/>
      <c r="H848" s="155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  <c r="AA848" s="166"/>
      <c r="AB848" s="166"/>
      <c r="AC848" s="166"/>
      <c r="AD848" s="166"/>
      <c r="AE848" s="166"/>
      <c r="AF848" s="166"/>
      <c r="AG848" s="166"/>
    </row>
    <row r="849" spans="1:33" ht="15.750000" customHeight="1">
      <c r="A849" s="166"/>
      <c r="B849" s="155"/>
      <c r="C849" s="166"/>
      <c r="D849" s="166"/>
      <c r="E849" s="155"/>
      <c r="F849" s="155"/>
      <c r="G849" s="155"/>
      <c r="H849" s="155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  <c r="AA849" s="166"/>
      <c r="AB849" s="166"/>
      <c r="AC849" s="166"/>
      <c r="AD849" s="166"/>
      <c r="AE849" s="166"/>
      <c r="AF849" s="166"/>
      <c r="AG849" s="166"/>
    </row>
    <row r="850" spans="1:33" ht="15.750000" customHeight="1">
      <c r="A850" s="166"/>
      <c r="B850" s="155"/>
      <c r="C850" s="166"/>
      <c r="D850" s="166"/>
      <c r="E850" s="155"/>
      <c r="F850" s="155"/>
      <c r="G850" s="155"/>
      <c r="H850" s="155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  <c r="AA850" s="166"/>
      <c r="AB850" s="166"/>
      <c r="AC850" s="166"/>
      <c r="AD850" s="166"/>
      <c r="AE850" s="166"/>
      <c r="AF850" s="166"/>
      <c r="AG850" s="166"/>
    </row>
    <row r="851" spans="1:33" ht="15.750000" customHeight="1">
      <c r="A851" s="166"/>
      <c r="B851" s="155"/>
      <c r="C851" s="166"/>
      <c r="D851" s="166"/>
      <c r="E851" s="155"/>
      <c r="F851" s="155"/>
      <c r="G851" s="155"/>
      <c r="H851" s="155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  <c r="AA851" s="166"/>
      <c r="AB851" s="166"/>
      <c r="AC851" s="166"/>
      <c r="AD851" s="166"/>
      <c r="AE851" s="166"/>
      <c r="AF851" s="166"/>
      <c r="AG851" s="166"/>
    </row>
    <row r="852" spans="1:33" ht="15.750000" customHeight="1">
      <c r="A852" s="166"/>
      <c r="B852" s="155"/>
      <c r="C852" s="166"/>
      <c r="D852" s="166"/>
      <c r="E852" s="155"/>
      <c r="F852" s="155"/>
      <c r="G852" s="155"/>
      <c r="H852" s="155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  <c r="AA852" s="166"/>
      <c r="AB852" s="166"/>
      <c r="AC852" s="166"/>
      <c r="AD852" s="166"/>
      <c r="AE852" s="166"/>
      <c r="AF852" s="166"/>
      <c r="AG852" s="166"/>
    </row>
    <row r="853" spans="1:33" ht="15.750000" customHeight="1">
      <c r="A853" s="166"/>
      <c r="B853" s="155"/>
      <c r="C853" s="166"/>
      <c r="D853" s="166"/>
      <c r="E853" s="155"/>
      <c r="F853" s="155"/>
      <c r="G853" s="155"/>
      <c r="H853" s="155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  <c r="AA853" s="166"/>
      <c r="AB853" s="166"/>
      <c r="AC853" s="166"/>
      <c r="AD853" s="166"/>
      <c r="AE853" s="166"/>
      <c r="AF853" s="166"/>
      <c r="AG853" s="166"/>
    </row>
    <row r="854" spans="1:33" ht="15.750000" customHeight="1">
      <c r="A854" s="166"/>
      <c r="B854" s="155"/>
      <c r="C854" s="166"/>
      <c r="D854" s="166"/>
      <c r="E854" s="155"/>
      <c r="F854" s="155"/>
      <c r="G854" s="155"/>
      <c r="H854" s="155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  <c r="AA854" s="166"/>
      <c r="AB854" s="166"/>
      <c r="AC854" s="166"/>
      <c r="AD854" s="166"/>
      <c r="AE854" s="166"/>
      <c r="AF854" s="166"/>
      <c r="AG854" s="166"/>
    </row>
    <row r="855" spans="1:33" ht="15.750000" customHeight="1">
      <c r="A855" s="166"/>
      <c r="B855" s="155"/>
      <c r="C855" s="166"/>
      <c r="D855" s="166"/>
      <c r="E855" s="155"/>
      <c r="F855" s="155"/>
      <c r="G855" s="155"/>
      <c r="H855" s="155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  <c r="AA855" s="166"/>
      <c r="AB855" s="166"/>
      <c r="AC855" s="166"/>
      <c r="AD855" s="166"/>
      <c r="AE855" s="166"/>
      <c r="AF855" s="166"/>
      <c r="AG855" s="166"/>
    </row>
    <row r="856" spans="1:33" ht="15.750000" customHeight="1">
      <c r="A856" s="166"/>
      <c r="B856" s="155"/>
      <c r="C856" s="166"/>
      <c r="D856" s="166"/>
      <c r="E856" s="155"/>
      <c r="F856" s="155"/>
      <c r="G856" s="155"/>
      <c r="H856" s="155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  <c r="AA856" s="166"/>
      <c r="AB856" s="166"/>
      <c r="AC856" s="166"/>
      <c r="AD856" s="166"/>
      <c r="AE856" s="166"/>
      <c r="AF856" s="166"/>
      <c r="AG856" s="166"/>
    </row>
    <row r="857" spans="1:33" ht="15.750000" customHeight="1">
      <c r="A857" s="166"/>
      <c r="B857" s="155"/>
      <c r="C857" s="166"/>
      <c r="D857" s="166"/>
      <c r="E857" s="155"/>
      <c r="F857" s="155"/>
      <c r="G857" s="155"/>
      <c r="H857" s="155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  <c r="AA857" s="166"/>
      <c r="AB857" s="166"/>
      <c r="AC857" s="166"/>
      <c r="AD857" s="166"/>
      <c r="AE857" s="166"/>
      <c r="AF857" s="166"/>
      <c r="AG857" s="166"/>
    </row>
    <row r="858" spans="1:33" ht="15.750000" customHeight="1">
      <c r="A858" s="166"/>
      <c r="B858" s="155"/>
      <c r="C858" s="166"/>
      <c r="D858" s="166"/>
      <c r="E858" s="155"/>
      <c r="F858" s="155"/>
      <c r="G858" s="155"/>
      <c r="H858" s="155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  <c r="AA858" s="166"/>
      <c r="AB858" s="166"/>
      <c r="AC858" s="166"/>
      <c r="AD858" s="166"/>
      <c r="AE858" s="166"/>
      <c r="AF858" s="166"/>
      <c r="AG858" s="166"/>
    </row>
    <row r="859" spans="1:33" ht="15.750000" customHeight="1">
      <c r="A859" s="166"/>
      <c r="B859" s="155"/>
      <c r="C859" s="166"/>
      <c r="D859" s="166"/>
      <c r="E859" s="155"/>
      <c r="F859" s="155"/>
      <c r="G859" s="155"/>
      <c r="H859" s="155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  <c r="AA859" s="166"/>
      <c r="AB859" s="166"/>
      <c r="AC859" s="166"/>
      <c r="AD859" s="166"/>
      <c r="AE859" s="166"/>
      <c r="AF859" s="166"/>
      <c r="AG859" s="166"/>
    </row>
    <row r="860" spans="1:33" ht="15.750000" customHeight="1">
      <c r="A860" s="166"/>
      <c r="B860" s="155"/>
      <c r="C860" s="166"/>
      <c r="D860" s="166"/>
      <c r="E860" s="155"/>
      <c r="F860" s="155"/>
      <c r="G860" s="155"/>
      <c r="H860" s="155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  <c r="AA860" s="166"/>
      <c r="AB860" s="166"/>
      <c r="AC860" s="166"/>
      <c r="AD860" s="166"/>
      <c r="AE860" s="166"/>
      <c r="AF860" s="166"/>
      <c r="AG860" s="166"/>
    </row>
    <row r="861" spans="1:33" ht="15.750000" customHeight="1">
      <c r="A861" s="166"/>
      <c r="B861" s="155"/>
      <c r="C861" s="166"/>
      <c r="D861" s="166"/>
      <c r="E861" s="155"/>
      <c r="F861" s="155"/>
      <c r="G861" s="155"/>
      <c r="H861" s="155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  <c r="AA861" s="166"/>
      <c r="AB861" s="166"/>
      <c r="AC861" s="166"/>
      <c r="AD861" s="166"/>
      <c r="AE861" s="166"/>
      <c r="AF861" s="166"/>
      <c r="AG861" s="166"/>
    </row>
    <row r="862" spans="1:33" ht="15.750000" customHeight="1">
      <c r="A862" s="166"/>
      <c r="B862" s="155"/>
      <c r="C862" s="166"/>
      <c r="D862" s="166"/>
      <c r="E862" s="155"/>
      <c r="F862" s="155"/>
      <c r="G862" s="155"/>
      <c r="H862" s="155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  <c r="AA862" s="166"/>
      <c r="AB862" s="166"/>
      <c r="AC862" s="166"/>
      <c r="AD862" s="166"/>
      <c r="AE862" s="166"/>
      <c r="AF862" s="166"/>
      <c r="AG862" s="166"/>
    </row>
    <row r="863" spans="1:33" ht="15.750000" customHeight="1">
      <c r="A863" s="166"/>
      <c r="B863" s="155"/>
      <c r="C863" s="166"/>
      <c r="D863" s="166"/>
      <c r="E863" s="155"/>
      <c r="F863" s="155"/>
      <c r="G863" s="155"/>
      <c r="H863" s="155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  <c r="AA863" s="166"/>
      <c r="AB863" s="166"/>
      <c r="AC863" s="166"/>
      <c r="AD863" s="166"/>
      <c r="AE863" s="166"/>
      <c r="AF863" s="166"/>
      <c r="AG863" s="166"/>
    </row>
    <row r="864" spans="1:33" ht="15.750000" customHeight="1">
      <c r="A864" s="166"/>
      <c r="B864" s="155"/>
      <c r="C864" s="166"/>
      <c r="D864" s="166"/>
      <c r="E864" s="155"/>
      <c r="F864" s="155"/>
      <c r="G864" s="155"/>
      <c r="H864" s="155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  <c r="AA864" s="166"/>
      <c r="AB864" s="166"/>
      <c r="AC864" s="166"/>
      <c r="AD864" s="166"/>
      <c r="AE864" s="166"/>
      <c r="AF864" s="166"/>
      <c r="AG864" s="166"/>
    </row>
    <row r="865" spans="1:33" ht="15.750000" customHeight="1">
      <c r="A865" s="166"/>
      <c r="B865" s="155"/>
      <c r="C865" s="166"/>
      <c r="D865" s="166"/>
      <c r="E865" s="155"/>
      <c r="F865" s="155"/>
      <c r="G865" s="155"/>
      <c r="H865" s="155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  <c r="AA865" s="166"/>
      <c r="AB865" s="166"/>
      <c r="AC865" s="166"/>
      <c r="AD865" s="166"/>
      <c r="AE865" s="166"/>
      <c r="AF865" s="166"/>
      <c r="AG865" s="166"/>
    </row>
    <row r="866" spans="1:33" ht="15.750000" customHeight="1">
      <c r="A866" s="166"/>
      <c r="B866" s="155"/>
      <c r="C866" s="166"/>
      <c r="D866" s="166"/>
      <c r="E866" s="155"/>
      <c r="F866" s="155"/>
      <c r="G866" s="155"/>
      <c r="H866" s="155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  <c r="AA866" s="166"/>
      <c r="AB866" s="166"/>
      <c r="AC866" s="166"/>
      <c r="AD866" s="166"/>
      <c r="AE866" s="166"/>
      <c r="AF866" s="166"/>
      <c r="AG866" s="166"/>
    </row>
    <row r="867" spans="1:33" ht="15.750000" customHeight="1">
      <c r="A867" s="166"/>
      <c r="B867" s="155"/>
      <c r="C867" s="166"/>
      <c r="D867" s="166"/>
      <c r="E867" s="155"/>
      <c r="F867" s="155"/>
      <c r="G867" s="155"/>
      <c r="H867" s="155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  <c r="AA867" s="166"/>
      <c r="AB867" s="166"/>
      <c r="AC867" s="166"/>
      <c r="AD867" s="166"/>
      <c r="AE867" s="166"/>
      <c r="AF867" s="166"/>
      <c r="AG867" s="166"/>
    </row>
    <row r="868" spans="1:33" ht="15.750000" customHeight="1">
      <c r="A868" s="166"/>
      <c r="B868" s="155"/>
      <c r="C868" s="166"/>
      <c r="D868" s="166"/>
      <c r="E868" s="155"/>
      <c r="F868" s="155"/>
      <c r="G868" s="155"/>
      <c r="H868" s="155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  <c r="AA868" s="166"/>
      <c r="AB868" s="166"/>
      <c r="AC868" s="166"/>
      <c r="AD868" s="166"/>
      <c r="AE868" s="166"/>
      <c r="AF868" s="166"/>
      <c r="AG868" s="166"/>
    </row>
    <row r="869" spans="1:33" ht="15.750000" customHeight="1">
      <c r="A869" s="166"/>
      <c r="B869" s="155"/>
      <c r="C869" s="166"/>
      <c r="D869" s="166"/>
      <c r="E869" s="155"/>
      <c r="F869" s="155"/>
      <c r="G869" s="155"/>
      <c r="H869" s="155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  <c r="AA869" s="166"/>
      <c r="AB869" s="166"/>
      <c r="AC869" s="166"/>
      <c r="AD869" s="166"/>
      <c r="AE869" s="166"/>
      <c r="AF869" s="166"/>
      <c r="AG869" s="166"/>
    </row>
    <row r="870" spans="1:33" ht="15.750000" customHeight="1">
      <c r="A870" s="166"/>
      <c r="B870" s="155"/>
      <c r="C870" s="166"/>
      <c r="D870" s="166"/>
      <c r="E870" s="155"/>
      <c r="F870" s="155"/>
      <c r="G870" s="155"/>
      <c r="H870" s="155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  <c r="AA870" s="166"/>
      <c r="AB870" s="166"/>
      <c r="AC870" s="166"/>
      <c r="AD870" s="166"/>
      <c r="AE870" s="166"/>
      <c r="AF870" s="166"/>
      <c r="AG870" s="166"/>
    </row>
    <row r="871" spans="1:33" ht="15.750000" customHeight="1">
      <c r="A871" s="166"/>
      <c r="B871" s="155"/>
      <c r="C871" s="166"/>
      <c r="D871" s="166"/>
      <c r="E871" s="155"/>
      <c r="F871" s="155"/>
      <c r="G871" s="155"/>
      <c r="H871" s="155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  <c r="AA871" s="166"/>
      <c r="AB871" s="166"/>
      <c r="AC871" s="166"/>
      <c r="AD871" s="166"/>
      <c r="AE871" s="166"/>
      <c r="AF871" s="166"/>
      <c r="AG871" s="166"/>
    </row>
    <row r="872" spans="1:33" ht="15.750000" customHeight="1">
      <c r="A872" s="166"/>
      <c r="B872" s="155"/>
      <c r="C872" s="166"/>
      <c r="D872" s="166"/>
      <c r="E872" s="155"/>
      <c r="F872" s="155"/>
      <c r="G872" s="155"/>
      <c r="H872" s="155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  <c r="AA872" s="166"/>
      <c r="AB872" s="166"/>
      <c r="AC872" s="166"/>
      <c r="AD872" s="166"/>
      <c r="AE872" s="166"/>
      <c r="AF872" s="166"/>
      <c r="AG872" s="166"/>
    </row>
    <row r="873" spans="1:33" ht="15.750000" customHeight="1">
      <c r="A873" s="166"/>
      <c r="B873" s="155"/>
      <c r="C873" s="166"/>
      <c r="D873" s="166"/>
      <c r="E873" s="155"/>
      <c r="F873" s="155"/>
      <c r="G873" s="155"/>
      <c r="H873" s="155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  <c r="AA873" s="166"/>
      <c r="AB873" s="166"/>
      <c r="AC873" s="166"/>
      <c r="AD873" s="166"/>
      <c r="AE873" s="166"/>
      <c r="AF873" s="166"/>
      <c r="AG873" s="166"/>
    </row>
    <row r="874" spans="1:33" ht="15.750000" customHeight="1">
      <c r="A874" s="166"/>
      <c r="B874" s="155"/>
      <c r="C874" s="166"/>
      <c r="D874" s="166"/>
      <c r="E874" s="155"/>
      <c r="F874" s="155"/>
      <c r="G874" s="155"/>
      <c r="H874" s="155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  <c r="AA874" s="166"/>
      <c r="AB874" s="166"/>
      <c r="AC874" s="166"/>
      <c r="AD874" s="166"/>
      <c r="AE874" s="166"/>
      <c r="AF874" s="166"/>
      <c r="AG874" s="166"/>
    </row>
    <row r="875" spans="1:33" ht="15.750000" customHeight="1">
      <c r="A875" s="166"/>
      <c r="B875" s="155"/>
      <c r="C875" s="166"/>
      <c r="D875" s="166"/>
      <c r="E875" s="155"/>
      <c r="F875" s="155"/>
      <c r="G875" s="155"/>
      <c r="H875" s="155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  <c r="AA875" s="166"/>
      <c r="AB875" s="166"/>
      <c r="AC875" s="166"/>
      <c r="AD875" s="166"/>
      <c r="AE875" s="166"/>
      <c r="AF875" s="166"/>
      <c r="AG875" s="166"/>
    </row>
    <row r="876" spans="1:33" ht="15.750000" customHeight="1">
      <c r="A876" s="166"/>
      <c r="B876" s="155"/>
      <c r="C876" s="166"/>
      <c r="D876" s="166"/>
      <c r="E876" s="155"/>
      <c r="F876" s="155"/>
      <c r="G876" s="155"/>
      <c r="H876" s="155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  <c r="AA876" s="166"/>
      <c r="AB876" s="166"/>
      <c r="AC876" s="166"/>
      <c r="AD876" s="166"/>
      <c r="AE876" s="166"/>
      <c r="AF876" s="166"/>
      <c r="AG876" s="166"/>
    </row>
    <row r="877" spans="1:33" ht="15.750000" customHeight="1">
      <c r="A877" s="166"/>
      <c r="B877" s="155"/>
      <c r="C877" s="166"/>
      <c r="D877" s="166"/>
      <c r="E877" s="155"/>
      <c r="F877" s="155"/>
      <c r="G877" s="155"/>
      <c r="H877" s="155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  <c r="AA877" s="166"/>
      <c r="AB877" s="166"/>
      <c r="AC877" s="166"/>
      <c r="AD877" s="166"/>
      <c r="AE877" s="166"/>
      <c r="AF877" s="166"/>
      <c r="AG877" s="166"/>
    </row>
    <row r="878" spans="1:33" ht="15.750000" customHeight="1">
      <c r="A878" s="166"/>
      <c r="B878" s="155"/>
      <c r="C878" s="166"/>
      <c r="D878" s="166"/>
      <c r="E878" s="155"/>
      <c r="F878" s="155"/>
      <c r="G878" s="155"/>
      <c r="H878" s="155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  <c r="AA878" s="166"/>
      <c r="AB878" s="166"/>
      <c r="AC878" s="166"/>
      <c r="AD878" s="166"/>
      <c r="AE878" s="166"/>
      <c r="AF878" s="166"/>
      <c r="AG878" s="166"/>
    </row>
    <row r="879" spans="1:33" ht="15.750000" customHeight="1">
      <c r="A879" s="166"/>
      <c r="B879" s="155"/>
      <c r="C879" s="166"/>
      <c r="D879" s="166"/>
      <c r="E879" s="155"/>
      <c r="F879" s="155"/>
      <c r="G879" s="155"/>
      <c r="H879" s="155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  <c r="AA879" s="166"/>
      <c r="AB879" s="166"/>
      <c r="AC879" s="166"/>
      <c r="AD879" s="166"/>
      <c r="AE879" s="166"/>
      <c r="AF879" s="166"/>
      <c r="AG879" s="166"/>
    </row>
    <row r="880" spans="1:33" ht="15.750000" customHeight="1">
      <c r="A880" s="166"/>
      <c r="B880" s="155"/>
      <c r="C880" s="166"/>
      <c r="D880" s="166"/>
      <c r="E880" s="155"/>
      <c r="F880" s="155"/>
      <c r="G880" s="155"/>
      <c r="H880" s="155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  <c r="AA880" s="166"/>
      <c r="AB880" s="166"/>
      <c r="AC880" s="166"/>
      <c r="AD880" s="166"/>
      <c r="AE880" s="166"/>
      <c r="AF880" s="166"/>
      <c r="AG880" s="166"/>
    </row>
    <row r="881" spans="1:33" ht="15.750000" customHeight="1">
      <c r="A881" s="166"/>
      <c r="B881" s="155"/>
      <c r="C881" s="166"/>
      <c r="D881" s="166"/>
      <c r="E881" s="155"/>
      <c r="F881" s="155"/>
      <c r="G881" s="155"/>
      <c r="H881" s="155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  <c r="AA881" s="166"/>
      <c r="AB881" s="166"/>
      <c r="AC881" s="166"/>
      <c r="AD881" s="166"/>
      <c r="AE881" s="166"/>
      <c r="AF881" s="166"/>
      <c r="AG881" s="166"/>
    </row>
    <row r="882" spans="1:33" ht="15.750000" customHeight="1">
      <c r="A882" s="166"/>
      <c r="B882" s="155"/>
      <c r="C882" s="166"/>
      <c r="D882" s="166"/>
      <c r="E882" s="155"/>
      <c r="F882" s="155"/>
      <c r="G882" s="155"/>
      <c r="H882" s="155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  <c r="AA882" s="166"/>
      <c r="AB882" s="166"/>
      <c r="AC882" s="166"/>
      <c r="AD882" s="166"/>
      <c r="AE882" s="166"/>
      <c r="AF882" s="166"/>
      <c r="AG882" s="166"/>
    </row>
    <row r="883" spans="1:33" ht="15.750000" customHeight="1">
      <c r="A883" s="166"/>
      <c r="B883" s="155"/>
      <c r="C883" s="166"/>
      <c r="D883" s="166"/>
      <c r="E883" s="155"/>
      <c r="F883" s="155"/>
      <c r="G883" s="155"/>
      <c r="H883" s="155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  <c r="AA883" s="166"/>
      <c r="AB883" s="166"/>
      <c r="AC883" s="166"/>
      <c r="AD883" s="166"/>
      <c r="AE883" s="166"/>
      <c r="AF883" s="166"/>
      <c r="AG883" s="166"/>
    </row>
    <row r="884" spans="1:33" ht="15.750000" customHeight="1">
      <c r="A884" s="166"/>
      <c r="B884" s="155"/>
      <c r="C884" s="166"/>
      <c r="D884" s="166"/>
      <c r="E884" s="155"/>
      <c r="F884" s="155"/>
      <c r="G884" s="155"/>
      <c r="H884" s="155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  <c r="AA884" s="166"/>
      <c r="AB884" s="166"/>
      <c r="AC884" s="166"/>
      <c r="AD884" s="166"/>
      <c r="AE884" s="166"/>
      <c r="AF884" s="166"/>
      <c r="AG884" s="166"/>
    </row>
    <row r="885" spans="1:33" ht="15.750000" customHeight="1">
      <c r="A885" s="166"/>
      <c r="B885" s="155"/>
      <c r="C885" s="166"/>
      <c r="D885" s="166"/>
      <c r="E885" s="155"/>
      <c r="F885" s="155"/>
      <c r="G885" s="155"/>
      <c r="H885" s="155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  <c r="AA885" s="166"/>
      <c r="AB885" s="166"/>
      <c r="AC885" s="166"/>
      <c r="AD885" s="166"/>
      <c r="AE885" s="166"/>
      <c r="AF885" s="166"/>
      <c r="AG885" s="166"/>
    </row>
    <row r="886" spans="1:33" ht="15.750000" customHeight="1">
      <c r="A886" s="166"/>
      <c r="B886" s="155"/>
      <c r="C886" s="166"/>
      <c r="D886" s="166"/>
      <c r="E886" s="155"/>
      <c r="F886" s="155"/>
      <c r="G886" s="155"/>
      <c r="H886" s="155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  <c r="AA886" s="166"/>
      <c r="AB886" s="166"/>
      <c r="AC886" s="166"/>
      <c r="AD886" s="166"/>
      <c r="AE886" s="166"/>
      <c r="AF886" s="166"/>
      <c r="AG886" s="166"/>
    </row>
    <row r="887" spans="1:33" ht="15.750000" customHeight="1">
      <c r="A887" s="166"/>
      <c r="B887" s="155"/>
      <c r="C887" s="166"/>
      <c r="D887" s="166"/>
      <c r="E887" s="155"/>
      <c r="F887" s="155"/>
      <c r="G887" s="155"/>
      <c r="H887" s="155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  <c r="AA887" s="166"/>
      <c r="AB887" s="166"/>
      <c r="AC887" s="166"/>
      <c r="AD887" s="166"/>
      <c r="AE887" s="166"/>
      <c r="AF887" s="166"/>
      <c r="AG887" s="166"/>
    </row>
    <row r="888" spans="1:33" ht="15.750000" customHeight="1">
      <c r="A888" s="166"/>
      <c r="B888" s="155"/>
      <c r="C888" s="166"/>
      <c r="D888" s="166"/>
      <c r="E888" s="155"/>
      <c r="F888" s="155"/>
      <c r="G888" s="155"/>
      <c r="H888" s="155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  <c r="AA888" s="166"/>
      <c r="AB888" s="166"/>
      <c r="AC888" s="166"/>
      <c r="AD888" s="166"/>
      <c r="AE888" s="166"/>
      <c r="AF888" s="166"/>
      <c r="AG888" s="166"/>
    </row>
    <row r="889" spans="1:33" ht="15.750000" customHeight="1">
      <c r="A889" s="166"/>
      <c r="B889" s="155"/>
      <c r="C889" s="166"/>
      <c r="D889" s="166"/>
      <c r="E889" s="155"/>
      <c r="F889" s="155"/>
      <c r="G889" s="155"/>
      <c r="H889" s="155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  <c r="AA889" s="166"/>
      <c r="AB889" s="166"/>
      <c r="AC889" s="166"/>
      <c r="AD889" s="166"/>
      <c r="AE889" s="166"/>
      <c r="AF889" s="166"/>
      <c r="AG889" s="166"/>
    </row>
    <row r="890" spans="1:33" ht="15.750000" customHeight="1">
      <c r="A890" s="166"/>
      <c r="B890" s="155"/>
      <c r="C890" s="166"/>
      <c r="D890" s="166"/>
      <c r="E890" s="155"/>
      <c r="F890" s="155"/>
      <c r="G890" s="155"/>
      <c r="H890" s="155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  <c r="AA890" s="166"/>
      <c r="AB890" s="166"/>
      <c r="AC890" s="166"/>
      <c r="AD890" s="166"/>
      <c r="AE890" s="166"/>
      <c r="AF890" s="166"/>
      <c r="AG890" s="166"/>
    </row>
    <row r="891" spans="1:33" ht="15.750000" customHeight="1">
      <c r="A891" s="166"/>
      <c r="B891" s="155"/>
      <c r="C891" s="166"/>
      <c r="D891" s="166"/>
      <c r="E891" s="155"/>
      <c r="F891" s="155"/>
      <c r="G891" s="155"/>
      <c r="H891" s="155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  <c r="AA891" s="166"/>
      <c r="AB891" s="166"/>
      <c r="AC891" s="166"/>
      <c r="AD891" s="166"/>
      <c r="AE891" s="166"/>
      <c r="AF891" s="166"/>
      <c r="AG891" s="166"/>
    </row>
    <row r="892" spans="1:33" ht="15.750000" customHeight="1">
      <c r="A892" s="166"/>
      <c r="B892" s="155"/>
      <c r="C892" s="166"/>
      <c r="D892" s="166"/>
      <c r="E892" s="155"/>
      <c r="F892" s="155"/>
      <c r="G892" s="155"/>
      <c r="H892" s="155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  <c r="AA892" s="166"/>
      <c r="AB892" s="166"/>
      <c r="AC892" s="166"/>
      <c r="AD892" s="166"/>
      <c r="AE892" s="166"/>
      <c r="AF892" s="166"/>
      <c r="AG892" s="166"/>
    </row>
    <row r="893" spans="1:33" ht="15.750000" customHeight="1">
      <c r="A893" s="166"/>
      <c r="B893" s="155"/>
      <c r="C893" s="166"/>
      <c r="D893" s="166"/>
      <c r="E893" s="155"/>
      <c r="F893" s="155"/>
      <c r="G893" s="155"/>
      <c r="H893" s="155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  <c r="AA893" s="166"/>
      <c r="AB893" s="166"/>
      <c r="AC893" s="166"/>
      <c r="AD893" s="166"/>
      <c r="AE893" s="166"/>
      <c r="AF893" s="166"/>
      <c r="AG893" s="166"/>
    </row>
    <row r="894" spans="1:33" ht="15.750000" customHeight="1">
      <c r="A894" s="166"/>
      <c r="B894" s="155"/>
      <c r="C894" s="166"/>
      <c r="D894" s="166"/>
      <c r="E894" s="155"/>
      <c r="F894" s="155"/>
      <c r="G894" s="155"/>
      <c r="H894" s="155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  <c r="AA894" s="166"/>
      <c r="AB894" s="166"/>
      <c r="AC894" s="166"/>
      <c r="AD894" s="166"/>
      <c r="AE894" s="166"/>
      <c r="AF894" s="166"/>
      <c r="AG894" s="166"/>
    </row>
    <row r="895" spans="1:33" ht="15.750000" customHeight="1">
      <c r="A895" s="166"/>
      <c r="B895" s="155"/>
      <c r="C895" s="166"/>
      <c r="D895" s="166"/>
      <c r="E895" s="155"/>
      <c r="F895" s="155"/>
      <c r="G895" s="155"/>
      <c r="H895" s="155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  <c r="AA895" s="166"/>
      <c r="AB895" s="166"/>
      <c r="AC895" s="166"/>
      <c r="AD895" s="166"/>
      <c r="AE895" s="166"/>
      <c r="AF895" s="166"/>
      <c r="AG895" s="166"/>
    </row>
    <row r="896" spans="1:33" ht="15.750000" customHeight="1">
      <c r="A896" s="166"/>
      <c r="B896" s="155"/>
      <c r="C896" s="166"/>
      <c r="D896" s="166"/>
      <c r="E896" s="155"/>
      <c r="F896" s="155"/>
      <c r="G896" s="155"/>
      <c r="H896" s="155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  <c r="AA896" s="166"/>
      <c r="AB896" s="166"/>
      <c r="AC896" s="166"/>
      <c r="AD896" s="166"/>
      <c r="AE896" s="166"/>
      <c r="AF896" s="166"/>
      <c r="AG896" s="166"/>
    </row>
    <row r="897" spans="1:33" ht="15.750000" customHeight="1">
      <c r="A897" s="166"/>
      <c r="B897" s="155"/>
      <c r="C897" s="166"/>
      <c r="D897" s="166"/>
      <c r="E897" s="155"/>
      <c r="F897" s="155"/>
      <c r="G897" s="155"/>
      <c r="H897" s="155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  <c r="AA897" s="166"/>
      <c r="AB897" s="166"/>
      <c r="AC897" s="166"/>
      <c r="AD897" s="166"/>
      <c r="AE897" s="166"/>
      <c r="AF897" s="166"/>
      <c r="AG897" s="166"/>
    </row>
    <row r="898" spans="1:33" ht="15.750000" customHeight="1">
      <c r="A898" s="166"/>
      <c r="B898" s="155"/>
      <c r="C898" s="166"/>
      <c r="D898" s="166"/>
      <c r="E898" s="155"/>
      <c r="F898" s="155"/>
      <c r="G898" s="155"/>
      <c r="H898" s="155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  <c r="AA898" s="166"/>
      <c r="AB898" s="166"/>
      <c r="AC898" s="166"/>
      <c r="AD898" s="166"/>
      <c r="AE898" s="166"/>
      <c r="AF898" s="166"/>
      <c r="AG898" s="166"/>
    </row>
    <row r="899" spans="1:33" ht="15.750000" customHeight="1">
      <c r="A899" s="166"/>
      <c r="B899" s="155"/>
      <c r="C899" s="166"/>
      <c r="D899" s="166"/>
      <c r="E899" s="155"/>
      <c r="F899" s="155"/>
      <c r="G899" s="155"/>
      <c r="H899" s="155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  <c r="AA899" s="166"/>
      <c r="AB899" s="166"/>
      <c r="AC899" s="166"/>
      <c r="AD899" s="166"/>
      <c r="AE899" s="166"/>
      <c r="AF899" s="166"/>
      <c r="AG899" s="166"/>
    </row>
    <row r="900" spans="1:33" ht="15.750000" customHeight="1">
      <c r="A900" s="166"/>
      <c r="B900" s="155"/>
      <c r="C900" s="166"/>
      <c r="D900" s="166"/>
      <c r="E900" s="155"/>
      <c r="F900" s="155"/>
      <c r="G900" s="155"/>
      <c r="H900" s="155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  <c r="AA900" s="166"/>
      <c r="AB900" s="166"/>
      <c r="AC900" s="166"/>
      <c r="AD900" s="166"/>
      <c r="AE900" s="166"/>
      <c r="AF900" s="166"/>
      <c r="AG900" s="166"/>
    </row>
    <row r="901" spans="1:33" ht="15.750000" customHeight="1">
      <c r="A901" s="166"/>
      <c r="B901" s="155"/>
      <c r="C901" s="166"/>
      <c r="D901" s="166"/>
      <c r="E901" s="155"/>
      <c r="F901" s="155"/>
      <c r="G901" s="155"/>
      <c r="H901" s="155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  <c r="AA901" s="166"/>
      <c r="AB901" s="166"/>
      <c r="AC901" s="166"/>
      <c r="AD901" s="166"/>
      <c r="AE901" s="166"/>
      <c r="AF901" s="166"/>
      <c r="AG901" s="166"/>
    </row>
    <row r="902" spans="1:33" ht="15.750000" customHeight="1">
      <c r="A902" s="166"/>
      <c r="B902" s="155"/>
      <c r="C902" s="166"/>
      <c r="D902" s="166"/>
      <c r="E902" s="155"/>
      <c r="F902" s="155"/>
      <c r="G902" s="155"/>
      <c r="H902" s="155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  <c r="AA902" s="166"/>
      <c r="AB902" s="166"/>
      <c r="AC902" s="166"/>
      <c r="AD902" s="166"/>
      <c r="AE902" s="166"/>
      <c r="AF902" s="166"/>
      <c r="AG902" s="166"/>
    </row>
    <row r="903" spans="1:33" ht="15.750000" customHeight="1">
      <c r="A903" s="166"/>
      <c r="B903" s="155"/>
      <c r="C903" s="166"/>
      <c r="D903" s="166"/>
      <c r="E903" s="155"/>
      <c r="F903" s="155"/>
      <c r="G903" s="155"/>
      <c r="H903" s="155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  <c r="AA903" s="166"/>
      <c r="AB903" s="166"/>
      <c r="AC903" s="166"/>
      <c r="AD903" s="166"/>
      <c r="AE903" s="166"/>
      <c r="AF903" s="166"/>
      <c r="AG903" s="166"/>
    </row>
    <row r="904" spans="1:33" ht="15.750000" customHeight="1">
      <c r="A904" s="166"/>
      <c r="B904" s="155"/>
      <c r="C904" s="166"/>
      <c r="D904" s="166"/>
      <c r="E904" s="155"/>
      <c r="F904" s="155"/>
      <c r="G904" s="155"/>
      <c r="H904" s="155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  <c r="AA904" s="166"/>
      <c r="AB904" s="166"/>
      <c r="AC904" s="166"/>
      <c r="AD904" s="166"/>
      <c r="AE904" s="166"/>
      <c r="AF904" s="166"/>
      <c r="AG904" s="166"/>
    </row>
    <row r="905" spans="1:33" ht="15.750000" customHeight="1">
      <c r="A905" s="166"/>
      <c r="B905" s="155"/>
      <c r="C905" s="166"/>
      <c r="D905" s="166"/>
      <c r="E905" s="155"/>
      <c r="F905" s="155"/>
      <c r="G905" s="155"/>
      <c r="H905" s="155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  <c r="AA905" s="166"/>
      <c r="AB905" s="166"/>
      <c r="AC905" s="166"/>
      <c r="AD905" s="166"/>
      <c r="AE905" s="166"/>
      <c r="AF905" s="166"/>
      <c r="AG905" s="166"/>
    </row>
    <row r="906" spans="1:33" ht="15.750000" customHeight="1">
      <c r="A906" s="166"/>
      <c r="B906" s="155"/>
      <c r="C906" s="166"/>
      <c r="D906" s="166"/>
      <c r="E906" s="155"/>
      <c r="F906" s="155"/>
      <c r="G906" s="155"/>
      <c r="H906" s="155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  <c r="AA906" s="166"/>
      <c r="AB906" s="166"/>
      <c r="AC906" s="166"/>
      <c r="AD906" s="166"/>
      <c r="AE906" s="166"/>
      <c r="AF906" s="166"/>
      <c r="AG906" s="166"/>
    </row>
    <row r="907" spans="1:33" ht="15.750000" customHeight="1">
      <c r="A907" s="166"/>
      <c r="B907" s="155"/>
      <c r="C907" s="166"/>
      <c r="D907" s="166"/>
      <c r="E907" s="155"/>
      <c r="F907" s="155"/>
      <c r="G907" s="155"/>
      <c r="H907" s="155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  <c r="AA907" s="166"/>
      <c r="AB907" s="166"/>
      <c r="AC907" s="166"/>
      <c r="AD907" s="166"/>
      <c r="AE907" s="166"/>
      <c r="AF907" s="166"/>
      <c r="AG907" s="166"/>
    </row>
    <row r="908" spans="1:33" ht="15.750000" customHeight="1">
      <c r="A908" s="166"/>
      <c r="B908" s="155"/>
      <c r="C908" s="166"/>
      <c r="D908" s="166"/>
      <c r="E908" s="155"/>
      <c r="F908" s="155"/>
      <c r="G908" s="155"/>
      <c r="H908" s="155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  <c r="AA908" s="166"/>
      <c r="AB908" s="166"/>
      <c r="AC908" s="166"/>
      <c r="AD908" s="166"/>
      <c r="AE908" s="166"/>
      <c r="AF908" s="166"/>
      <c r="AG908" s="166"/>
    </row>
    <row r="909" spans="1:33" ht="15.750000" customHeight="1">
      <c r="A909" s="166"/>
      <c r="B909" s="155"/>
      <c r="C909" s="166"/>
      <c r="D909" s="166"/>
      <c r="E909" s="155"/>
      <c r="F909" s="155"/>
      <c r="G909" s="155"/>
      <c r="H909" s="155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  <c r="AA909" s="166"/>
      <c r="AB909" s="166"/>
      <c r="AC909" s="166"/>
      <c r="AD909" s="166"/>
      <c r="AE909" s="166"/>
      <c r="AF909" s="166"/>
      <c r="AG909" s="166"/>
    </row>
    <row r="910" spans="1:33" ht="15.750000" customHeight="1">
      <c r="A910" s="166"/>
      <c r="B910" s="155"/>
      <c r="C910" s="166"/>
      <c r="D910" s="166"/>
      <c r="E910" s="155"/>
      <c r="F910" s="155"/>
      <c r="G910" s="155"/>
      <c r="H910" s="155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  <c r="AA910" s="166"/>
      <c r="AB910" s="166"/>
      <c r="AC910" s="166"/>
      <c r="AD910" s="166"/>
      <c r="AE910" s="166"/>
      <c r="AF910" s="166"/>
      <c r="AG910" s="166"/>
    </row>
    <row r="911" spans="1:33" ht="15.750000" customHeight="1">
      <c r="A911" s="166"/>
      <c r="B911" s="155"/>
      <c r="C911" s="166"/>
      <c r="D911" s="166"/>
      <c r="E911" s="155"/>
      <c r="F911" s="155"/>
      <c r="G911" s="155"/>
      <c r="H911" s="155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  <c r="AA911" s="166"/>
      <c r="AB911" s="166"/>
      <c r="AC911" s="166"/>
      <c r="AD911" s="166"/>
      <c r="AE911" s="166"/>
      <c r="AF911" s="166"/>
      <c r="AG911" s="166"/>
    </row>
    <row r="912" spans="1:33" ht="15.750000" customHeight="1">
      <c r="A912" s="166"/>
      <c r="B912" s="155"/>
      <c r="C912" s="166"/>
      <c r="D912" s="166"/>
      <c r="E912" s="155"/>
      <c r="F912" s="155"/>
      <c r="G912" s="155"/>
      <c r="H912" s="155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  <c r="AA912" s="166"/>
      <c r="AB912" s="166"/>
      <c r="AC912" s="166"/>
      <c r="AD912" s="166"/>
      <c r="AE912" s="166"/>
      <c r="AF912" s="166"/>
      <c r="AG912" s="166"/>
    </row>
    <row r="913" spans="1:33" ht="15.750000" customHeight="1">
      <c r="A913" s="166"/>
      <c r="B913" s="155"/>
      <c r="C913" s="166"/>
      <c r="D913" s="166"/>
      <c r="E913" s="155"/>
      <c r="F913" s="155"/>
      <c r="G913" s="155"/>
      <c r="H913" s="155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  <c r="AA913" s="166"/>
      <c r="AB913" s="166"/>
      <c r="AC913" s="166"/>
      <c r="AD913" s="166"/>
      <c r="AE913" s="166"/>
      <c r="AF913" s="166"/>
      <c r="AG913" s="166"/>
    </row>
    <row r="914" spans="1:33" ht="15.750000" customHeight="1">
      <c r="A914" s="166"/>
      <c r="B914" s="155"/>
      <c r="C914" s="166"/>
      <c r="D914" s="166"/>
      <c r="E914" s="155"/>
      <c r="F914" s="155"/>
      <c r="G914" s="155"/>
      <c r="H914" s="155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  <c r="AA914" s="166"/>
      <c r="AB914" s="166"/>
      <c r="AC914" s="166"/>
      <c r="AD914" s="166"/>
      <c r="AE914" s="166"/>
      <c r="AF914" s="166"/>
      <c r="AG914" s="166"/>
    </row>
    <row r="915" spans="1:33" ht="15.750000" customHeight="1">
      <c r="A915" s="166"/>
      <c r="B915" s="155"/>
      <c r="C915" s="166"/>
      <c r="D915" s="166"/>
      <c r="E915" s="155"/>
      <c r="F915" s="155"/>
      <c r="G915" s="155"/>
      <c r="H915" s="155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  <c r="AA915" s="166"/>
      <c r="AB915" s="166"/>
      <c r="AC915" s="166"/>
      <c r="AD915" s="166"/>
      <c r="AE915" s="166"/>
      <c r="AF915" s="166"/>
      <c r="AG915" s="166"/>
    </row>
    <row r="916" spans="1:33" ht="15.750000" customHeight="1">
      <c r="A916" s="166"/>
      <c r="B916" s="155"/>
      <c r="C916" s="166"/>
      <c r="D916" s="166"/>
      <c r="E916" s="155"/>
      <c r="F916" s="155"/>
      <c r="G916" s="155"/>
      <c r="H916" s="155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  <c r="AA916" s="166"/>
      <c r="AB916" s="166"/>
      <c r="AC916" s="166"/>
      <c r="AD916" s="166"/>
      <c r="AE916" s="166"/>
      <c r="AF916" s="166"/>
      <c r="AG916" s="166"/>
    </row>
    <row r="917" spans="1:33" ht="15.750000" customHeight="1">
      <c r="A917" s="166"/>
      <c r="B917" s="155"/>
      <c r="C917" s="166"/>
      <c r="D917" s="166"/>
      <c r="E917" s="155"/>
      <c r="F917" s="155"/>
      <c r="G917" s="155"/>
      <c r="H917" s="155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  <c r="AA917" s="166"/>
      <c r="AB917" s="166"/>
      <c r="AC917" s="166"/>
      <c r="AD917" s="166"/>
      <c r="AE917" s="166"/>
      <c r="AF917" s="166"/>
      <c r="AG917" s="166"/>
    </row>
  </sheetData>
  <mergeCells count="606">
    <mergeCell ref="A2:A6"/>
    <mergeCell ref="C2:C6"/>
    <mergeCell ref="D2:D6"/>
    <mergeCell ref="E2:E6"/>
    <mergeCell ref="F2:F6"/>
    <mergeCell ref="G2:G6"/>
    <mergeCell ref="H2:H6"/>
    <mergeCell ref="N2:N6"/>
    <mergeCell ref="O2:O6"/>
    <mergeCell ref="A7:A11"/>
    <mergeCell ref="C7:C11"/>
    <mergeCell ref="D7:D11"/>
    <mergeCell ref="E7:E11"/>
    <mergeCell ref="F7:F11"/>
    <mergeCell ref="G7:G11"/>
    <mergeCell ref="H7:H11"/>
    <mergeCell ref="N7:N11"/>
    <mergeCell ref="O7:O11"/>
    <mergeCell ref="A12:A16"/>
    <mergeCell ref="C12:C16"/>
    <mergeCell ref="D12:D16"/>
    <mergeCell ref="E12:E16"/>
    <mergeCell ref="F12:F16"/>
    <mergeCell ref="G12:G16"/>
    <mergeCell ref="H12:H16"/>
    <mergeCell ref="N12:N16"/>
    <mergeCell ref="O12:O16"/>
    <mergeCell ref="A17:A21"/>
    <mergeCell ref="C17:C21"/>
    <mergeCell ref="D17:D21"/>
    <mergeCell ref="E17:E21"/>
    <mergeCell ref="F17:F21"/>
    <mergeCell ref="G17:G21"/>
    <mergeCell ref="H17:H21"/>
    <mergeCell ref="N17:N21"/>
    <mergeCell ref="O17:O21"/>
    <mergeCell ref="A22:A26"/>
    <mergeCell ref="C22:C26"/>
    <mergeCell ref="D22:D26"/>
    <mergeCell ref="E22:E26"/>
    <mergeCell ref="F22:F26"/>
    <mergeCell ref="G22:G26"/>
    <mergeCell ref="H22:H26"/>
    <mergeCell ref="N22:N26"/>
    <mergeCell ref="O22:O26"/>
    <mergeCell ref="A27:A31"/>
    <mergeCell ref="C27:C31"/>
    <mergeCell ref="D27:D31"/>
    <mergeCell ref="E27:E31"/>
    <mergeCell ref="F27:F31"/>
    <mergeCell ref="G27:G31"/>
    <mergeCell ref="H27:H31"/>
    <mergeCell ref="N27:N31"/>
    <mergeCell ref="O27:O31"/>
    <mergeCell ref="A32:A36"/>
    <mergeCell ref="C32:C36"/>
    <mergeCell ref="D32:D36"/>
    <mergeCell ref="E32:E36"/>
    <mergeCell ref="F32:F36"/>
    <mergeCell ref="G32:G36"/>
    <mergeCell ref="H32:H36"/>
    <mergeCell ref="N32:N36"/>
    <mergeCell ref="O32:O36"/>
    <mergeCell ref="A37:A41"/>
    <mergeCell ref="C37:C41"/>
    <mergeCell ref="D37:D41"/>
    <mergeCell ref="E37:E41"/>
    <mergeCell ref="F37:F41"/>
    <mergeCell ref="G37:G41"/>
    <mergeCell ref="H37:H41"/>
    <mergeCell ref="N37:N41"/>
    <mergeCell ref="O37:O41"/>
    <mergeCell ref="A42:A46"/>
    <mergeCell ref="C42:C46"/>
    <mergeCell ref="D42:D46"/>
    <mergeCell ref="E42:E46"/>
    <mergeCell ref="F42:F46"/>
    <mergeCell ref="G42:G46"/>
    <mergeCell ref="H42:H46"/>
    <mergeCell ref="N42:N46"/>
    <mergeCell ref="O42:O46"/>
    <mergeCell ref="A47:A51"/>
    <mergeCell ref="C47:C51"/>
    <mergeCell ref="D47:D51"/>
    <mergeCell ref="E47:E51"/>
    <mergeCell ref="F47:F51"/>
    <mergeCell ref="G47:G51"/>
    <mergeCell ref="H47:H51"/>
    <mergeCell ref="N47:N51"/>
    <mergeCell ref="O47:O51"/>
    <mergeCell ref="A52:A56"/>
    <mergeCell ref="C52:C56"/>
    <mergeCell ref="D52:D56"/>
    <mergeCell ref="E52:E56"/>
    <mergeCell ref="F52:F56"/>
    <mergeCell ref="G52:G56"/>
    <mergeCell ref="H52:H56"/>
    <mergeCell ref="N52:N56"/>
    <mergeCell ref="O52:O56"/>
    <mergeCell ref="A57:A61"/>
    <mergeCell ref="C57:C61"/>
    <mergeCell ref="D57:D61"/>
    <mergeCell ref="E57:E61"/>
    <mergeCell ref="F57:F61"/>
    <mergeCell ref="G57:G61"/>
    <mergeCell ref="H57:H61"/>
    <mergeCell ref="N57:N61"/>
    <mergeCell ref="O57:O61"/>
    <mergeCell ref="A62:A66"/>
    <mergeCell ref="C62:C66"/>
    <mergeCell ref="D62:D66"/>
    <mergeCell ref="E62:E66"/>
    <mergeCell ref="F62:F66"/>
    <mergeCell ref="G62:G66"/>
    <mergeCell ref="H62:H66"/>
    <mergeCell ref="N62:N66"/>
    <mergeCell ref="O62:O66"/>
    <mergeCell ref="A67:A71"/>
    <mergeCell ref="C67:C71"/>
    <mergeCell ref="D67:D71"/>
    <mergeCell ref="E67:E71"/>
    <mergeCell ref="F67:F71"/>
    <mergeCell ref="G67:G71"/>
    <mergeCell ref="H67:H71"/>
    <mergeCell ref="N67:N71"/>
    <mergeCell ref="O67:O71"/>
    <mergeCell ref="A72:A76"/>
    <mergeCell ref="C72:C76"/>
    <mergeCell ref="D72:D76"/>
    <mergeCell ref="E72:E76"/>
    <mergeCell ref="F72:F76"/>
    <mergeCell ref="G72:G76"/>
    <mergeCell ref="H72:H76"/>
    <mergeCell ref="N72:N76"/>
    <mergeCell ref="O72:O76"/>
    <mergeCell ref="A77:A81"/>
    <mergeCell ref="C77:C81"/>
    <mergeCell ref="D77:D81"/>
    <mergeCell ref="E77:E81"/>
    <mergeCell ref="F77:F81"/>
    <mergeCell ref="G77:G81"/>
    <mergeCell ref="H77:H81"/>
    <mergeCell ref="N77:N81"/>
    <mergeCell ref="O77:O81"/>
    <mergeCell ref="A82:A86"/>
    <mergeCell ref="C82:C86"/>
    <mergeCell ref="D82:D86"/>
    <mergeCell ref="E82:E86"/>
    <mergeCell ref="F82:F86"/>
    <mergeCell ref="G82:G86"/>
    <mergeCell ref="H82:H86"/>
    <mergeCell ref="N82:N86"/>
    <mergeCell ref="O82:O86"/>
    <mergeCell ref="A87:A91"/>
    <mergeCell ref="C87:C91"/>
    <mergeCell ref="D87:D91"/>
    <mergeCell ref="E87:E91"/>
    <mergeCell ref="F87:F91"/>
    <mergeCell ref="G87:G91"/>
    <mergeCell ref="H87:H91"/>
    <mergeCell ref="N87:N91"/>
    <mergeCell ref="O87:O91"/>
    <mergeCell ref="A92:A96"/>
    <mergeCell ref="C92:C96"/>
    <mergeCell ref="D92:D96"/>
    <mergeCell ref="E92:E96"/>
    <mergeCell ref="F92:F96"/>
    <mergeCell ref="G92:G96"/>
    <mergeCell ref="H92:H96"/>
    <mergeCell ref="N92:N96"/>
    <mergeCell ref="O92:O96"/>
    <mergeCell ref="A97:A101"/>
    <mergeCell ref="C97:C101"/>
    <mergeCell ref="D97:D101"/>
    <mergeCell ref="E97:E101"/>
    <mergeCell ref="F97:F101"/>
    <mergeCell ref="G97:G101"/>
    <mergeCell ref="H97:H101"/>
    <mergeCell ref="N97:N101"/>
    <mergeCell ref="O97:O101"/>
    <mergeCell ref="A102:A106"/>
    <mergeCell ref="C102:C106"/>
    <mergeCell ref="D102:D106"/>
    <mergeCell ref="E102:E106"/>
    <mergeCell ref="F102:F106"/>
    <mergeCell ref="G102:G106"/>
    <mergeCell ref="H102:H106"/>
    <mergeCell ref="N102:N106"/>
    <mergeCell ref="O102:O106"/>
    <mergeCell ref="A107:A111"/>
    <mergeCell ref="C107:C111"/>
    <mergeCell ref="D107:D111"/>
    <mergeCell ref="E107:E111"/>
    <mergeCell ref="F107:F111"/>
    <mergeCell ref="G107:G111"/>
    <mergeCell ref="H107:H111"/>
    <mergeCell ref="N107:N111"/>
    <mergeCell ref="O107:O111"/>
    <mergeCell ref="A112:A116"/>
    <mergeCell ref="C112:C116"/>
    <mergeCell ref="D112:D116"/>
    <mergeCell ref="E112:E116"/>
    <mergeCell ref="F112:F116"/>
    <mergeCell ref="G112:G116"/>
    <mergeCell ref="H112:H116"/>
    <mergeCell ref="N112:N116"/>
    <mergeCell ref="O112:O116"/>
    <mergeCell ref="A117:A121"/>
    <mergeCell ref="C117:C121"/>
    <mergeCell ref="D117:D121"/>
    <mergeCell ref="E117:E121"/>
    <mergeCell ref="F117:F121"/>
    <mergeCell ref="G117:G121"/>
    <mergeCell ref="H117:H121"/>
    <mergeCell ref="N117:N121"/>
    <mergeCell ref="O117:O121"/>
    <mergeCell ref="A122:A126"/>
    <mergeCell ref="C122:C126"/>
    <mergeCell ref="D122:D126"/>
    <mergeCell ref="E122:E126"/>
    <mergeCell ref="F122:F126"/>
    <mergeCell ref="G122:G126"/>
    <mergeCell ref="H122:H126"/>
    <mergeCell ref="N122:N126"/>
    <mergeCell ref="O122:O126"/>
    <mergeCell ref="A127:A131"/>
    <mergeCell ref="C127:C131"/>
    <mergeCell ref="D127:D131"/>
    <mergeCell ref="E127:E131"/>
    <mergeCell ref="F127:F131"/>
    <mergeCell ref="G127:G131"/>
    <mergeCell ref="H127:H131"/>
    <mergeCell ref="N127:N131"/>
    <mergeCell ref="O127:O131"/>
    <mergeCell ref="A132:A136"/>
    <mergeCell ref="C132:C136"/>
    <mergeCell ref="D132:D136"/>
    <mergeCell ref="E132:E136"/>
    <mergeCell ref="F132:F136"/>
    <mergeCell ref="G132:G136"/>
    <mergeCell ref="H132:H136"/>
    <mergeCell ref="N132:N136"/>
    <mergeCell ref="O132:O136"/>
    <mergeCell ref="A137:A141"/>
    <mergeCell ref="C137:C141"/>
    <mergeCell ref="D137:D141"/>
    <mergeCell ref="E137:E141"/>
    <mergeCell ref="F137:F141"/>
    <mergeCell ref="G137:G141"/>
    <mergeCell ref="H137:H141"/>
    <mergeCell ref="N137:N141"/>
    <mergeCell ref="O137:O141"/>
    <mergeCell ref="A142:A146"/>
    <mergeCell ref="C142:C146"/>
    <mergeCell ref="D142:D146"/>
    <mergeCell ref="E142:E146"/>
    <mergeCell ref="F142:F146"/>
    <mergeCell ref="G142:G146"/>
    <mergeCell ref="H142:H146"/>
    <mergeCell ref="N142:N146"/>
    <mergeCell ref="O142:O146"/>
    <mergeCell ref="A147:A151"/>
    <mergeCell ref="C147:C151"/>
    <mergeCell ref="D147:D151"/>
    <mergeCell ref="E147:E151"/>
    <mergeCell ref="F147:F151"/>
    <mergeCell ref="G147:G151"/>
    <mergeCell ref="H147:H151"/>
    <mergeCell ref="N147:N151"/>
    <mergeCell ref="O147:O151"/>
    <mergeCell ref="A152:A156"/>
    <mergeCell ref="C152:C156"/>
    <mergeCell ref="D152:D156"/>
    <mergeCell ref="E152:E156"/>
    <mergeCell ref="F152:F156"/>
    <mergeCell ref="G152:G156"/>
    <mergeCell ref="H152:H156"/>
    <mergeCell ref="N152:N156"/>
    <mergeCell ref="O152:O156"/>
    <mergeCell ref="A157:A161"/>
    <mergeCell ref="C157:C161"/>
    <mergeCell ref="D157:D161"/>
    <mergeCell ref="E157:E161"/>
    <mergeCell ref="F157:F161"/>
    <mergeCell ref="G157:G161"/>
    <mergeCell ref="H157:H161"/>
    <mergeCell ref="N157:N161"/>
    <mergeCell ref="O157:O161"/>
    <mergeCell ref="A162:A166"/>
    <mergeCell ref="C162:C166"/>
    <mergeCell ref="D162:D166"/>
    <mergeCell ref="E162:E166"/>
    <mergeCell ref="F162:F166"/>
    <mergeCell ref="G162:G166"/>
    <mergeCell ref="H162:H166"/>
    <mergeCell ref="N162:N166"/>
    <mergeCell ref="O162:O166"/>
    <mergeCell ref="A167:A171"/>
    <mergeCell ref="C167:C171"/>
    <mergeCell ref="D167:D171"/>
    <mergeCell ref="E167:E171"/>
    <mergeCell ref="F167:F171"/>
    <mergeCell ref="G167:G171"/>
    <mergeCell ref="H167:H171"/>
    <mergeCell ref="N167:N171"/>
    <mergeCell ref="O167:O171"/>
    <mergeCell ref="A172:A176"/>
    <mergeCell ref="C172:C176"/>
    <mergeCell ref="D172:D176"/>
    <mergeCell ref="E172:E176"/>
    <mergeCell ref="F172:F176"/>
    <mergeCell ref="G172:G176"/>
    <mergeCell ref="H172:H176"/>
    <mergeCell ref="N172:N176"/>
    <mergeCell ref="O172:O176"/>
    <mergeCell ref="A177:A181"/>
    <mergeCell ref="C177:C181"/>
    <mergeCell ref="D177:D181"/>
    <mergeCell ref="E177:E181"/>
    <mergeCell ref="F177:F181"/>
    <mergeCell ref="G177:G181"/>
    <mergeCell ref="H177:H181"/>
    <mergeCell ref="N177:N181"/>
    <mergeCell ref="O177:O181"/>
    <mergeCell ref="A182:A186"/>
    <mergeCell ref="C182:C186"/>
    <mergeCell ref="D182:D186"/>
    <mergeCell ref="E182:E186"/>
    <mergeCell ref="F182:F186"/>
    <mergeCell ref="G182:G186"/>
    <mergeCell ref="H182:H186"/>
    <mergeCell ref="N182:N186"/>
    <mergeCell ref="O182:O186"/>
    <mergeCell ref="A187:A191"/>
    <mergeCell ref="C187:C191"/>
    <mergeCell ref="D187:D191"/>
    <mergeCell ref="E187:E191"/>
    <mergeCell ref="F187:F191"/>
    <mergeCell ref="G187:G191"/>
    <mergeCell ref="H187:H191"/>
    <mergeCell ref="N187:N191"/>
    <mergeCell ref="O187:O191"/>
    <mergeCell ref="A192:A196"/>
    <mergeCell ref="C192:C196"/>
    <mergeCell ref="D192:D196"/>
    <mergeCell ref="E192:E196"/>
    <mergeCell ref="F192:F196"/>
    <mergeCell ref="G192:G196"/>
    <mergeCell ref="H192:H196"/>
    <mergeCell ref="N192:N196"/>
    <mergeCell ref="O192:O196"/>
    <mergeCell ref="A197:A201"/>
    <mergeCell ref="C197:C201"/>
    <mergeCell ref="D197:D201"/>
    <mergeCell ref="E197:E201"/>
    <mergeCell ref="F197:F201"/>
    <mergeCell ref="G197:G201"/>
    <mergeCell ref="H197:H201"/>
    <mergeCell ref="N197:N201"/>
    <mergeCell ref="O197:O201"/>
    <mergeCell ref="A202:A206"/>
    <mergeCell ref="C202:C206"/>
    <mergeCell ref="D202:D206"/>
    <mergeCell ref="E202:E206"/>
    <mergeCell ref="F202:F206"/>
    <mergeCell ref="G202:G206"/>
    <mergeCell ref="H202:H206"/>
    <mergeCell ref="N202:N206"/>
    <mergeCell ref="O202:O206"/>
    <mergeCell ref="A207:A211"/>
    <mergeCell ref="C207:C211"/>
    <mergeCell ref="D207:D211"/>
    <mergeCell ref="E207:E211"/>
    <mergeCell ref="F207:F211"/>
    <mergeCell ref="G207:G211"/>
    <mergeCell ref="H207:H211"/>
    <mergeCell ref="N207:N211"/>
    <mergeCell ref="O207:O211"/>
    <mergeCell ref="A212:A216"/>
    <mergeCell ref="C212:C216"/>
    <mergeCell ref="D212:D216"/>
    <mergeCell ref="E212:E216"/>
    <mergeCell ref="F212:F216"/>
    <mergeCell ref="G212:G216"/>
    <mergeCell ref="H212:H216"/>
    <mergeCell ref="N212:N216"/>
    <mergeCell ref="O212:O216"/>
    <mergeCell ref="A217:A221"/>
    <mergeCell ref="C217:C221"/>
    <mergeCell ref="D217:D221"/>
    <mergeCell ref="E217:E221"/>
    <mergeCell ref="F217:F221"/>
    <mergeCell ref="G217:G221"/>
    <mergeCell ref="H217:H221"/>
    <mergeCell ref="N217:N221"/>
    <mergeCell ref="O217:O221"/>
    <mergeCell ref="A222:A226"/>
    <mergeCell ref="C222:C226"/>
    <mergeCell ref="D222:D226"/>
    <mergeCell ref="E222:E226"/>
    <mergeCell ref="F222:F226"/>
    <mergeCell ref="G222:G226"/>
    <mergeCell ref="H222:H226"/>
    <mergeCell ref="N222:N226"/>
    <mergeCell ref="O222:O226"/>
    <mergeCell ref="A227:A231"/>
    <mergeCell ref="C227:C231"/>
    <mergeCell ref="D227:D231"/>
    <mergeCell ref="E227:E231"/>
    <mergeCell ref="F227:F231"/>
    <mergeCell ref="G227:G231"/>
    <mergeCell ref="H227:H231"/>
    <mergeCell ref="N227:N231"/>
    <mergeCell ref="O227:O231"/>
    <mergeCell ref="A232:A236"/>
    <mergeCell ref="E232:E236"/>
    <mergeCell ref="F232:F236"/>
    <mergeCell ref="G232:G236"/>
    <mergeCell ref="A237:A241"/>
    <mergeCell ref="E237:E241"/>
    <mergeCell ref="F237:F241"/>
    <mergeCell ref="G237:G241"/>
    <mergeCell ref="A242:A246"/>
    <mergeCell ref="E242:E246"/>
    <mergeCell ref="F242:F246"/>
    <mergeCell ref="G242:G246"/>
    <mergeCell ref="A247:A251"/>
    <mergeCell ref="E247:E251"/>
    <mergeCell ref="F247:F251"/>
    <mergeCell ref="G247:G251"/>
    <mergeCell ref="A252:A256"/>
    <mergeCell ref="E252:E256"/>
    <mergeCell ref="F252:F256"/>
    <mergeCell ref="G252:G256"/>
    <mergeCell ref="A257:A261"/>
    <mergeCell ref="E257:E261"/>
    <mergeCell ref="F257:F261"/>
    <mergeCell ref="G257:G261"/>
    <mergeCell ref="A262:A266"/>
    <mergeCell ref="E262:E266"/>
    <mergeCell ref="F262:F266"/>
    <mergeCell ref="G262:G266"/>
    <mergeCell ref="A267:A271"/>
    <mergeCell ref="E267:E271"/>
    <mergeCell ref="F267:F271"/>
    <mergeCell ref="G267:G271"/>
    <mergeCell ref="A272:A276"/>
    <mergeCell ref="E272:E276"/>
    <mergeCell ref="F272:F276"/>
    <mergeCell ref="G272:G276"/>
    <mergeCell ref="A277:A281"/>
    <mergeCell ref="E277:E281"/>
    <mergeCell ref="F277:F281"/>
    <mergeCell ref="G277:G281"/>
    <mergeCell ref="A282:A286"/>
    <mergeCell ref="E282:E286"/>
    <mergeCell ref="F282:F286"/>
    <mergeCell ref="G282:G286"/>
    <mergeCell ref="A287:A291"/>
    <mergeCell ref="E287:E291"/>
    <mergeCell ref="F287:F291"/>
    <mergeCell ref="G287:G291"/>
    <mergeCell ref="A292:A296"/>
    <mergeCell ref="E292:E296"/>
    <mergeCell ref="F292:F296"/>
    <mergeCell ref="G292:G296"/>
    <mergeCell ref="A297:A301"/>
    <mergeCell ref="E297:E301"/>
    <mergeCell ref="F297:F301"/>
    <mergeCell ref="G297:G301"/>
    <mergeCell ref="A302:A306"/>
    <mergeCell ref="E302:E306"/>
    <mergeCell ref="F302:F306"/>
    <mergeCell ref="G302:G306"/>
    <mergeCell ref="A307:A311"/>
    <mergeCell ref="E307:E311"/>
    <mergeCell ref="F307:F311"/>
    <mergeCell ref="G307:G311"/>
    <mergeCell ref="A312:A316"/>
    <mergeCell ref="E312:E316"/>
    <mergeCell ref="F312:F316"/>
    <mergeCell ref="G312:G316"/>
    <mergeCell ref="A317:A321"/>
    <mergeCell ref="E317:E321"/>
    <mergeCell ref="F317:F321"/>
    <mergeCell ref="G317:G321"/>
    <mergeCell ref="A322:A326"/>
    <mergeCell ref="E322:E326"/>
    <mergeCell ref="F322:F326"/>
    <mergeCell ref="G322:G326"/>
    <mergeCell ref="A327:A331"/>
    <mergeCell ref="E327:E331"/>
    <mergeCell ref="F327:F331"/>
    <mergeCell ref="G327:G331"/>
    <mergeCell ref="A332:A336"/>
    <mergeCell ref="E332:E336"/>
    <mergeCell ref="F332:F336"/>
    <mergeCell ref="G332:G336"/>
    <mergeCell ref="A337:A341"/>
    <mergeCell ref="E337:E341"/>
    <mergeCell ref="F337:F341"/>
    <mergeCell ref="G337:G341"/>
    <mergeCell ref="A342:A346"/>
    <mergeCell ref="E342:E346"/>
    <mergeCell ref="F342:F346"/>
    <mergeCell ref="G342:G346"/>
    <mergeCell ref="A347:A351"/>
    <mergeCell ref="E347:E351"/>
    <mergeCell ref="F347:F351"/>
    <mergeCell ref="G347:G351"/>
    <mergeCell ref="A352:A356"/>
    <mergeCell ref="E352:E356"/>
    <mergeCell ref="F352:F356"/>
    <mergeCell ref="G352:G356"/>
    <mergeCell ref="A357:A361"/>
    <mergeCell ref="E357:E361"/>
    <mergeCell ref="F357:F361"/>
    <mergeCell ref="G357:G361"/>
    <mergeCell ref="A362:A366"/>
    <mergeCell ref="E362:E366"/>
    <mergeCell ref="F362:F366"/>
    <mergeCell ref="G362:G366"/>
    <mergeCell ref="A367:A371"/>
    <mergeCell ref="E367:E371"/>
    <mergeCell ref="F367:F371"/>
    <mergeCell ref="G367:G371"/>
    <mergeCell ref="A372:A376"/>
    <mergeCell ref="E372:E376"/>
    <mergeCell ref="F372:F376"/>
    <mergeCell ref="G372:G376"/>
    <mergeCell ref="A377:A381"/>
    <mergeCell ref="E377:E381"/>
    <mergeCell ref="F377:F381"/>
    <mergeCell ref="G377:G381"/>
    <mergeCell ref="A382:A386"/>
    <mergeCell ref="E382:E386"/>
    <mergeCell ref="F382:F386"/>
    <mergeCell ref="G382:G386"/>
    <mergeCell ref="A387:A391"/>
    <mergeCell ref="E387:E391"/>
    <mergeCell ref="F387:F391"/>
    <mergeCell ref="G387:G391"/>
    <mergeCell ref="A392:A396"/>
    <mergeCell ref="E392:E396"/>
    <mergeCell ref="F392:F396"/>
    <mergeCell ref="G392:G396"/>
    <mergeCell ref="A397:A401"/>
    <mergeCell ref="E397:E401"/>
    <mergeCell ref="F397:F401"/>
    <mergeCell ref="G397:G401"/>
    <mergeCell ref="A402:A406"/>
    <mergeCell ref="E402:E406"/>
    <mergeCell ref="F402:F406"/>
    <mergeCell ref="G402:G406"/>
    <mergeCell ref="A407:A411"/>
    <mergeCell ref="E407:E411"/>
    <mergeCell ref="F407:F411"/>
    <mergeCell ref="G407:G411"/>
    <mergeCell ref="A412:A416"/>
    <mergeCell ref="E412:E416"/>
    <mergeCell ref="F412:F416"/>
    <mergeCell ref="G412:G416"/>
    <mergeCell ref="A417:A421"/>
    <mergeCell ref="E417:E421"/>
    <mergeCell ref="F417:F421"/>
    <mergeCell ref="G417:G421"/>
    <mergeCell ref="A422:A426"/>
    <mergeCell ref="E422:E426"/>
    <mergeCell ref="F422:F426"/>
    <mergeCell ref="G422:G426"/>
    <mergeCell ref="A427:A431"/>
    <mergeCell ref="E427:E431"/>
    <mergeCell ref="F427:F431"/>
    <mergeCell ref="G427:G431"/>
    <mergeCell ref="A432:A436"/>
    <mergeCell ref="E432:E436"/>
    <mergeCell ref="F432:F436"/>
    <mergeCell ref="G432:G436"/>
    <mergeCell ref="A437:A441"/>
    <mergeCell ref="E437:E441"/>
    <mergeCell ref="F437:F441"/>
    <mergeCell ref="G437:G441"/>
    <mergeCell ref="A442:A446"/>
    <mergeCell ref="E442:E446"/>
    <mergeCell ref="F442:F446"/>
    <mergeCell ref="G442:G446"/>
    <mergeCell ref="A447:A451"/>
    <mergeCell ref="E447:E451"/>
    <mergeCell ref="F447:F451"/>
    <mergeCell ref="G447:G451"/>
    <mergeCell ref="A452:A456"/>
    <mergeCell ref="E452:E456"/>
    <mergeCell ref="F452:F456"/>
    <mergeCell ref="G452:G456"/>
    <mergeCell ref="A457:A461"/>
    <mergeCell ref="E457:E461"/>
    <mergeCell ref="F457:F461"/>
    <mergeCell ref="G457:G461"/>
    <mergeCell ref="A462:A466"/>
    <mergeCell ref="E462:E466"/>
    <mergeCell ref="F462:F466"/>
    <mergeCell ref="G462:G466"/>
    <mergeCell ref="A467:A471"/>
    <mergeCell ref="A472:A476"/>
    <mergeCell ref="A477:A481"/>
    <mergeCell ref="A482:A486"/>
  </mergeCells>
  <phoneticPr fontId="1" type="noConversion"/>
  <pageMargins left="0.70" right="0.70" top="0.75" bottom="0.75" header="0.30" footer="0.30"/>
  <pageSetup paperSize="9" orientation="portrait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00"/>
  </sheetPr>
  <dimension ref="A1:AG954"/>
  <sheetViews>
    <sheetView workbookViewId="0">
      <pane ySplit="4" topLeftCell="A5" activePane="bottomLeft" state="frozen"/>
      <selection pane="bottomLeft" activeCell="B6" sqref="B6"/>
    </sheetView>
  </sheetViews>
  <sheetFormatPr defaultColWidth="12.63000000" defaultRowHeight="15.750000" customHeight="1"/>
  <cols>
    <col min="1" max="1" width="2.86214290" customWidth="1" outlineLevel="0"/>
    <col min="2" max="2" width="8.29071413" customWidth="1" outlineLevel="0"/>
    <col min="3" max="3" width="13.14785753" customWidth="1" outlineLevel="0"/>
    <col min="4" max="4" width="33.14785658" customWidth="1" outlineLevel="0"/>
    <col min="5" max="6" width="12.57642828" hidden="1" customWidth="1" outlineLevel="0"/>
    <col min="11" max="12" width="17.86214338" customWidth="1" outlineLevel="0"/>
    <col min="15" max="16" width="16.00499998" customWidth="1" outlineLevel="0"/>
    <col min="17" max="17" width="19.29071508" customWidth="1" outlineLevel="0"/>
  </cols>
  <sheetData>
    <row r="1" spans="1:33">
      <c r="A1" s="166"/>
      <c r="B1" s="498"/>
      <c r="C1" s="498"/>
      <c r="D1" s="499" t="s">
        <v>11895</v>
      </c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</row>
    <row r="2" spans="1:33">
      <c r="A2" s="166"/>
      <c r="B2" s="12" t="s">
        <v>11896</v>
      </c>
      <c r="D2" s="12" t="s">
        <v>11897</v>
      </c>
      <c r="G2" s="166"/>
      <c r="H2" s="500"/>
      <c r="I2" s="501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</row>
    <row r="3" spans="1:33">
      <c r="A3" s="166"/>
      <c r="D3" s="12" t="s">
        <v>11898</v>
      </c>
      <c r="G3" s="166"/>
      <c r="H3" s="500"/>
      <c r="I3" s="501"/>
      <c r="J3" s="502">
        <f>J6+J9+J16+J21+J26</f>
        <v>159000000</v>
      </c>
      <c r="K3" s="503"/>
      <c r="L3" s="502">
        <f>L6+L9+L16+L21+L26</f>
        <v>178970330</v>
      </c>
      <c r="M3" s="502">
        <f>M6+M9+M16+M21</f>
        <v>274952620</v>
      </c>
      <c r="N3" s="502">
        <f>N6+N9+N16+N21</f>
        <v>156273628</v>
      </c>
      <c r="O3" s="503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</row>
    <row r="4" spans="1:33">
      <c r="A4" s="166"/>
      <c r="B4" s="12" t="s">
        <v>10</v>
      </c>
      <c r="C4" s="12" t="s">
        <v>11</v>
      </c>
      <c r="D4" s="12" t="s">
        <v>11899</v>
      </c>
      <c r="E4" s="12"/>
      <c r="F4" s="12"/>
      <c r="G4" s="504" t="s">
        <v>11900</v>
      </c>
      <c r="H4" s="505" t="s">
        <v>11901</v>
      </c>
      <c r="I4" s="506" t="s">
        <v>15</v>
      </c>
      <c r="J4" s="504" t="s">
        <v>16</v>
      </c>
      <c r="K4" s="504" t="s">
        <v>11902</v>
      </c>
      <c r="L4" s="507" t="s">
        <v>11903</v>
      </c>
      <c r="M4" s="508" t="s">
        <v>17</v>
      </c>
      <c r="N4" s="508" t="s">
        <v>18</v>
      </c>
      <c r="O4" s="508" t="s">
        <v>11904</v>
      </c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</row>
    <row r="5" spans="1:33" ht="15.750000" hidden="1">
      <c r="A5" s="166"/>
      <c r="B5" s="509"/>
      <c r="C5" s="498"/>
      <c r="D5" s="510"/>
      <c r="E5" s="510"/>
      <c r="F5" s="510"/>
      <c r="G5" s="511">
        <f>SUM(D5:F5)</f>
        <v>0</v>
      </c>
      <c r="H5" s="500"/>
      <c r="I5" s="501"/>
      <c r="J5" s="512"/>
      <c r="K5" s="512"/>
      <c r="L5" s="513"/>
      <c r="M5" s="514"/>
      <c r="N5" s="514"/>
      <c r="O5" s="514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</row>
    <row r="6" spans="1:33">
      <c r="A6" s="166"/>
      <c r="B6" s="40">
        <v>9</v>
      </c>
      <c r="C6" s="89">
        <v>19</v>
      </c>
      <c r="D6" s="54">
        <v>5000000</v>
      </c>
      <c r="E6" s="515"/>
      <c r="F6" s="516"/>
      <c r="G6" s="55">
        <f>SUM(D6:F6)</f>
        <v>5000000</v>
      </c>
      <c r="H6" s="517">
        <f>G6</f>
        <v>5000000</v>
      </c>
      <c r="I6" s="518" t="s">
        <v>32</v>
      </c>
      <c r="J6" s="46">
        <f>G6+G7+G8</f>
        <v>25000000</v>
      </c>
      <c r="K6" s="519">
        <f>SUM(H6:H8)</f>
        <v>25000000</v>
      </c>
      <c r="L6" s="520">
        <v>21744860</v>
      </c>
      <c r="M6" s="520">
        <f>L6</f>
        <v>21744860</v>
      </c>
      <c r="N6" s="520">
        <f>L6*20%</f>
        <v>4348972</v>
      </c>
      <c r="O6" s="521">
        <f>J6-M6</f>
        <v>3255140</v>
      </c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</row>
    <row r="7" spans="1:33">
      <c r="A7" s="166"/>
      <c r="B7" s="52"/>
      <c r="C7" s="89">
        <v>23</v>
      </c>
      <c r="D7" s="522">
        <v>10000000</v>
      </c>
      <c r="E7" s="54"/>
      <c r="F7" s="516"/>
      <c r="G7" s="55">
        <f>D7</f>
        <v>10000000</v>
      </c>
      <c r="H7" s="517">
        <f>G7</f>
        <v>10000000</v>
      </c>
      <c r="I7" s="518" t="s">
        <v>32</v>
      </c>
      <c r="J7" s="52"/>
      <c r="K7" s="52"/>
      <c r="L7" s="52"/>
      <c r="M7" s="52"/>
      <c r="N7" s="52"/>
      <c r="O7" s="52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</row>
    <row r="8" spans="1:33">
      <c r="A8" s="166"/>
      <c r="B8" s="58"/>
      <c r="C8" s="89">
        <v>27</v>
      </c>
      <c r="D8" s="522">
        <v>10000000</v>
      </c>
      <c r="E8" s="54"/>
      <c r="F8" s="516"/>
      <c r="G8" s="55">
        <f>D8</f>
        <v>10000000</v>
      </c>
      <c r="H8" s="517">
        <f>G8</f>
        <v>10000000</v>
      </c>
      <c r="I8" s="518" t="s">
        <v>32</v>
      </c>
      <c r="J8" s="58"/>
      <c r="K8" s="58"/>
      <c r="L8" s="58"/>
      <c r="M8" s="58"/>
      <c r="N8" s="58"/>
      <c r="O8" s="58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</row>
    <row r="9" spans="1:33">
      <c r="A9" s="166"/>
      <c r="B9" s="40">
        <v>10</v>
      </c>
      <c r="C9" s="523" t="s">
        <v>11905</v>
      </c>
      <c r="D9" s="522"/>
      <c r="E9" s="516"/>
      <c r="F9" s="516"/>
      <c r="G9" s="524" t="str">
        <f>D9</f>
        <v/>
      </c>
      <c r="H9" s="525">
        <f>O6/0.8</f>
        <v>4068925</v>
      </c>
      <c r="I9" s="518" t="s">
        <v>32</v>
      </c>
      <c r="J9" s="46">
        <f>G10+G11+G12+G13+G14+G15</f>
        <v>46000000</v>
      </c>
      <c r="K9" s="519">
        <f>SUM(H9:H15)</f>
        <v>52568925</v>
      </c>
      <c r="L9" s="520">
        <v>48082040</v>
      </c>
      <c r="M9" s="526">
        <f>L9*2</f>
        <v>96164080</v>
      </c>
      <c r="N9" s="526">
        <f>M9*0.6</f>
        <v>57698448</v>
      </c>
      <c r="O9" s="521">
        <f>K9-L9</f>
        <v>4486885</v>
      </c>
      <c r="P9" s="527" t="s">
        <v>11906</v>
      </c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</row>
    <row r="10" spans="1:33">
      <c r="A10" s="166"/>
      <c r="B10" s="52"/>
      <c r="C10" s="89">
        <v>2</v>
      </c>
      <c r="D10" s="522">
        <v>10000000</v>
      </c>
      <c r="E10" s="516"/>
      <c r="F10" s="516"/>
      <c r="G10" s="524">
        <f>D10</f>
        <v>10000000</v>
      </c>
      <c r="H10" s="517">
        <f>G10</f>
        <v>10000000</v>
      </c>
      <c r="I10" s="518"/>
      <c r="J10" s="52"/>
      <c r="K10" s="52"/>
      <c r="L10" s="52"/>
      <c r="M10" s="52"/>
      <c r="N10" s="52"/>
      <c r="O10" s="52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</row>
    <row r="11" spans="1:33">
      <c r="A11" s="166"/>
      <c r="B11" s="52"/>
      <c r="C11" s="89">
        <v>14</v>
      </c>
      <c r="D11" s="522">
        <v>15000000</v>
      </c>
      <c r="E11" s="516"/>
      <c r="F11" s="516"/>
      <c r="G11" s="524">
        <f>D11</f>
        <v>15000000</v>
      </c>
      <c r="H11" s="517">
        <f>G11</f>
        <v>15000000</v>
      </c>
      <c r="I11" s="518" t="s">
        <v>32</v>
      </c>
      <c r="J11" s="52"/>
      <c r="K11" s="52"/>
      <c r="L11" s="52"/>
      <c r="M11" s="52"/>
      <c r="N11" s="52"/>
      <c r="O11" s="52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</row>
    <row r="12" spans="1:33">
      <c r="A12" s="166"/>
      <c r="B12" s="52"/>
      <c r="C12" s="89">
        <v>14</v>
      </c>
      <c r="D12" s="522">
        <v>5000000</v>
      </c>
      <c r="E12" s="516"/>
      <c r="F12" s="516"/>
      <c r="G12" s="528">
        <v>5000000</v>
      </c>
      <c r="H12" s="517">
        <f>G12</f>
        <v>5000000</v>
      </c>
      <c r="I12" s="518" t="s">
        <v>32</v>
      </c>
      <c r="J12" s="52"/>
      <c r="K12" s="52"/>
      <c r="L12" s="52"/>
      <c r="M12" s="52"/>
      <c r="N12" s="52"/>
      <c r="O12" s="52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</row>
    <row r="13" spans="1:33">
      <c r="A13" s="166"/>
      <c r="B13" s="52"/>
      <c r="C13" s="89">
        <v>28</v>
      </c>
      <c r="D13" s="529" t="s">
        <v>11907</v>
      </c>
      <c r="E13" s="516"/>
      <c r="F13" s="516"/>
      <c r="G13" s="530">
        <v>6000000</v>
      </c>
      <c r="H13" s="517">
        <f>G13</f>
        <v>6000000</v>
      </c>
      <c r="I13" s="518" t="s">
        <v>32</v>
      </c>
      <c r="J13" s="52"/>
      <c r="K13" s="52"/>
      <c r="L13" s="52"/>
      <c r="M13" s="52"/>
      <c r="N13" s="52"/>
      <c r="O13" s="52"/>
      <c r="P13" s="527" t="s">
        <v>11908</v>
      </c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</row>
    <row r="14" spans="1:33">
      <c r="A14" s="166"/>
      <c r="B14" s="52"/>
      <c r="C14" s="89">
        <v>28</v>
      </c>
      <c r="D14" s="522">
        <v>5000000</v>
      </c>
      <c r="E14" s="516"/>
      <c r="F14" s="516"/>
      <c r="G14" s="531">
        <v>5000000</v>
      </c>
      <c r="H14" s="532">
        <f>G14/0.8</f>
        <v>6250000</v>
      </c>
      <c r="I14" s="518" t="s">
        <v>32</v>
      </c>
      <c r="J14" s="52"/>
      <c r="K14" s="52"/>
      <c r="L14" s="52"/>
      <c r="M14" s="52"/>
      <c r="N14" s="52"/>
      <c r="O14" s="52"/>
      <c r="P14" s="527" t="s">
        <v>11909</v>
      </c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</row>
    <row r="15" spans="1:33">
      <c r="A15" s="166"/>
      <c r="B15" s="58"/>
      <c r="C15" s="89">
        <v>29</v>
      </c>
      <c r="D15" s="522">
        <v>5000000</v>
      </c>
      <c r="E15" s="516"/>
      <c r="F15" s="516"/>
      <c r="G15" s="531">
        <v>5000000</v>
      </c>
      <c r="H15" s="532">
        <f>G15/0.8</f>
        <v>6250000</v>
      </c>
      <c r="I15" s="518" t="s">
        <v>32</v>
      </c>
      <c r="J15" s="58"/>
      <c r="K15" s="58"/>
      <c r="L15" s="58"/>
      <c r="M15" s="58"/>
      <c r="N15" s="58"/>
      <c r="O15" s="58"/>
      <c r="P15" s="527" t="s">
        <v>11909</v>
      </c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</row>
    <row r="16" spans="1:33">
      <c r="A16" s="166"/>
      <c r="B16" s="40">
        <v>11</v>
      </c>
      <c r="C16" s="523" t="s">
        <v>11905</v>
      </c>
      <c r="D16" s="522"/>
      <c r="E16" s="516"/>
      <c r="F16" s="516"/>
      <c r="G16" s="533"/>
      <c r="H16" s="525">
        <f>O9</f>
        <v>4486885</v>
      </c>
      <c r="I16" s="518"/>
      <c r="J16" s="46">
        <f>G16+G17+G18+G19+G20</f>
        <v>36000000</v>
      </c>
      <c r="K16" s="519">
        <f>SUM(H16:H20)</f>
        <v>49486885</v>
      </c>
      <c r="L16" s="520">
        <f>M16/2</f>
        <v>45711340</v>
      </c>
      <c r="M16" s="534">
        <v>91422680</v>
      </c>
      <c r="N16" s="534">
        <f>M16*60%</f>
        <v>54853608</v>
      </c>
      <c r="O16" s="535">
        <f>K16-L16</f>
        <v>3775545</v>
      </c>
      <c r="P16" s="527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</row>
    <row r="17" spans="1:33">
      <c r="A17" s="166"/>
      <c r="B17" s="52"/>
      <c r="C17" s="89">
        <v>8</v>
      </c>
      <c r="D17" s="522">
        <v>8000000</v>
      </c>
      <c r="E17" s="516"/>
      <c r="F17" s="516"/>
      <c r="G17" s="524">
        <f>D17</f>
        <v>8000000</v>
      </c>
      <c r="H17" s="532">
        <f>G17/0.8</f>
        <v>10000000</v>
      </c>
      <c r="I17" s="518" t="s">
        <v>32</v>
      </c>
      <c r="J17" s="52"/>
      <c r="K17" s="52"/>
      <c r="L17" s="52"/>
      <c r="M17" s="52"/>
      <c r="N17" s="52"/>
      <c r="O17" s="52"/>
      <c r="P17" s="527" t="s">
        <v>11909</v>
      </c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</row>
    <row r="18" spans="1:33">
      <c r="A18" s="166"/>
      <c r="B18" s="52"/>
      <c r="C18" s="89">
        <v>13</v>
      </c>
      <c r="D18" s="522">
        <v>8000000</v>
      </c>
      <c r="E18" s="516"/>
      <c r="F18" s="516"/>
      <c r="G18" s="528">
        <f>D18</f>
        <v>8000000</v>
      </c>
      <c r="H18" s="532">
        <f>G18/0.8</f>
        <v>10000000</v>
      </c>
      <c r="I18" s="518" t="s">
        <v>32</v>
      </c>
      <c r="J18" s="52"/>
      <c r="K18" s="52"/>
      <c r="L18" s="52"/>
      <c r="M18" s="52"/>
      <c r="N18" s="52"/>
      <c r="O18" s="52"/>
      <c r="P18" s="527" t="s">
        <v>11909</v>
      </c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</row>
    <row r="19" spans="1:33">
      <c r="A19" s="166"/>
      <c r="B19" s="52"/>
      <c r="C19" s="89">
        <v>21</v>
      </c>
      <c r="D19" s="522">
        <v>8000000</v>
      </c>
      <c r="E19" s="516"/>
      <c r="F19" s="516"/>
      <c r="G19" s="528">
        <f>D19</f>
        <v>8000000</v>
      </c>
      <c r="H19" s="532">
        <f>G19/0.8</f>
        <v>10000000</v>
      </c>
      <c r="I19" s="518" t="s">
        <v>32</v>
      </c>
      <c r="J19" s="52"/>
      <c r="K19" s="52"/>
      <c r="L19" s="52"/>
      <c r="M19" s="52"/>
      <c r="N19" s="52"/>
      <c r="O19" s="52"/>
      <c r="P19" s="527" t="s">
        <v>11909</v>
      </c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</row>
    <row r="20" spans="1:33">
      <c r="A20" s="166"/>
      <c r="B20" s="58"/>
      <c r="C20" s="89">
        <v>28</v>
      </c>
      <c r="D20" s="522">
        <v>12000000</v>
      </c>
      <c r="E20" s="516"/>
      <c r="F20" s="516"/>
      <c r="G20" s="531">
        <f>D20</f>
        <v>12000000</v>
      </c>
      <c r="H20" s="532">
        <f>G20/0.8</f>
        <v>15000000</v>
      </c>
      <c r="I20" s="518" t="s">
        <v>32</v>
      </c>
      <c r="J20" s="58"/>
      <c r="K20" s="58"/>
      <c r="L20" s="58"/>
      <c r="M20" s="58"/>
      <c r="N20" s="58"/>
      <c r="O20" s="58"/>
      <c r="P20" s="527" t="s">
        <v>11909</v>
      </c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</row>
    <row r="21" spans="1:33">
      <c r="A21" s="166"/>
      <c r="B21" s="40">
        <v>12</v>
      </c>
      <c r="C21" s="523" t="s">
        <v>11905</v>
      </c>
      <c r="D21" s="522"/>
      <c r="E21" s="516"/>
      <c r="F21" s="516"/>
      <c r="G21" s="533"/>
      <c r="H21" s="525">
        <f>O16</f>
        <v>3775545</v>
      </c>
      <c r="I21" s="518"/>
      <c r="J21" s="46">
        <f>SUM(G21:G25)</f>
        <v>24000000</v>
      </c>
      <c r="K21" s="519">
        <f>SUM(H21:H25)</f>
        <v>33775545</v>
      </c>
      <c r="L21" s="520">
        <f>M21/2</f>
        <v>32810500</v>
      </c>
      <c r="M21" s="534">
        <v>65621000</v>
      </c>
      <c r="N21" s="534">
        <f>M21*60%</f>
        <v>39372600</v>
      </c>
      <c r="O21" s="535">
        <f>K21-L21</f>
        <v>965045</v>
      </c>
      <c r="P21" s="527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</row>
    <row r="22" spans="1:33">
      <c r="A22" s="166"/>
      <c r="B22" s="52"/>
      <c r="C22" s="89">
        <v>4</v>
      </c>
      <c r="D22" s="522">
        <v>8000000</v>
      </c>
      <c r="E22" s="516"/>
      <c r="F22" s="516"/>
      <c r="G22" s="524">
        <f>D22</f>
        <v>8000000</v>
      </c>
      <c r="H22" s="517">
        <f>G22/0.8</f>
        <v>10000000</v>
      </c>
      <c r="I22" s="518" t="s">
        <v>32</v>
      </c>
      <c r="J22" s="52"/>
      <c r="K22" s="52"/>
      <c r="L22" s="52"/>
      <c r="M22" s="52"/>
      <c r="N22" s="52"/>
      <c r="O22" s="52"/>
      <c r="P22" s="527" t="s">
        <v>11909</v>
      </c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</row>
    <row r="23" spans="1:33">
      <c r="A23" s="166"/>
      <c r="B23" s="52"/>
      <c r="C23" s="89">
        <v>11</v>
      </c>
      <c r="D23" s="522">
        <v>8000000</v>
      </c>
      <c r="E23" s="516"/>
      <c r="F23" s="516"/>
      <c r="G23" s="528">
        <f>D23</f>
        <v>8000000</v>
      </c>
      <c r="H23" s="517">
        <f>G23/0.8</f>
        <v>10000000</v>
      </c>
      <c r="I23" s="518" t="s">
        <v>32</v>
      </c>
      <c r="J23" s="52"/>
      <c r="K23" s="52"/>
      <c r="L23" s="52"/>
      <c r="M23" s="52"/>
      <c r="N23" s="52"/>
      <c r="O23" s="52"/>
      <c r="P23" s="527" t="s">
        <v>11909</v>
      </c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</row>
    <row r="24" spans="1:33">
      <c r="A24" s="166"/>
      <c r="B24" s="52"/>
      <c r="C24" s="89">
        <v>24</v>
      </c>
      <c r="D24" s="522">
        <v>4000000</v>
      </c>
      <c r="E24" s="516"/>
      <c r="F24" s="516"/>
      <c r="G24" s="528">
        <f>D24</f>
        <v>4000000</v>
      </c>
      <c r="H24" s="517">
        <f>G24/0.8</f>
        <v>5000000</v>
      </c>
      <c r="I24" s="518" t="s">
        <v>32</v>
      </c>
      <c r="J24" s="52"/>
      <c r="K24" s="52"/>
      <c r="L24" s="52"/>
      <c r="M24" s="52"/>
      <c r="N24" s="52"/>
      <c r="O24" s="52"/>
      <c r="P24" s="527" t="s">
        <v>11909</v>
      </c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</row>
    <row r="25" spans="1:33">
      <c r="A25" s="166"/>
      <c r="B25" s="58"/>
      <c r="C25" s="89">
        <v>27</v>
      </c>
      <c r="D25" s="522">
        <v>4000000</v>
      </c>
      <c r="E25" s="516"/>
      <c r="F25" s="516"/>
      <c r="G25" s="531">
        <f>D25</f>
        <v>4000000</v>
      </c>
      <c r="H25" s="517">
        <f>G25/0.8</f>
        <v>5000000</v>
      </c>
      <c r="I25" s="518"/>
      <c r="J25" s="58"/>
      <c r="K25" s="58"/>
      <c r="L25" s="58"/>
      <c r="M25" s="58"/>
      <c r="N25" s="58"/>
      <c r="O25" s="58"/>
      <c r="P25" s="527" t="s">
        <v>11909</v>
      </c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</row>
    <row r="26" spans="1:33">
      <c r="A26" s="166"/>
      <c r="B26" s="40">
        <v>1</v>
      </c>
      <c r="C26" s="523" t="s">
        <v>11905</v>
      </c>
      <c r="D26" s="522"/>
      <c r="E26" s="516"/>
      <c r="F26" s="516"/>
      <c r="G26" s="533"/>
      <c r="H26" s="525">
        <f>O21</f>
        <v>965045</v>
      </c>
      <c r="I26" s="518"/>
      <c r="J26" s="46">
        <f>SUM(G26:G30)</f>
        <v>28000000</v>
      </c>
      <c r="K26" s="519">
        <f>SUM(H26:H30)</f>
        <v>35965045</v>
      </c>
      <c r="L26" s="520">
        <f>M26/2</f>
        <v>30621590</v>
      </c>
      <c r="M26" s="534">
        <v>61243180</v>
      </c>
      <c r="N26" s="534">
        <f>M26*60%</f>
        <v>36745908</v>
      </c>
      <c r="O26" s="535">
        <f>K26-L26</f>
        <v>5343455</v>
      </c>
      <c r="P26" s="527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</row>
    <row r="27" spans="1:33">
      <c r="A27" s="166"/>
      <c r="B27" s="52"/>
      <c r="C27" s="89">
        <v>2</v>
      </c>
      <c r="D27" s="522">
        <v>8000000</v>
      </c>
      <c r="E27" s="516"/>
      <c r="F27" s="516"/>
      <c r="G27" s="524">
        <f>D27</f>
        <v>8000000</v>
      </c>
      <c r="H27" s="517">
        <f>G27/0.8</f>
        <v>10000000</v>
      </c>
      <c r="I27" s="518" t="s">
        <v>32</v>
      </c>
      <c r="J27" s="52"/>
      <c r="K27" s="52"/>
      <c r="L27" s="52"/>
      <c r="M27" s="52"/>
      <c r="N27" s="52"/>
      <c r="O27" s="52"/>
      <c r="P27" s="527" t="s">
        <v>11909</v>
      </c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</row>
    <row r="28" spans="1:33">
      <c r="A28" s="166"/>
      <c r="B28" s="52"/>
      <c r="C28" s="89">
        <v>10</v>
      </c>
      <c r="D28" s="522">
        <v>8000000</v>
      </c>
      <c r="E28" s="516"/>
      <c r="F28" s="516"/>
      <c r="G28" s="528">
        <f>D28</f>
        <v>8000000</v>
      </c>
      <c r="H28" s="517">
        <f>G28/0.8</f>
        <v>10000000</v>
      </c>
      <c r="I28" s="518" t="s">
        <v>32</v>
      </c>
      <c r="J28" s="52"/>
      <c r="K28" s="52"/>
      <c r="L28" s="52"/>
      <c r="M28" s="52"/>
      <c r="N28" s="52"/>
      <c r="O28" s="52"/>
      <c r="P28" s="527" t="s">
        <v>11909</v>
      </c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</row>
    <row r="29" spans="1:33">
      <c r="A29" s="166"/>
      <c r="B29" s="52"/>
      <c r="C29" s="89">
        <v>21</v>
      </c>
      <c r="D29" s="522">
        <v>8000000</v>
      </c>
      <c r="E29" s="516"/>
      <c r="F29" s="516"/>
      <c r="G29" s="528">
        <f>D29</f>
        <v>8000000</v>
      </c>
      <c r="H29" s="517">
        <f>G29/0.8</f>
        <v>10000000</v>
      </c>
      <c r="I29" s="518" t="s">
        <v>32</v>
      </c>
      <c r="J29" s="52"/>
      <c r="K29" s="52"/>
      <c r="L29" s="52"/>
      <c r="M29" s="52"/>
      <c r="N29" s="52"/>
      <c r="O29" s="52"/>
      <c r="P29" s="527" t="s">
        <v>11909</v>
      </c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</row>
    <row r="30" spans="1:33">
      <c r="A30" s="166"/>
      <c r="B30" s="58"/>
      <c r="C30" s="89">
        <v>24</v>
      </c>
      <c r="D30" s="522">
        <v>4000000</v>
      </c>
      <c r="E30" s="516"/>
      <c r="F30" s="516"/>
      <c r="G30" s="531">
        <f>D30</f>
        <v>4000000</v>
      </c>
      <c r="H30" s="517">
        <f>G30/0.8</f>
        <v>5000000</v>
      </c>
      <c r="I30" s="518" t="s">
        <v>32</v>
      </c>
      <c r="J30" s="58"/>
      <c r="K30" s="58"/>
      <c r="L30" s="58"/>
      <c r="M30" s="58"/>
      <c r="N30" s="58"/>
      <c r="O30" s="58"/>
      <c r="P30" s="527" t="s">
        <v>11909</v>
      </c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</row>
    <row r="31" spans="1:33">
      <c r="A31" s="166"/>
      <c r="B31" s="40">
        <v>2</v>
      </c>
      <c r="C31" s="523" t="s">
        <v>11905</v>
      </c>
      <c r="D31" s="522"/>
      <c r="E31" s="516"/>
      <c r="F31" s="516"/>
      <c r="G31" s="533"/>
      <c r="H31" s="525">
        <f>O26</f>
        <v>5343455</v>
      </c>
      <c r="I31" s="518"/>
      <c r="J31" s="46">
        <f>SUM(G31:G33)</f>
        <v>16000000</v>
      </c>
      <c r="K31" s="519">
        <f>SUM(H31:H33)</f>
        <v>25343455</v>
      </c>
      <c r="L31" s="520">
        <f>M31/2</f>
        <v>24762280</v>
      </c>
      <c r="M31" s="534">
        <v>49524560</v>
      </c>
      <c r="N31" s="534">
        <f>M31*60%</f>
        <v>29714736</v>
      </c>
      <c r="O31" s="535">
        <f>K31-L31</f>
        <v>581175</v>
      </c>
      <c r="P31" s="527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</row>
    <row r="32" spans="1:33">
      <c r="A32" s="166"/>
      <c r="B32" s="52"/>
      <c r="C32" s="89">
        <v>11</v>
      </c>
      <c r="D32" s="522">
        <v>8000000</v>
      </c>
      <c r="E32" s="516"/>
      <c r="F32" s="516"/>
      <c r="G32" s="524">
        <f>D32</f>
        <v>8000000</v>
      </c>
      <c r="H32" s="517">
        <f>G32/0.8</f>
        <v>10000000</v>
      </c>
      <c r="I32" s="518" t="s">
        <v>32</v>
      </c>
      <c r="J32" s="52"/>
      <c r="K32" s="52"/>
      <c r="L32" s="52"/>
      <c r="M32" s="52"/>
      <c r="N32" s="52"/>
      <c r="O32" s="52"/>
      <c r="P32" s="527" t="s">
        <v>11909</v>
      </c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</row>
    <row r="33" spans="1:33">
      <c r="A33" s="166"/>
      <c r="B33" s="58"/>
      <c r="C33" s="89">
        <v>24</v>
      </c>
      <c r="D33" s="522">
        <v>8000000</v>
      </c>
      <c r="E33" s="516"/>
      <c r="F33" s="516"/>
      <c r="G33" s="528">
        <f>D33</f>
        <v>8000000</v>
      </c>
      <c r="H33" s="517">
        <f>G33/0.8</f>
        <v>10000000</v>
      </c>
      <c r="I33" s="518" t="s">
        <v>32</v>
      </c>
      <c r="J33" s="58"/>
      <c r="K33" s="58"/>
      <c r="L33" s="58"/>
      <c r="M33" s="58"/>
      <c r="N33" s="58"/>
      <c r="O33" s="58"/>
      <c r="P33" s="527" t="s">
        <v>11909</v>
      </c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</row>
    <row r="34" spans="1:33">
      <c r="A34" s="166"/>
      <c r="B34" s="40">
        <v>3</v>
      </c>
      <c r="C34" s="523" t="s">
        <v>11905</v>
      </c>
      <c r="D34" s="522"/>
      <c r="E34" s="516"/>
      <c r="F34" s="516"/>
      <c r="G34" s="533"/>
      <c r="H34" s="525">
        <f>O31</f>
        <v>581175</v>
      </c>
      <c r="I34" s="518"/>
      <c r="J34" s="46">
        <f>SUM(G34:G37)</f>
        <v>20000000</v>
      </c>
      <c r="K34" s="519">
        <f>SUM(H34:H37)</f>
        <v>25581175</v>
      </c>
      <c r="L34" s="520">
        <f>M34/2</f>
        <v>24229080</v>
      </c>
      <c r="M34" s="534">
        <v>48458160</v>
      </c>
      <c r="N34" s="534">
        <f>M34*60%</f>
        <v>29074896</v>
      </c>
      <c r="O34" s="535">
        <f>K34-L34</f>
        <v>1352095</v>
      </c>
      <c r="P34" s="527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</row>
    <row r="35" spans="1:33">
      <c r="A35" s="166"/>
      <c r="B35" s="52"/>
      <c r="C35" s="89">
        <v>13</v>
      </c>
      <c r="D35" s="522">
        <v>8000000</v>
      </c>
      <c r="E35" s="516"/>
      <c r="F35" s="516"/>
      <c r="G35" s="524">
        <f>D35</f>
        <v>8000000</v>
      </c>
      <c r="H35" s="517">
        <f>G35/0.8</f>
        <v>10000000</v>
      </c>
      <c r="I35" s="518" t="s">
        <v>32</v>
      </c>
      <c r="J35" s="52"/>
      <c r="K35" s="52"/>
      <c r="L35" s="52"/>
      <c r="M35" s="52"/>
      <c r="N35" s="52"/>
      <c r="O35" s="52"/>
      <c r="P35" s="527" t="s">
        <v>11909</v>
      </c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</row>
    <row r="36" spans="1:33">
      <c r="A36" s="166"/>
      <c r="B36" s="52"/>
      <c r="C36" s="89">
        <v>31</v>
      </c>
      <c r="D36" s="522">
        <v>8000000</v>
      </c>
      <c r="E36" s="516"/>
      <c r="F36" s="516"/>
      <c r="G36" s="528">
        <f>D36</f>
        <v>8000000</v>
      </c>
      <c r="H36" s="517">
        <f>G36/0.8</f>
        <v>10000000</v>
      </c>
      <c r="I36" s="518" t="s">
        <v>32</v>
      </c>
      <c r="J36" s="52"/>
      <c r="K36" s="52"/>
      <c r="L36" s="52"/>
      <c r="M36" s="52"/>
      <c r="N36" s="52"/>
      <c r="O36" s="52"/>
      <c r="P36" s="527" t="s">
        <v>11909</v>
      </c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</row>
    <row r="37" spans="1:33">
      <c r="A37" s="166"/>
      <c r="B37" s="58"/>
      <c r="C37" s="89">
        <v>31</v>
      </c>
      <c r="D37" s="522">
        <v>4000000</v>
      </c>
      <c r="E37" s="516"/>
      <c r="F37" s="516"/>
      <c r="G37" s="528">
        <f>D37</f>
        <v>4000000</v>
      </c>
      <c r="H37" s="517">
        <f>G37/0.8</f>
        <v>5000000</v>
      </c>
      <c r="I37" s="518" t="s">
        <v>32</v>
      </c>
      <c r="J37" s="58"/>
      <c r="K37" s="58"/>
      <c r="L37" s="58"/>
      <c r="M37" s="58"/>
      <c r="N37" s="58"/>
      <c r="O37" s="58"/>
      <c r="P37" s="527" t="s">
        <v>11909</v>
      </c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</row>
    <row r="38" spans="1:33">
      <c r="A38" s="166"/>
      <c r="B38" s="40">
        <v>4</v>
      </c>
      <c r="C38" s="523" t="s">
        <v>11905</v>
      </c>
      <c r="D38" s="522"/>
      <c r="E38" s="516"/>
      <c r="F38" s="516"/>
      <c r="G38" s="536"/>
      <c r="H38" s="525">
        <f>O34</f>
        <v>1352095</v>
      </c>
      <c r="I38" s="518"/>
      <c r="J38" s="46">
        <f>SUM(G38:G41)</f>
        <v>20000000</v>
      </c>
      <c r="K38" s="519">
        <f>SUM(H38:H41)</f>
        <v>26352095</v>
      </c>
      <c r="L38" s="520">
        <f>M38/2</f>
        <v>26785300</v>
      </c>
      <c r="M38" s="534">
        <v>53570600</v>
      </c>
      <c r="N38" s="534">
        <f>M38*60%</f>
        <v>32142360</v>
      </c>
      <c r="O38" s="535">
        <f>K38-L38</f>
        <v>-433205</v>
      </c>
      <c r="P38" s="527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</row>
    <row r="39" spans="1:33">
      <c r="A39" s="166"/>
      <c r="B39" s="52"/>
      <c r="C39" s="89">
        <v>30</v>
      </c>
      <c r="D39" s="522">
        <v>8000000</v>
      </c>
      <c r="E39" s="516"/>
      <c r="F39" s="516"/>
      <c r="G39" s="524">
        <f>D39</f>
        <v>8000000</v>
      </c>
      <c r="H39" s="517">
        <f>G39/0.8</f>
        <v>10000000</v>
      </c>
      <c r="I39" s="518" t="s">
        <v>32</v>
      </c>
      <c r="J39" s="52"/>
      <c r="K39" s="52"/>
      <c r="L39" s="52"/>
      <c r="M39" s="52"/>
      <c r="N39" s="52"/>
      <c r="O39" s="52"/>
      <c r="P39" s="527" t="s">
        <v>11909</v>
      </c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</row>
    <row r="40" spans="1:33">
      <c r="A40" s="166"/>
      <c r="B40" s="52"/>
      <c r="C40" s="89">
        <v>30</v>
      </c>
      <c r="D40" s="522">
        <v>8000000</v>
      </c>
      <c r="E40" s="516"/>
      <c r="F40" s="516"/>
      <c r="G40" s="531">
        <f>D40</f>
        <v>8000000</v>
      </c>
      <c r="H40" s="517">
        <f>G40/0.8</f>
        <v>10000000</v>
      </c>
      <c r="I40" s="518" t="s">
        <v>32</v>
      </c>
      <c r="J40" s="52"/>
      <c r="K40" s="52"/>
      <c r="L40" s="52"/>
      <c r="M40" s="52"/>
      <c r="N40" s="52"/>
      <c r="O40" s="52"/>
      <c r="P40" s="527" t="s">
        <v>11909</v>
      </c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</row>
    <row r="41" spans="1:33">
      <c r="A41" s="166"/>
      <c r="B41" s="58"/>
      <c r="C41" s="89">
        <v>30</v>
      </c>
      <c r="D41" s="522">
        <v>4000000</v>
      </c>
      <c r="E41" s="516"/>
      <c r="F41" s="516"/>
      <c r="G41" s="531">
        <f>D41</f>
        <v>4000000</v>
      </c>
      <c r="H41" s="517">
        <f>G41/0.8</f>
        <v>5000000</v>
      </c>
      <c r="I41" s="518" t="s">
        <v>32</v>
      </c>
      <c r="J41" s="58"/>
      <c r="K41" s="58"/>
      <c r="L41" s="58"/>
      <c r="M41" s="58"/>
      <c r="N41" s="58"/>
      <c r="O41" s="58"/>
      <c r="P41" s="527" t="s">
        <v>11909</v>
      </c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</row>
    <row r="42" spans="1:33">
      <c r="A42" s="166"/>
      <c r="B42" s="40">
        <v>5</v>
      </c>
      <c r="C42" s="523" t="s">
        <v>11905</v>
      </c>
      <c r="D42" s="522"/>
      <c r="E42" s="516"/>
      <c r="F42" s="516"/>
      <c r="G42" s="533"/>
      <c r="H42" s="525">
        <f>O38</f>
        <v>-433205</v>
      </c>
      <c r="I42" s="518"/>
      <c r="J42" s="46">
        <f>SUM(G42:G45)</f>
        <v>20000000</v>
      </c>
      <c r="K42" s="519">
        <f>SUM(H42:H45)</f>
        <v>24566795</v>
      </c>
      <c r="L42" s="520">
        <f>M42/2</f>
        <v>28120900</v>
      </c>
      <c r="M42" s="534">
        <v>56241800</v>
      </c>
      <c r="N42" s="534">
        <f>M42*60%</f>
        <v>33745080</v>
      </c>
      <c r="O42" s="535">
        <f>K42-L42</f>
        <v>-3554105</v>
      </c>
      <c r="P42" s="527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</row>
    <row r="43" spans="1:33">
      <c r="A43" s="166"/>
      <c r="B43" s="52"/>
      <c r="C43" s="89">
        <v>29</v>
      </c>
      <c r="D43" s="522">
        <v>8000000</v>
      </c>
      <c r="E43" s="516"/>
      <c r="F43" s="516"/>
      <c r="G43" s="524">
        <f>D43</f>
        <v>8000000</v>
      </c>
      <c r="H43" s="517">
        <f>G43/0.8</f>
        <v>10000000</v>
      </c>
      <c r="I43" s="518" t="s">
        <v>32</v>
      </c>
      <c r="J43" s="52"/>
      <c r="K43" s="52"/>
      <c r="L43" s="52"/>
      <c r="M43" s="52"/>
      <c r="N43" s="52"/>
      <c r="O43" s="52"/>
      <c r="P43" s="527" t="s">
        <v>11909</v>
      </c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</row>
    <row r="44" spans="1:33">
      <c r="A44" s="166"/>
      <c r="B44" s="52"/>
      <c r="C44" s="89">
        <v>29</v>
      </c>
      <c r="D44" s="522">
        <v>8000000</v>
      </c>
      <c r="E44" s="516"/>
      <c r="F44" s="516"/>
      <c r="G44" s="531">
        <f>D44</f>
        <v>8000000</v>
      </c>
      <c r="H44" s="517">
        <f>G44/0.8</f>
        <v>10000000</v>
      </c>
      <c r="I44" s="518" t="s">
        <v>32</v>
      </c>
      <c r="J44" s="52"/>
      <c r="K44" s="52"/>
      <c r="L44" s="52"/>
      <c r="M44" s="52"/>
      <c r="N44" s="52"/>
      <c r="O44" s="52"/>
      <c r="P44" s="527" t="s">
        <v>11909</v>
      </c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</row>
    <row r="45" spans="1:33">
      <c r="A45" s="166"/>
      <c r="B45" s="58"/>
      <c r="C45" s="89">
        <v>29</v>
      </c>
      <c r="D45" s="522">
        <f>4000000</f>
        <v>4000000</v>
      </c>
      <c r="E45" s="516"/>
      <c r="F45" s="516"/>
      <c r="G45" s="531">
        <f>D45</f>
        <v>4000000</v>
      </c>
      <c r="H45" s="517">
        <f>G45/0.8</f>
        <v>5000000</v>
      </c>
      <c r="I45" s="518" t="s">
        <v>32</v>
      </c>
      <c r="J45" s="58"/>
      <c r="K45" s="58"/>
      <c r="L45" s="58"/>
      <c r="M45" s="58"/>
      <c r="N45" s="58"/>
      <c r="O45" s="58"/>
      <c r="P45" s="527" t="s">
        <v>11909</v>
      </c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</row>
    <row r="46" spans="1:33" ht="95.250000" customHeight="1">
      <c r="A46" s="166"/>
      <c r="B46" s="537" t="s">
        <v>11910</v>
      </c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130"/>
      <c r="P46" s="538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</row>
    <row r="47" spans="1:33">
      <c r="A47" s="166"/>
      <c r="B47" s="498"/>
      <c r="C47" s="498"/>
      <c r="D47" s="498"/>
      <c r="E47" s="498"/>
      <c r="F47" s="498"/>
      <c r="G47" s="166"/>
      <c r="H47" s="500"/>
      <c r="I47" s="501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</row>
    <row r="48" spans="1:33">
      <c r="A48" s="166"/>
      <c r="B48" s="498"/>
      <c r="C48" s="498"/>
      <c r="D48" s="498"/>
      <c r="E48" s="498"/>
      <c r="F48" s="498"/>
      <c r="G48" s="166"/>
      <c r="H48" s="500"/>
      <c r="I48" s="501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</row>
    <row r="49" spans="1:33">
      <c r="A49" s="166"/>
      <c r="B49" s="498"/>
      <c r="C49" s="498"/>
      <c r="D49" s="498"/>
      <c r="E49" s="498"/>
      <c r="F49" s="498"/>
      <c r="G49" s="166"/>
      <c r="H49" s="500"/>
      <c r="I49" s="501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</row>
    <row r="50" spans="1:33">
      <c r="A50" s="166"/>
      <c r="B50" s="498"/>
      <c r="C50" s="498"/>
      <c r="D50" s="498"/>
      <c r="E50" s="498"/>
      <c r="F50" s="498"/>
      <c r="G50" s="166"/>
      <c r="H50" s="500"/>
      <c r="I50" s="501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</row>
    <row r="51" spans="1:33">
      <c r="A51" s="166"/>
      <c r="B51" s="498"/>
      <c r="C51" s="498"/>
      <c r="D51" s="498"/>
      <c r="E51" s="498"/>
      <c r="F51" s="498"/>
      <c r="G51" s="166"/>
      <c r="H51" s="500"/>
      <c r="I51" s="501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</row>
    <row r="52" spans="1:33">
      <c r="A52" s="166"/>
      <c r="B52" s="498"/>
      <c r="C52" s="498"/>
      <c r="D52" s="498"/>
      <c r="E52" s="498"/>
      <c r="F52" s="498"/>
      <c r="G52" s="166"/>
      <c r="H52" s="500"/>
      <c r="I52" s="501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</row>
    <row r="53" spans="1:33">
      <c r="A53" s="166"/>
      <c r="B53" s="498"/>
      <c r="C53" s="498"/>
      <c r="D53" s="498"/>
      <c r="E53" s="498"/>
      <c r="F53" s="498"/>
      <c r="G53" s="166"/>
      <c r="H53" s="500"/>
      <c r="I53" s="501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</row>
    <row r="54" spans="1:33">
      <c r="A54" s="166"/>
      <c r="B54" s="498"/>
      <c r="C54" s="498"/>
      <c r="D54" s="498"/>
      <c r="E54" s="498"/>
      <c r="F54" s="498"/>
      <c r="G54" s="166"/>
      <c r="H54" s="500"/>
      <c r="I54" s="501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</row>
    <row r="55" spans="1:33">
      <c r="A55" s="166"/>
      <c r="B55" s="498"/>
      <c r="C55" s="498"/>
      <c r="D55" s="498"/>
      <c r="E55" s="498"/>
      <c r="F55" s="498"/>
      <c r="G55" s="166"/>
      <c r="H55" s="500"/>
      <c r="I55" s="501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</row>
    <row r="56" spans="1:33">
      <c r="A56" s="166"/>
      <c r="B56" s="498"/>
      <c r="C56" s="498"/>
      <c r="D56" s="498"/>
      <c r="E56" s="498"/>
      <c r="F56" s="498"/>
      <c r="G56" s="166"/>
      <c r="H56" s="500"/>
      <c r="I56" s="501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</row>
    <row r="57" spans="1:33">
      <c r="A57" s="166"/>
      <c r="B57" s="498"/>
      <c r="C57" s="498"/>
      <c r="D57" s="498"/>
      <c r="E57" s="498"/>
      <c r="F57" s="498"/>
      <c r="G57" s="166"/>
      <c r="H57" s="500"/>
      <c r="I57" s="501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</row>
    <row r="58" spans="1:33">
      <c r="A58" s="166"/>
      <c r="B58" s="498"/>
      <c r="C58" s="498"/>
      <c r="D58" s="498"/>
      <c r="E58" s="498"/>
      <c r="F58" s="498"/>
      <c r="G58" s="166"/>
      <c r="H58" s="500"/>
      <c r="I58" s="501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</row>
    <row r="59" spans="1:33">
      <c r="A59" s="166"/>
      <c r="B59" s="498"/>
      <c r="C59" s="498"/>
      <c r="D59" s="498"/>
      <c r="E59" s="498"/>
      <c r="F59" s="498"/>
      <c r="G59" s="166"/>
      <c r="H59" s="500"/>
      <c r="I59" s="501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</row>
    <row r="60" spans="1:33">
      <c r="A60" s="166"/>
      <c r="B60" s="498"/>
      <c r="C60" s="498"/>
      <c r="D60" s="498"/>
      <c r="E60" s="498"/>
      <c r="F60" s="498"/>
      <c r="G60" s="166"/>
      <c r="H60" s="500"/>
      <c r="I60" s="501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</row>
    <row r="61" spans="1:33">
      <c r="A61" s="166"/>
      <c r="B61" s="498"/>
      <c r="C61" s="498"/>
      <c r="D61" s="498"/>
      <c r="E61" s="498"/>
      <c r="F61" s="498"/>
      <c r="G61" s="166"/>
      <c r="H61" s="500"/>
      <c r="I61" s="501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</row>
    <row r="62" spans="1:33">
      <c r="A62" s="166"/>
      <c r="B62" s="498"/>
      <c r="C62" s="498"/>
      <c r="D62" s="498"/>
      <c r="E62" s="498"/>
      <c r="F62" s="498"/>
      <c r="G62" s="166"/>
      <c r="H62" s="500"/>
      <c r="I62" s="501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</row>
    <row r="63" spans="1:33">
      <c r="A63" s="166"/>
      <c r="B63" s="498"/>
      <c r="C63" s="498"/>
      <c r="D63" s="498"/>
      <c r="E63" s="498"/>
      <c r="F63" s="498"/>
      <c r="G63" s="166"/>
      <c r="H63" s="500"/>
      <c r="I63" s="501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</row>
    <row r="64" spans="1:33">
      <c r="A64" s="166"/>
      <c r="B64" s="498"/>
      <c r="C64" s="498"/>
      <c r="D64" s="498"/>
      <c r="E64" s="498"/>
      <c r="F64" s="498"/>
      <c r="G64" s="166"/>
      <c r="H64" s="500"/>
      <c r="I64" s="501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</row>
    <row r="65" spans="1:33">
      <c r="A65" s="166"/>
      <c r="B65" s="498"/>
      <c r="C65" s="498"/>
      <c r="D65" s="498"/>
      <c r="E65" s="498"/>
      <c r="F65" s="498"/>
      <c r="G65" s="166"/>
      <c r="H65" s="500"/>
      <c r="I65" s="501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</row>
    <row r="66" spans="1:33">
      <c r="A66" s="166"/>
      <c r="B66" s="498"/>
      <c r="C66" s="498"/>
      <c r="D66" s="498"/>
      <c r="E66" s="498"/>
      <c r="F66" s="498"/>
      <c r="G66" s="166"/>
      <c r="H66" s="500"/>
      <c r="I66" s="501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</row>
    <row r="67" spans="1:33">
      <c r="A67" s="166"/>
      <c r="B67" s="498"/>
      <c r="C67" s="498"/>
      <c r="D67" s="498"/>
      <c r="E67" s="498"/>
      <c r="F67" s="498"/>
      <c r="G67" s="166"/>
      <c r="H67" s="500"/>
      <c r="I67" s="501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</row>
    <row r="68" spans="1:33">
      <c r="A68" s="166"/>
      <c r="B68" s="498"/>
      <c r="C68" s="498"/>
      <c r="D68" s="498"/>
      <c r="E68" s="498"/>
      <c r="F68" s="498"/>
      <c r="G68" s="166"/>
      <c r="H68" s="500"/>
      <c r="I68" s="501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</row>
    <row r="69" spans="1:33">
      <c r="A69" s="166"/>
      <c r="B69" s="498"/>
      <c r="C69" s="498"/>
      <c r="D69" s="498"/>
      <c r="E69" s="498"/>
      <c r="F69" s="498"/>
      <c r="G69" s="166"/>
      <c r="H69" s="500"/>
      <c r="I69" s="501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</row>
    <row r="70" spans="1:33">
      <c r="A70" s="166"/>
      <c r="B70" s="498"/>
      <c r="C70" s="498"/>
      <c r="D70" s="498"/>
      <c r="E70" s="498"/>
      <c r="F70" s="498"/>
      <c r="G70" s="166"/>
      <c r="H70" s="500"/>
      <c r="I70" s="501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</row>
    <row r="71" spans="1:33">
      <c r="A71" s="166"/>
      <c r="B71" s="498"/>
      <c r="C71" s="498"/>
      <c r="D71" s="498"/>
      <c r="E71" s="498"/>
      <c r="F71" s="498"/>
      <c r="G71" s="166"/>
      <c r="H71" s="500"/>
      <c r="I71" s="501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</row>
    <row r="72" spans="1:33">
      <c r="A72" s="166"/>
      <c r="B72" s="498"/>
      <c r="C72" s="498"/>
      <c r="D72" s="498"/>
      <c r="E72" s="498"/>
      <c r="F72" s="498"/>
      <c r="G72" s="166"/>
      <c r="H72" s="500"/>
      <c r="I72" s="501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</row>
    <row r="73" spans="1:33">
      <c r="A73" s="166"/>
      <c r="B73" s="498"/>
      <c r="C73" s="498"/>
      <c r="D73" s="498"/>
      <c r="E73" s="498"/>
      <c r="F73" s="498"/>
      <c r="G73" s="166"/>
      <c r="H73" s="500"/>
      <c r="I73" s="501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</row>
    <row r="74" spans="1:33">
      <c r="A74" s="166"/>
      <c r="B74" s="498"/>
      <c r="C74" s="498"/>
      <c r="D74" s="498"/>
      <c r="E74" s="498"/>
      <c r="F74" s="498"/>
      <c r="G74" s="166"/>
      <c r="H74" s="500"/>
      <c r="I74" s="501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</row>
    <row r="75" spans="1:33">
      <c r="A75" s="166"/>
      <c r="B75" s="498"/>
      <c r="C75" s="498"/>
      <c r="D75" s="498"/>
      <c r="E75" s="498"/>
      <c r="F75" s="498"/>
      <c r="G75" s="166"/>
      <c r="H75" s="500"/>
      <c r="I75" s="501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</row>
    <row r="76" spans="1:33">
      <c r="A76" s="166"/>
      <c r="B76" s="498"/>
      <c r="C76" s="498"/>
      <c r="D76" s="498"/>
      <c r="E76" s="498"/>
      <c r="F76" s="498"/>
      <c r="G76" s="166"/>
      <c r="H76" s="500"/>
      <c r="I76" s="501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</row>
    <row r="77" spans="1:33">
      <c r="A77" s="166"/>
      <c r="B77" s="498"/>
      <c r="C77" s="498"/>
      <c r="D77" s="498"/>
      <c r="E77" s="498"/>
      <c r="F77" s="498"/>
      <c r="G77" s="166"/>
      <c r="H77" s="500"/>
      <c r="I77" s="501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</row>
    <row r="78" spans="1:33">
      <c r="A78" s="166"/>
      <c r="B78" s="498"/>
      <c r="C78" s="498"/>
      <c r="D78" s="498"/>
      <c r="E78" s="498"/>
      <c r="F78" s="498"/>
      <c r="G78" s="166"/>
      <c r="H78" s="500"/>
      <c r="I78" s="501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</row>
    <row r="79" spans="1:33">
      <c r="A79" s="166"/>
      <c r="B79" s="498"/>
      <c r="C79" s="498"/>
      <c r="D79" s="498"/>
      <c r="E79" s="498"/>
      <c r="F79" s="498"/>
      <c r="G79" s="166"/>
      <c r="H79" s="500"/>
      <c r="I79" s="501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</row>
    <row r="80" spans="1:33">
      <c r="A80" s="166"/>
      <c r="B80" s="498"/>
      <c r="C80" s="498"/>
      <c r="D80" s="498"/>
      <c r="E80" s="498"/>
      <c r="F80" s="498"/>
      <c r="G80" s="166"/>
      <c r="H80" s="500"/>
      <c r="I80" s="501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</row>
    <row r="81" spans="1:33">
      <c r="A81" s="166"/>
      <c r="B81" s="498"/>
      <c r="C81" s="498"/>
      <c r="D81" s="498"/>
      <c r="E81" s="498"/>
      <c r="F81" s="498"/>
      <c r="G81" s="166"/>
      <c r="H81" s="500"/>
      <c r="I81" s="501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</row>
    <row r="82" spans="1:33">
      <c r="A82" s="166"/>
      <c r="B82" s="498"/>
      <c r="C82" s="498"/>
      <c r="D82" s="498"/>
      <c r="E82" s="498"/>
      <c r="F82" s="498"/>
      <c r="G82" s="166"/>
      <c r="H82" s="500"/>
      <c r="I82" s="501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</row>
    <row r="83" spans="1:33">
      <c r="A83" s="166"/>
      <c r="B83" s="498"/>
      <c r="C83" s="498"/>
      <c r="D83" s="498"/>
      <c r="E83" s="498"/>
      <c r="F83" s="498"/>
      <c r="G83" s="166"/>
      <c r="H83" s="500"/>
      <c r="I83" s="501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</row>
    <row r="84" spans="1:33">
      <c r="A84" s="166"/>
      <c r="B84" s="498"/>
      <c r="C84" s="498"/>
      <c r="D84" s="498"/>
      <c r="E84" s="498"/>
      <c r="F84" s="498"/>
      <c r="G84" s="166"/>
      <c r="H84" s="500"/>
      <c r="I84" s="501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</row>
    <row r="85" spans="1:33">
      <c r="A85" s="166"/>
      <c r="B85" s="498"/>
      <c r="C85" s="498"/>
      <c r="D85" s="498"/>
      <c r="E85" s="498"/>
      <c r="F85" s="498"/>
      <c r="G85" s="166"/>
      <c r="H85" s="500"/>
      <c r="I85" s="501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</row>
    <row r="86" spans="1:33">
      <c r="A86" s="166"/>
      <c r="B86" s="498"/>
      <c r="C86" s="498"/>
      <c r="D86" s="498"/>
      <c r="E86" s="498"/>
      <c r="F86" s="498"/>
      <c r="G86" s="166"/>
      <c r="H86" s="500"/>
      <c r="I86" s="501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</row>
    <row r="87" spans="1:33">
      <c r="A87" s="166"/>
      <c r="B87" s="498"/>
      <c r="C87" s="498"/>
      <c r="D87" s="498"/>
      <c r="E87" s="498"/>
      <c r="F87" s="498"/>
      <c r="G87" s="166"/>
      <c r="H87" s="500"/>
      <c r="I87" s="501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</row>
    <row r="88" spans="1:33">
      <c r="A88" s="166"/>
      <c r="B88" s="498"/>
      <c r="C88" s="498"/>
      <c r="D88" s="498"/>
      <c r="E88" s="498"/>
      <c r="F88" s="498"/>
      <c r="G88" s="166"/>
      <c r="H88" s="500"/>
      <c r="I88" s="501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</row>
    <row r="89" spans="1:33">
      <c r="A89" s="166"/>
      <c r="B89" s="498"/>
      <c r="C89" s="498"/>
      <c r="D89" s="498"/>
      <c r="E89" s="498"/>
      <c r="F89" s="498"/>
      <c r="G89" s="166"/>
      <c r="H89" s="500"/>
      <c r="I89" s="501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</row>
    <row r="90" spans="1:33">
      <c r="A90" s="166"/>
      <c r="B90" s="498"/>
      <c r="C90" s="498"/>
      <c r="D90" s="498"/>
      <c r="E90" s="498"/>
      <c r="F90" s="498"/>
      <c r="G90" s="166"/>
      <c r="H90" s="500"/>
      <c r="I90" s="501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</row>
    <row r="91" spans="1:33">
      <c r="A91" s="166"/>
      <c r="B91" s="498"/>
      <c r="C91" s="498"/>
      <c r="D91" s="498"/>
      <c r="E91" s="498"/>
      <c r="F91" s="498"/>
      <c r="G91" s="166"/>
      <c r="H91" s="500"/>
      <c r="I91" s="501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66"/>
    </row>
    <row r="92" spans="1:33">
      <c r="A92" s="166"/>
      <c r="B92" s="498"/>
      <c r="C92" s="498"/>
      <c r="D92" s="498"/>
      <c r="E92" s="498"/>
      <c r="F92" s="498"/>
      <c r="G92" s="166"/>
      <c r="H92" s="500"/>
      <c r="I92" s="501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  <c r="AD92" s="166"/>
      <c r="AE92" s="166"/>
      <c r="AF92" s="166"/>
      <c r="AG92" s="166"/>
    </row>
    <row r="93" spans="1:33">
      <c r="A93" s="166"/>
      <c r="B93" s="498"/>
      <c r="C93" s="498"/>
      <c r="D93" s="498"/>
      <c r="E93" s="498"/>
      <c r="F93" s="498"/>
      <c r="G93" s="166"/>
      <c r="H93" s="500"/>
      <c r="I93" s="501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  <c r="AG93" s="166"/>
    </row>
    <row r="94" spans="1:33">
      <c r="A94" s="166"/>
      <c r="B94" s="498"/>
      <c r="C94" s="498"/>
      <c r="D94" s="498"/>
      <c r="E94" s="498"/>
      <c r="F94" s="498"/>
      <c r="G94" s="166"/>
      <c r="H94" s="500"/>
      <c r="I94" s="501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/>
    </row>
    <row r="95" spans="1:33">
      <c r="A95" s="166"/>
      <c r="B95" s="498"/>
      <c r="C95" s="498"/>
      <c r="D95" s="498"/>
      <c r="E95" s="498"/>
      <c r="F95" s="498"/>
      <c r="G95" s="166"/>
      <c r="H95" s="500"/>
      <c r="I95" s="501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  <c r="AG95" s="166"/>
    </row>
    <row r="96" spans="1:33">
      <c r="A96" s="166"/>
      <c r="B96" s="498"/>
      <c r="C96" s="498"/>
      <c r="D96" s="498"/>
      <c r="E96" s="498"/>
      <c r="F96" s="498"/>
      <c r="G96" s="166"/>
      <c r="H96" s="500"/>
      <c r="I96" s="501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</row>
    <row r="97" spans="1:33">
      <c r="A97" s="166"/>
      <c r="B97" s="498"/>
      <c r="C97" s="498"/>
      <c r="D97" s="498"/>
      <c r="E97" s="498"/>
      <c r="F97" s="498"/>
      <c r="G97" s="166"/>
      <c r="H97" s="500"/>
      <c r="I97" s="501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  <c r="AG97" s="166"/>
    </row>
    <row r="98" spans="1:33">
      <c r="A98" s="166"/>
      <c r="B98" s="498"/>
      <c r="C98" s="498"/>
      <c r="D98" s="498"/>
      <c r="E98" s="498"/>
      <c r="F98" s="498"/>
      <c r="G98" s="166"/>
      <c r="H98" s="500"/>
      <c r="I98" s="501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  <c r="AG98" s="166"/>
    </row>
    <row r="99" spans="1:33">
      <c r="A99" s="166"/>
      <c r="B99" s="498"/>
      <c r="C99" s="498"/>
      <c r="D99" s="498"/>
      <c r="E99" s="498"/>
      <c r="F99" s="498"/>
      <c r="G99" s="166"/>
      <c r="H99" s="500"/>
      <c r="I99" s="501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6"/>
      <c r="AE99" s="166"/>
      <c r="AF99" s="166"/>
      <c r="AG99" s="166"/>
    </row>
    <row r="100" spans="1:33">
      <c r="A100" s="166"/>
      <c r="B100" s="498"/>
      <c r="C100" s="498"/>
      <c r="D100" s="498"/>
      <c r="E100" s="498"/>
      <c r="F100" s="498"/>
      <c r="G100" s="166"/>
      <c r="H100" s="500"/>
      <c r="I100" s="501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</row>
    <row r="101" spans="1:33">
      <c r="A101" s="166"/>
      <c r="B101" s="498"/>
      <c r="C101" s="498"/>
      <c r="D101" s="498"/>
      <c r="E101" s="498"/>
      <c r="F101" s="498"/>
      <c r="G101" s="166"/>
      <c r="H101" s="500"/>
      <c r="I101" s="501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</row>
    <row r="102" spans="1:33">
      <c r="A102" s="166"/>
      <c r="B102" s="498"/>
      <c r="C102" s="498"/>
      <c r="D102" s="498"/>
      <c r="E102" s="498"/>
      <c r="F102" s="498"/>
      <c r="G102" s="166"/>
      <c r="H102" s="500"/>
      <c r="I102" s="501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</row>
    <row r="103" spans="1:33">
      <c r="A103" s="166"/>
      <c r="B103" s="498"/>
      <c r="C103" s="498"/>
      <c r="D103" s="498"/>
      <c r="E103" s="498"/>
      <c r="F103" s="498"/>
      <c r="G103" s="166"/>
      <c r="H103" s="500"/>
      <c r="I103" s="501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  <c r="AG103" s="166"/>
    </row>
    <row r="104" spans="1:33">
      <c r="A104" s="166"/>
      <c r="B104" s="498"/>
      <c r="C104" s="498"/>
      <c r="D104" s="498"/>
      <c r="E104" s="498"/>
      <c r="F104" s="498"/>
      <c r="G104" s="166"/>
      <c r="H104" s="500"/>
      <c r="I104" s="501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  <c r="AG104" s="166"/>
    </row>
    <row r="105" spans="1:33">
      <c r="A105" s="166"/>
      <c r="B105" s="498"/>
      <c r="C105" s="498"/>
      <c r="D105" s="498"/>
      <c r="E105" s="498"/>
      <c r="F105" s="498"/>
      <c r="G105" s="166"/>
      <c r="H105" s="500"/>
      <c r="I105" s="501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</row>
    <row r="106" spans="1:33">
      <c r="A106" s="166"/>
      <c r="B106" s="498"/>
      <c r="C106" s="498"/>
      <c r="D106" s="498"/>
      <c r="E106" s="498"/>
      <c r="F106" s="498"/>
      <c r="G106" s="166"/>
      <c r="H106" s="500"/>
      <c r="I106" s="501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  <c r="AG106" s="166"/>
    </row>
    <row r="107" spans="1:33">
      <c r="A107" s="166"/>
      <c r="B107" s="498"/>
      <c r="C107" s="498"/>
      <c r="D107" s="498"/>
      <c r="E107" s="498"/>
      <c r="F107" s="498"/>
      <c r="G107" s="166"/>
      <c r="H107" s="500"/>
      <c r="I107" s="501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  <c r="AG107" s="166"/>
    </row>
    <row r="108" spans="1:33">
      <c r="A108" s="166"/>
      <c r="B108" s="498"/>
      <c r="C108" s="498"/>
      <c r="D108" s="498"/>
      <c r="E108" s="498"/>
      <c r="F108" s="498"/>
      <c r="G108" s="166"/>
      <c r="H108" s="500"/>
      <c r="I108" s="501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</row>
    <row r="109" spans="1:33">
      <c r="A109" s="166"/>
      <c r="B109" s="498"/>
      <c r="C109" s="498"/>
      <c r="D109" s="498"/>
      <c r="E109" s="498"/>
      <c r="F109" s="498"/>
      <c r="G109" s="166"/>
      <c r="H109" s="500"/>
      <c r="I109" s="501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  <c r="AB109" s="166"/>
      <c r="AC109" s="166"/>
      <c r="AD109" s="166"/>
      <c r="AE109" s="166"/>
      <c r="AF109" s="166"/>
      <c r="AG109" s="166"/>
    </row>
    <row r="110" spans="1:33">
      <c r="A110" s="166"/>
      <c r="B110" s="498"/>
      <c r="C110" s="498"/>
      <c r="D110" s="498"/>
      <c r="E110" s="498"/>
      <c r="F110" s="498"/>
      <c r="G110" s="166"/>
      <c r="H110" s="500"/>
      <c r="I110" s="501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6"/>
      <c r="AE110" s="166"/>
      <c r="AF110" s="166"/>
      <c r="AG110" s="166"/>
    </row>
    <row r="111" spans="1:33">
      <c r="A111" s="166"/>
      <c r="B111" s="498"/>
      <c r="C111" s="498"/>
      <c r="D111" s="498"/>
      <c r="E111" s="498"/>
      <c r="F111" s="498"/>
      <c r="G111" s="166"/>
      <c r="H111" s="500"/>
      <c r="I111" s="501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  <c r="AC111" s="166"/>
      <c r="AD111" s="166"/>
      <c r="AE111" s="166"/>
      <c r="AF111" s="166"/>
      <c r="AG111" s="166"/>
    </row>
    <row r="112" spans="1:33">
      <c r="A112" s="166"/>
      <c r="B112" s="498"/>
      <c r="C112" s="498"/>
      <c r="D112" s="498"/>
      <c r="E112" s="498"/>
      <c r="F112" s="498"/>
      <c r="G112" s="166"/>
      <c r="H112" s="500"/>
      <c r="I112" s="501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  <c r="AC112" s="166"/>
      <c r="AD112" s="166"/>
      <c r="AE112" s="166"/>
      <c r="AF112" s="166"/>
      <c r="AG112" s="166"/>
    </row>
    <row r="113" spans="1:33">
      <c r="A113" s="166"/>
      <c r="B113" s="498"/>
      <c r="C113" s="498"/>
      <c r="D113" s="498"/>
      <c r="E113" s="498"/>
      <c r="F113" s="498"/>
      <c r="G113" s="166"/>
      <c r="H113" s="500"/>
      <c r="I113" s="501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  <c r="AC113" s="166"/>
      <c r="AD113" s="166"/>
      <c r="AE113" s="166"/>
      <c r="AF113" s="166"/>
      <c r="AG113" s="166"/>
    </row>
    <row r="114" spans="1:33">
      <c r="A114" s="166"/>
      <c r="B114" s="498"/>
      <c r="C114" s="498"/>
      <c r="D114" s="498"/>
      <c r="E114" s="498"/>
      <c r="F114" s="498"/>
      <c r="G114" s="166"/>
      <c r="H114" s="500"/>
      <c r="I114" s="501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6"/>
      <c r="AF114" s="166"/>
      <c r="AG114" s="166"/>
    </row>
    <row r="115" spans="1:33">
      <c r="A115" s="166"/>
      <c r="B115" s="498"/>
      <c r="C115" s="498"/>
      <c r="D115" s="498"/>
      <c r="E115" s="498"/>
      <c r="F115" s="498"/>
      <c r="G115" s="166"/>
      <c r="H115" s="500"/>
      <c r="I115" s="501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  <c r="AD115" s="166"/>
      <c r="AE115" s="166"/>
      <c r="AF115" s="166"/>
      <c r="AG115" s="166"/>
    </row>
    <row r="116" spans="1:33">
      <c r="A116" s="166"/>
      <c r="B116" s="498"/>
      <c r="C116" s="498"/>
      <c r="D116" s="498"/>
      <c r="E116" s="498"/>
      <c r="F116" s="498"/>
      <c r="G116" s="166"/>
      <c r="H116" s="500"/>
      <c r="I116" s="501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  <c r="AD116" s="166"/>
      <c r="AE116" s="166"/>
      <c r="AF116" s="166"/>
      <c r="AG116" s="166"/>
    </row>
    <row r="117" spans="1:33">
      <c r="A117" s="166"/>
      <c r="B117" s="498"/>
      <c r="C117" s="498"/>
      <c r="D117" s="498"/>
      <c r="E117" s="498"/>
      <c r="F117" s="498"/>
      <c r="G117" s="166"/>
      <c r="H117" s="500"/>
      <c r="I117" s="501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</row>
    <row r="118" spans="1:33">
      <c r="A118" s="166"/>
      <c r="B118" s="498"/>
      <c r="C118" s="498"/>
      <c r="D118" s="498"/>
      <c r="E118" s="498"/>
      <c r="F118" s="498"/>
      <c r="G118" s="166"/>
      <c r="H118" s="500"/>
      <c r="I118" s="501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</row>
    <row r="119" spans="1:33">
      <c r="A119" s="166"/>
      <c r="B119" s="498"/>
      <c r="C119" s="498"/>
      <c r="D119" s="498"/>
      <c r="E119" s="498"/>
      <c r="F119" s="498"/>
      <c r="G119" s="166"/>
      <c r="H119" s="500"/>
      <c r="I119" s="501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</row>
    <row r="120" spans="1:33">
      <c r="A120" s="166"/>
      <c r="B120" s="498"/>
      <c r="C120" s="498"/>
      <c r="D120" s="498"/>
      <c r="E120" s="498"/>
      <c r="F120" s="498"/>
      <c r="G120" s="166"/>
      <c r="H120" s="500"/>
      <c r="I120" s="501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</row>
    <row r="121" spans="1:33">
      <c r="A121" s="166"/>
      <c r="B121" s="498"/>
      <c r="C121" s="498"/>
      <c r="D121" s="498"/>
      <c r="E121" s="498"/>
      <c r="F121" s="498"/>
      <c r="G121" s="166"/>
      <c r="H121" s="500"/>
      <c r="I121" s="501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</row>
    <row r="122" spans="1:33">
      <c r="A122" s="166"/>
      <c r="B122" s="498"/>
      <c r="C122" s="498"/>
      <c r="D122" s="498"/>
      <c r="E122" s="498"/>
      <c r="F122" s="498"/>
      <c r="G122" s="166"/>
      <c r="H122" s="500"/>
      <c r="I122" s="501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</row>
    <row r="123" spans="1:33">
      <c r="A123" s="166"/>
      <c r="B123" s="498"/>
      <c r="C123" s="498"/>
      <c r="D123" s="498"/>
      <c r="E123" s="498"/>
      <c r="F123" s="498"/>
      <c r="G123" s="166"/>
      <c r="H123" s="500"/>
      <c r="I123" s="501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</row>
    <row r="124" spans="1:33">
      <c r="A124" s="166"/>
      <c r="B124" s="498"/>
      <c r="C124" s="498"/>
      <c r="D124" s="498"/>
      <c r="E124" s="498"/>
      <c r="F124" s="498"/>
      <c r="G124" s="166"/>
      <c r="H124" s="500"/>
      <c r="I124" s="501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</row>
    <row r="125" spans="1:33">
      <c r="A125" s="166"/>
      <c r="B125" s="498"/>
      <c r="C125" s="498"/>
      <c r="D125" s="498"/>
      <c r="E125" s="498"/>
      <c r="F125" s="498"/>
      <c r="G125" s="166"/>
      <c r="H125" s="500"/>
      <c r="I125" s="501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</row>
    <row r="126" spans="1:33">
      <c r="A126" s="166"/>
      <c r="B126" s="498"/>
      <c r="C126" s="498"/>
      <c r="D126" s="498"/>
      <c r="E126" s="498"/>
      <c r="F126" s="498"/>
      <c r="G126" s="166"/>
      <c r="H126" s="500"/>
      <c r="I126" s="501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</row>
    <row r="127" spans="1:33">
      <c r="A127" s="166"/>
      <c r="B127" s="498"/>
      <c r="C127" s="498"/>
      <c r="D127" s="498"/>
      <c r="E127" s="498"/>
      <c r="F127" s="498"/>
      <c r="G127" s="166"/>
      <c r="H127" s="500"/>
      <c r="I127" s="501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</row>
    <row r="128" spans="1:33">
      <c r="A128" s="166"/>
      <c r="B128" s="498"/>
      <c r="C128" s="498"/>
      <c r="D128" s="498"/>
      <c r="E128" s="498"/>
      <c r="F128" s="498"/>
      <c r="G128" s="166"/>
      <c r="H128" s="500"/>
      <c r="I128" s="501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</row>
    <row r="129" spans="1:33">
      <c r="A129" s="166"/>
      <c r="B129" s="498"/>
      <c r="C129" s="498"/>
      <c r="D129" s="498"/>
      <c r="E129" s="498"/>
      <c r="F129" s="498"/>
      <c r="G129" s="166"/>
      <c r="H129" s="500"/>
      <c r="I129" s="501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</row>
    <row r="130" spans="1:33">
      <c r="A130" s="166"/>
      <c r="B130" s="498"/>
      <c r="C130" s="498"/>
      <c r="D130" s="498"/>
      <c r="E130" s="498"/>
      <c r="F130" s="498"/>
      <c r="G130" s="166"/>
      <c r="H130" s="500"/>
      <c r="I130" s="501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</row>
    <row r="131" spans="1:33">
      <c r="A131" s="166"/>
      <c r="B131" s="498"/>
      <c r="C131" s="498"/>
      <c r="D131" s="498"/>
      <c r="E131" s="498"/>
      <c r="F131" s="498"/>
      <c r="G131" s="166"/>
      <c r="H131" s="500"/>
      <c r="I131" s="501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</row>
    <row r="132" spans="1:33">
      <c r="A132" s="166"/>
      <c r="B132" s="498"/>
      <c r="C132" s="498"/>
      <c r="D132" s="498"/>
      <c r="E132" s="498"/>
      <c r="F132" s="498"/>
      <c r="G132" s="166"/>
      <c r="H132" s="500"/>
      <c r="I132" s="501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</row>
    <row r="133" spans="1:33">
      <c r="A133" s="166"/>
      <c r="B133" s="498"/>
      <c r="C133" s="498"/>
      <c r="D133" s="498"/>
      <c r="E133" s="498"/>
      <c r="F133" s="498"/>
      <c r="G133" s="166"/>
      <c r="H133" s="500"/>
      <c r="I133" s="501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</row>
    <row r="134" spans="1:33">
      <c r="A134" s="166"/>
      <c r="B134" s="498"/>
      <c r="C134" s="498"/>
      <c r="D134" s="498"/>
      <c r="E134" s="498"/>
      <c r="F134" s="498"/>
      <c r="G134" s="166"/>
      <c r="H134" s="500"/>
      <c r="I134" s="501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</row>
    <row r="135" spans="1:33">
      <c r="A135" s="166"/>
      <c r="B135" s="498"/>
      <c r="C135" s="498"/>
      <c r="D135" s="498"/>
      <c r="E135" s="498"/>
      <c r="F135" s="498"/>
      <c r="G135" s="166"/>
      <c r="H135" s="500"/>
      <c r="I135" s="501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</row>
    <row r="136" spans="1:33">
      <c r="A136" s="166"/>
      <c r="B136" s="498"/>
      <c r="C136" s="498"/>
      <c r="D136" s="498"/>
      <c r="E136" s="498"/>
      <c r="F136" s="498"/>
      <c r="G136" s="166"/>
      <c r="H136" s="500"/>
      <c r="I136" s="501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</row>
    <row r="137" spans="1:33">
      <c r="A137" s="166"/>
      <c r="B137" s="498"/>
      <c r="C137" s="498"/>
      <c r="D137" s="498"/>
      <c r="E137" s="498"/>
      <c r="F137" s="498"/>
      <c r="G137" s="166"/>
      <c r="H137" s="500"/>
      <c r="I137" s="501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</row>
    <row r="138" spans="1:33">
      <c r="A138" s="166"/>
      <c r="B138" s="498"/>
      <c r="C138" s="498"/>
      <c r="D138" s="498"/>
      <c r="E138" s="498"/>
      <c r="F138" s="498"/>
      <c r="G138" s="166"/>
      <c r="H138" s="500"/>
      <c r="I138" s="501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</row>
    <row r="139" spans="1:33">
      <c r="A139" s="166"/>
      <c r="B139" s="498"/>
      <c r="C139" s="498"/>
      <c r="D139" s="498"/>
      <c r="E139" s="498"/>
      <c r="F139" s="498"/>
      <c r="G139" s="166"/>
      <c r="H139" s="500"/>
      <c r="I139" s="501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166"/>
    </row>
    <row r="140" spans="1:33">
      <c r="A140" s="166"/>
      <c r="B140" s="498"/>
      <c r="C140" s="498"/>
      <c r="D140" s="498"/>
      <c r="E140" s="498"/>
      <c r="F140" s="498"/>
      <c r="G140" s="166"/>
      <c r="H140" s="500"/>
      <c r="I140" s="501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</row>
    <row r="141" spans="1:33">
      <c r="A141" s="166"/>
      <c r="B141" s="498"/>
      <c r="C141" s="498"/>
      <c r="D141" s="498"/>
      <c r="E141" s="498"/>
      <c r="F141" s="498"/>
      <c r="G141" s="166"/>
      <c r="H141" s="500"/>
      <c r="I141" s="501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</row>
    <row r="142" spans="1:33">
      <c r="A142" s="166"/>
      <c r="B142" s="498"/>
      <c r="C142" s="498"/>
      <c r="D142" s="498"/>
      <c r="E142" s="498"/>
      <c r="F142" s="498"/>
      <c r="G142" s="166"/>
      <c r="H142" s="500"/>
      <c r="I142" s="501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G142" s="166"/>
    </row>
    <row r="143" spans="1:33">
      <c r="A143" s="166"/>
      <c r="B143" s="498"/>
      <c r="C143" s="498"/>
      <c r="D143" s="498"/>
      <c r="E143" s="498"/>
      <c r="F143" s="498"/>
      <c r="G143" s="166"/>
      <c r="H143" s="500"/>
      <c r="I143" s="501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G143" s="166"/>
    </row>
    <row r="144" spans="1:33">
      <c r="A144" s="166"/>
      <c r="B144" s="498"/>
      <c r="C144" s="498"/>
      <c r="D144" s="498"/>
      <c r="E144" s="498"/>
      <c r="F144" s="498"/>
      <c r="G144" s="166"/>
      <c r="H144" s="500"/>
      <c r="I144" s="501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66"/>
    </row>
    <row r="145" spans="1:33">
      <c r="A145" s="166"/>
      <c r="B145" s="498"/>
      <c r="C145" s="498"/>
      <c r="D145" s="498"/>
      <c r="E145" s="498"/>
      <c r="F145" s="498"/>
      <c r="G145" s="166"/>
      <c r="H145" s="500"/>
      <c r="I145" s="501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G145" s="166"/>
    </row>
    <row r="146" spans="1:33">
      <c r="A146" s="166"/>
      <c r="B146" s="498"/>
      <c r="C146" s="498"/>
      <c r="D146" s="498"/>
      <c r="E146" s="498"/>
      <c r="F146" s="498"/>
      <c r="G146" s="166"/>
      <c r="H146" s="500"/>
      <c r="I146" s="501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66"/>
    </row>
    <row r="147" spans="1:33">
      <c r="A147" s="166"/>
      <c r="B147" s="498"/>
      <c r="C147" s="498"/>
      <c r="D147" s="498"/>
      <c r="E147" s="498"/>
      <c r="F147" s="498"/>
      <c r="G147" s="166"/>
      <c r="H147" s="500"/>
      <c r="I147" s="501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  <c r="AG147" s="166"/>
    </row>
    <row r="148" spans="1:33">
      <c r="A148" s="166"/>
      <c r="B148" s="498"/>
      <c r="C148" s="498"/>
      <c r="D148" s="498"/>
      <c r="E148" s="498"/>
      <c r="F148" s="498"/>
      <c r="G148" s="166"/>
      <c r="H148" s="500"/>
      <c r="I148" s="501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66"/>
    </row>
    <row r="149" spans="1:33">
      <c r="A149" s="166"/>
      <c r="B149" s="498"/>
      <c r="C149" s="498"/>
      <c r="D149" s="498"/>
      <c r="E149" s="498"/>
      <c r="F149" s="498"/>
      <c r="G149" s="166"/>
      <c r="H149" s="500"/>
      <c r="I149" s="501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  <c r="AB149" s="166"/>
      <c r="AC149" s="166"/>
      <c r="AD149" s="166"/>
      <c r="AE149" s="166"/>
      <c r="AF149" s="166"/>
      <c r="AG149" s="166"/>
    </row>
    <row r="150" spans="1:33">
      <c r="A150" s="166"/>
      <c r="B150" s="498"/>
      <c r="C150" s="498"/>
      <c r="D150" s="498"/>
      <c r="E150" s="498"/>
      <c r="F150" s="498"/>
      <c r="G150" s="166"/>
      <c r="H150" s="500"/>
      <c r="I150" s="501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  <c r="AG150" s="166"/>
    </row>
    <row r="151" spans="1:33">
      <c r="A151" s="166"/>
      <c r="B151" s="498"/>
      <c r="C151" s="498"/>
      <c r="D151" s="498"/>
      <c r="E151" s="498"/>
      <c r="F151" s="498"/>
      <c r="G151" s="166"/>
      <c r="H151" s="500"/>
      <c r="I151" s="501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  <c r="AB151" s="166"/>
      <c r="AC151" s="166"/>
      <c r="AD151" s="166"/>
      <c r="AE151" s="166"/>
      <c r="AF151" s="166"/>
      <c r="AG151" s="166"/>
    </row>
    <row r="152" spans="1:33">
      <c r="A152" s="166"/>
      <c r="B152" s="498"/>
      <c r="C152" s="498"/>
      <c r="D152" s="498"/>
      <c r="E152" s="498"/>
      <c r="F152" s="498"/>
      <c r="G152" s="166"/>
      <c r="H152" s="500"/>
      <c r="I152" s="501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6"/>
      <c r="AG152" s="166"/>
    </row>
    <row r="153" spans="1:33">
      <c r="A153" s="166"/>
      <c r="B153" s="498"/>
      <c r="C153" s="498"/>
      <c r="D153" s="498"/>
      <c r="E153" s="498"/>
      <c r="F153" s="498"/>
      <c r="G153" s="166"/>
      <c r="H153" s="500"/>
      <c r="I153" s="501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  <c r="AB153" s="166"/>
      <c r="AC153" s="166"/>
      <c r="AD153" s="166"/>
      <c r="AE153" s="166"/>
      <c r="AF153" s="166"/>
      <c r="AG153" s="166"/>
    </row>
    <row r="154" spans="1:33">
      <c r="A154" s="166"/>
      <c r="B154" s="498"/>
      <c r="C154" s="498"/>
      <c r="D154" s="498"/>
      <c r="E154" s="498"/>
      <c r="F154" s="498"/>
      <c r="G154" s="166"/>
      <c r="H154" s="500"/>
      <c r="I154" s="501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  <c r="AB154" s="166"/>
      <c r="AC154" s="166"/>
      <c r="AD154" s="166"/>
      <c r="AE154" s="166"/>
      <c r="AF154" s="166"/>
      <c r="AG154" s="166"/>
    </row>
    <row r="155" spans="1:33">
      <c r="A155" s="166"/>
      <c r="B155" s="498"/>
      <c r="C155" s="498"/>
      <c r="D155" s="498"/>
      <c r="E155" s="498"/>
      <c r="F155" s="498"/>
      <c r="G155" s="166"/>
      <c r="H155" s="500"/>
      <c r="I155" s="501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  <c r="AB155" s="166"/>
      <c r="AC155" s="166"/>
      <c r="AD155" s="166"/>
      <c r="AE155" s="166"/>
      <c r="AF155" s="166"/>
      <c r="AG155" s="166"/>
    </row>
    <row r="156" spans="1:33">
      <c r="A156" s="166"/>
      <c r="B156" s="498"/>
      <c r="C156" s="498"/>
      <c r="D156" s="498"/>
      <c r="E156" s="498"/>
      <c r="F156" s="498"/>
      <c r="G156" s="166"/>
      <c r="H156" s="500"/>
      <c r="I156" s="501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  <c r="AB156" s="166"/>
      <c r="AC156" s="166"/>
      <c r="AD156" s="166"/>
      <c r="AE156" s="166"/>
      <c r="AF156" s="166"/>
      <c r="AG156" s="166"/>
    </row>
    <row r="157" spans="1:33">
      <c r="A157" s="166"/>
      <c r="B157" s="498"/>
      <c r="C157" s="498"/>
      <c r="D157" s="498"/>
      <c r="E157" s="498"/>
      <c r="F157" s="498"/>
      <c r="G157" s="166"/>
      <c r="H157" s="500"/>
      <c r="I157" s="501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6"/>
      <c r="AG157" s="166"/>
    </row>
    <row r="158" spans="1:33">
      <c r="A158" s="166"/>
      <c r="B158" s="498"/>
      <c r="C158" s="498"/>
      <c r="D158" s="498"/>
      <c r="E158" s="498"/>
      <c r="F158" s="498"/>
      <c r="G158" s="166"/>
      <c r="H158" s="500"/>
      <c r="I158" s="501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  <c r="AB158" s="166"/>
      <c r="AC158" s="166"/>
      <c r="AD158" s="166"/>
      <c r="AE158" s="166"/>
      <c r="AF158" s="166"/>
      <c r="AG158" s="166"/>
    </row>
    <row r="159" spans="1:33">
      <c r="A159" s="166"/>
      <c r="B159" s="498"/>
      <c r="C159" s="498"/>
      <c r="D159" s="498"/>
      <c r="E159" s="498"/>
      <c r="F159" s="498"/>
      <c r="G159" s="166"/>
      <c r="H159" s="500"/>
      <c r="I159" s="501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  <c r="AB159" s="166"/>
      <c r="AC159" s="166"/>
      <c r="AD159" s="166"/>
      <c r="AE159" s="166"/>
      <c r="AF159" s="166"/>
      <c r="AG159" s="166"/>
    </row>
    <row r="160" spans="1:33">
      <c r="A160" s="166"/>
      <c r="B160" s="498"/>
      <c r="C160" s="498"/>
      <c r="D160" s="498"/>
      <c r="E160" s="498"/>
      <c r="F160" s="498"/>
      <c r="G160" s="166"/>
      <c r="H160" s="500"/>
      <c r="I160" s="501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  <c r="AB160" s="166"/>
      <c r="AC160" s="166"/>
      <c r="AD160" s="166"/>
      <c r="AE160" s="166"/>
      <c r="AF160" s="166"/>
      <c r="AG160" s="166"/>
    </row>
    <row r="161" spans="1:33">
      <c r="A161" s="166"/>
      <c r="B161" s="498"/>
      <c r="C161" s="498"/>
      <c r="D161" s="498"/>
      <c r="E161" s="498"/>
      <c r="F161" s="498"/>
      <c r="G161" s="166"/>
      <c r="H161" s="500"/>
      <c r="I161" s="501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  <c r="AB161" s="166"/>
      <c r="AC161" s="166"/>
      <c r="AD161" s="166"/>
      <c r="AE161" s="166"/>
      <c r="AF161" s="166"/>
      <c r="AG161" s="166"/>
    </row>
    <row r="162" spans="1:33">
      <c r="A162" s="166"/>
      <c r="B162" s="498"/>
      <c r="C162" s="498"/>
      <c r="D162" s="498"/>
      <c r="E162" s="498"/>
      <c r="F162" s="498"/>
      <c r="G162" s="166"/>
      <c r="H162" s="500"/>
      <c r="I162" s="501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  <c r="AB162" s="166"/>
      <c r="AC162" s="166"/>
      <c r="AD162" s="166"/>
      <c r="AE162" s="166"/>
      <c r="AF162" s="166"/>
      <c r="AG162" s="166"/>
    </row>
    <row r="163" spans="1:33">
      <c r="A163" s="166"/>
      <c r="B163" s="498"/>
      <c r="C163" s="498"/>
      <c r="D163" s="498"/>
      <c r="E163" s="498"/>
      <c r="F163" s="498"/>
      <c r="G163" s="166"/>
      <c r="H163" s="500"/>
      <c r="I163" s="501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  <c r="AB163" s="166"/>
      <c r="AC163" s="166"/>
      <c r="AD163" s="166"/>
      <c r="AE163" s="166"/>
      <c r="AF163" s="166"/>
      <c r="AG163" s="166"/>
    </row>
    <row r="164" spans="1:33">
      <c r="A164" s="166"/>
      <c r="B164" s="498"/>
      <c r="C164" s="498"/>
      <c r="D164" s="498"/>
      <c r="E164" s="498"/>
      <c r="F164" s="498"/>
      <c r="G164" s="166"/>
      <c r="H164" s="500"/>
      <c r="I164" s="501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6"/>
      <c r="AG164" s="166"/>
    </row>
    <row r="165" spans="1:33">
      <c r="A165" s="166"/>
      <c r="B165" s="498"/>
      <c r="C165" s="498"/>
      <c r="D165" s="498"/>
      <c r="E165" s="498"/>
      <c r="F165" s="498"/>
      <c r="G165" s="166"/>
      <c r="H165" s="500"/>
      <c r="I165" s="501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6"/>
      <c r="AG165" s="166"/>
    </row>
    <row r="166" spans="1:33">
      <c r="A166" s="166"/>
      <c r="B166" s="498"/>
      <c r="C166" s="498"/>
      <c r="D166" s="498"/>
      <c r="E166" s="498"/>
      <c r="F166" s="498"/>
      <c r="G166" s="166"/>
      <c r="H166" s="500"/>
      <c r="I166" s="501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6"/>
      <c r="AG166" s="166"/>
    </row>
    <row r="167" spans="1:33">
      <c r="A167" s="166"/>
      <c r="B167" s="498"/>
      <c r="C167" s="498"/>
      <c r="D167" s="498"/>
      <c r="E167" s="498"/>
      <c r="F167" s="498"/>
      <c r="G167" s="166"/>
      <c r="H167" s="500"/>
      <c r="I167" s="501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6"/>
      <c r="AG167" s="166"/>
    </row>
    <row r="168" spans="1:33">
      <c r="A168" s="166"/>
      <c r="B168" s="498"/>
      <c r="C168" s="498"/>
      <c r="D168" s="498"/>
      <c r="E168" s="498"/>
      <c r="F168" s="498"/>
      <c r="G168" s="166"/>
      <c r="H168" s="500"/>
      <c r="I168" s="501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  <c r="AB168" s="166"/>
      <c r="AC168" s="166"/>
      <c r="AD168" s="166"/>
      <c r="AE168" s="166"/>
      <c r="AF168" s="166"/>
      <c r="AG168" s="166"/>
    </row>
    <row r="169" spans="1:33">
      <c r="A169" s="166"/>
      <c r="B169" s="498"/>
      <c r="C169" s="498"/>
      <c r="D169" s="498"/>
      <c r="E169" s="498"/>
      <c r="F169" s="498"/>
      <c r="G169" s="166"/>
      <c r="H169" s="500"/>
      <c r="I169" s="501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6"/>
    </row>
    <row r="170" spans="1:33">
      <c r="A170" s="166"/>
      <c r="B170" s="498"/>
      <c r="C170" s="498"/>
      <c r="D170" s="498"/>
      <c r="E170" s="498"/>
      <c r="F170" s="498"/>
      <c r="G170" s="166"/>
      <c r="H170" s="500"/>
      <c r="I170" s="501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  <c r="AB170" s="166"/>
      <c r="AC170" s="166"/>
      <c r="AD170" s="166"/>
      <c r="AE170" s="166"/>
      <c r="AF170" s="166"/>
      <c r="AG170" s="166"/>
    </row>
    <row r="171" spans="1:33">
      <c r="A171" s="166"/>
      <c r="B171" s="498"/>
      <c r="C171" s="498"/>
      <c r="D171" s="498"/>
      <c r="E171" s="498"/>
      <c r="F171" s="498"/>
      <c r="G171" s="166"/>
      <c r="H171" s="500"/>
      <c r="I171" s="501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  <c r="AB171" s="166"/>
      <c r="AC171" s="166"/>
      <c r="AD171" s="166"/>
      <c r="AE171" s="166"/>
      <c r="AF171" s="166"/>
      <c r="AG171" s="166"/>
    </row>
    <row r="172" spans="1:33">
      <c r="A172" s="166"/>
      <c r="B172" s="498"/>
      <c r="C172" s="498"/>
      <c r="D172" s="498"/>
      <c r="E172" s="498"/>
      <c r="F172" s="498"/>
      <c r="G172" s="166"/>
      <c r="H172" s="500"/>
      <c r="I172" s="501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  <c r="AD172" s="166"/>
      <c r="AE172" s="166"/>
      <c r="AF172" s="166"/>
      <c r="AG172" s="166"/>
    </row>
    <row r="173" spans="1:33">
      <c r="A173" s="166"/>
      <c r="B173" s="498"/>
      <c r="C173" s="498"/>
      <c r="D173" s="498"/>
      <c r="E173" s="498"/>
      <c r="F173" s="498"/>
      <c r="G173" s="166"/>
      <c r="H173" s="500"/>
      <c r="I173" s="501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  <c r="AB173" s="166"/>
      <c r="AC173" s="166"/>
      <c r="AD173" s="166"/>
      <c r="AE173" s="166"/>
      <c r="AF173" s="166"/>
      <c r="AG173" s="166"/>
    </row>
    <row r="174" spans="1:33">
      <c r="A174" s="166"/>
      <c r="B174" s="498"/>
      <c r="C174" s="498"/>
      <c r="D174" s="498"/>
      <c r="E174" s="498"/>
      <c r="F174" s="498"/>
      <c r="G174" s="166"/>
      <c r="H174" s="500"/>
      <c r="I174" s="501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  <c r="AB174" s="166"/>
      <c r="AC174" s="166"/>
      <c r="AD174" s="166"/>
      <c r="AE174" s="166"/>
      <c r="AF174" s="166"/>
      <c r="AG174" s="166"/>
    </row>
    <row r="175" spans="1:33">
      <c r="A175" s="166"/>
      <c r="B175" s="498"/>
      <c r="C175" s="498"/>
      <c r="D175" s="498"/>
      <c r="E175" s="498"/>
      <c r="F175" s="498"/>
      <c r="G175" s="166"/>
      <c r="H175" s="500"/>
      <c r="I175" s="501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  <c r="AB175" s="166"/>
      <c r="AC175" s="166"/>
      <c r="AD175" s="166"/>
      <c r="AE175" s="166"/>
      <c r="AF175" s="166"/>
      <c r="AG175" s="166"/>
    </row>
    <row r="176" spans="1:33">
      <c r="A176" s="166"/>
      <c r="B176" s="498"/>
      <c r="C176" s="498"/>
      <c r="D176" s="498"/>
      <c r="E176" s="498"/>
      <c r="F176" s="498"/>
      <c r="G176" s="166"/>
      <c r="H176" s="500"/>
      <c r="I176" s="501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  <c r="AB176" s="166"/>
      <c r="AC176" s="166"/>
      <c r="AD176" s="166"/>
      <c r="AE176" s="166"/>
      <c r="AF176" s="166"/>
      <c r="AG176" s="166"/>
    </row>
    <row r="177" spans="1:33">
      <c r="A177" s="166"/>
      <c r="B177" s="498"/>
      <c r="C177" s="498"/>
      <c r="D177" s="498"/>
      <c r="E177" s="498"/>
      <c r="F177" s="498"/>
      <c r="G177" s="166"/>
      <c r="H177" s="500"/>
      <c r="I177" s="501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  <c r="AB177" s="166"/>
      <c r="AC177" s="166"/>
      <c r="AD177" s="166"/>
      <c r="AE177" s="166"/>
      <c r="AF177" s="166"/>
      <c r="AG177" s="166"/>
    </row>
    <row r="178" spans="1:33">
      <c r="A178" s="166"/>
      <c r="B178" s="498"/>
      <c r="C178" s="498"/>
      <c r="D178" s="498"/>
      <c r="E178" s="498"/>
      <c r="F178" s="498"/>
      <c r="G178" s="166"/>
      <c r="H178" s="500"/>
      <c r="I178" s="501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  <c r="AB178" s="166"/>
      <c r="AC178" s="166"/>
      <c r="AD178" s="166"/>
      <c r="AE178" s="166"/>
      <c r="AF178" s="166"/>
      <c r="AG178" s="166"/>
    </row>
    <row r="179" spans="1:33">
      <c r="A179" s="166"/>
      <c r="B179" s="498"/>
      <c r="C179" s="498"/>
      <c r="D179" s="498"/>
      <c r="E179" s="498"/>
      <c r="F179" s="498"/>
      <c r="G179" s="166"/>
      <c r="H179" s="500"/>
      <c r="I179" s="501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  <c r="AD179" s="166"/>
      <c r="AE179" s="166"/>
      <c r="AF179" s="166"/>
      <c r="AG179" s="166"/>
    </row>
    <row r="180" spans="1:33">
      <c r="A180" s="166"/>
      <c r="B180" s="498"/>
      <c r="C180" s="498"/>
      <c r="D180" s="498"/>
      <c r="E180" s="498"/>
      <c r="F180" s="498"/>
      <c r="G180" s="166"/>
      <c r="H180" s="500"/>
      <c r="I180" s="501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6"/>
    </row>
    <row r="181" spans="1:33">
      <c r="A181" s="166"/>
      <c r="B181" s="498"/>
      <c r="C181" s="498"/>
      <c r="D181" s="498"/>
      <c r="E181" s="498"/>
      <c r="F181" s="498"/>
      <c r="G181" s="166"/>
      <c r="H181" s="500"/>
      <c r="I181" s="501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  <c r="AB181" s="166"/>
      <c r="AC181" s="166"/>
      <c r="AD181" s="166"/>
      <c r="AE181" s="166"/>
      <c r="AF181" s="166"/>
      <c r="AG181" s="166"/>
    </row>
    <row r="182" spans="1:33">
      <c r="A182" s="166"/>
      <c r="B182" s="498"/>
      <c r="C182" s="498"/>
      <c r="D182" s="498"/>
      <c r="E182" s="498"/>
      <c r="F182" s="498"/>
      <c r="G182" s="166"/>
      <c r="H182" s="500"/>
      <c r="I182" s="501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  <c r="AB182" s="166"/>
      <c r="AC182" s="166"/>
      <c r="AD182" s="166"/>
      <c r="AE182" s="166"/>
      <c r="AF182" s="166"/>
      <c r="AG182" s="166"/>
    </row>
    <row r="183" spans="1:33">
      <c r="A183" s="166"/>
      <c r="B183" s="498"/>
      <c r="C183" s="498"/>
      <c r="D183" s="498"/>
      <c r="E183" s="498"/>
      <c r="F183" s="498"/>
      <c r="G183" s="166"/>
      <c r="H183" s="500"/>
      <c r="I183" s="501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  <c r="AB183" s="166"/>
      <c r="AC183" s="166"/>
      <c r="AD183" s="166"/>
      <c r="AE183" s="166"/>
      <c r="AF183" s="166"/>
      <c r="AG183" s="166"/>
    </row>
    <row r="184" spans="1:33">
      <c r="A184" s="166"/>
      <c r="B184" s="498"/>
      <c r="C184" s="498"/>
      <c r="D184" s="498"/>
      <c r="E184" s="498"/>
      <c r="F184" s="498"/>
      <c r="G184" s="166"/>
      <c r="H184" s="500"/>
      <c r="I184" s="501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  <c r="AB184" s="166"/>
      <c r="AC184" s="166"/>
      <c r="AD184" s="166"/>
      <c r="AE184" s="166"/>
      <c r="AF184" s="166"/>
      <c r="AG184" s="166"/>
    </row>
    <row r="185" spans="1:33">
      <c r="A185" s="166"/>
      <c r="B185" s="498"/>
      <c r="C185" s="498"/>
      <c r="D185" s="498"/>
      <c r="E185" s="498"/>
      <c r="F185" s="498"/>
      <c r="G185" s="166"/>
      <c r="H185" s="500"/>
      <c r="I185" s="501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  <c r="AB185" s="166"/>
      <c r="AC185" s="166"/>
      <c r="AD185" s="166"/>
      <c r="AE185" s="166"/>
      <c r="AF185" s="166"/>
      <c r="AG185" s="166"/>
    </row>
    <row r="186" spans="1:33">
      <c r="A186" s="166"/>
      <c r="B186" s="498"/>
      <c r="C186" s="498"/>
      <c r="D186" s="498"/>
      <c r="E186" s="498"/>
      <c r="F186" s="498"/>
      <c r="G186" s="166"/>
      <c r="H186" s="500"/>
      <c r="I186" s="501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  <c r="AB186" s="166"/>
      <c r="AC186" s="166"/>
      <c r="AD186" s="166"/>
      <c r="AE186" s="166"/>
      <c r="AF186" s="166"/>
      <c r="AG186" s="166"/>
    </row>
    <row r="187" spans="1:33">
      <c r="A187" s="166"/>
      <c r="B187" s="498"/>
      <c r="C187" s="498"/>
      <c r="D187" s="498"/>
      <c r="E187" s="498"/>
      <c r="F187" s="498"/>
      <c r="G187" s="166"/>
      <c r="H187" s="500"/>
      <c r="I187" s="501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  <c r="AB187" s="166"/>
      <c r="AC187" s="166"/>
      <c r="AD187" s="166"/>
      <c r="AE187" s="166"/>
      <c r="AF187" s="166"/>
      <c r="AG187" s="166"/>
    </row>
    <row r="188" spans="1:33">
      <c r="A188" s="166"/>
      <c r="B188" s="498"/>
      <c r="C188" s="498"/>
      <c r="D188" s="498"/>
      <c r="E188" s="498"/>
      <c r="F188" s="498"/>
      <c r="G188" s="166"/>
      <c r="H188" s="500"/>
      <c r="I188" s="501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  <c r="AB188" s="166"/>
      <c r="AC188" s="166"/>
      <c r="AD188" s="166"/>
      <c r="AE188" s="166"/>
      <c r="AF188" s="166"/>
      <c r="AG188" s="166"/>
    </row>
    <row r="189" spans="1:33">
      <c r="A189" s="166"/>
      <c r="B189" s="498"/>
      <c r="C189" s="498"/>
      <c r="D189" s="498"/>
      <c r="E189" s="498"/>
      <c r="F189" s="498"/>
      <c r="G189" s="166"/>
      <c r="H189" s="500"/>
      <c r="I189" s="501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  <c r="AB189" s="166"/>
      <c r="AC189" s="166"/>
      <c r="AD189" s="166"/>
      <c r="AE189" s="166"/>
      <c r="AF189" s="166"/>
      <c r="AG189" s="166"/>
    </row>
    <row r="190" spans="1:33">
      <c r="A190" s="166"/>
      <c r="B190" s="498"/>
      <c r="C190" s="498"/>
      <c r="D190" s="498"/>
      <c r="E190" s="498"/>
      <c r="F190" s="498"/>
      <c r="G190" s="166"/>
      <c r="H190" s="500"/>
      <c r="I190" s="501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  <c r="AB190" s="166"/>
      <c r="AC190" s="166"/>
      <c r="AD190" s="166"/>
      <c r="AE190" s="166"/>
      <c r="AF190" s="166"/>
      <c r="AG190" s="166"/>
    </row>
    <row r="191" spans="1:33">
      <c r="A191" s="166"/>
      <c r="B191" s="498"/>
      <c r="C191" s="498"/>
      <c r="D191" s="498"/>
      <c r="E191" s="498"/>
      <c r="F191" s="498"/>
      <c r="G191" s="166"/>
      <c r="H191" s="500"/>
      <c r="I191" s="501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  <c r="AB191" s="166"/>
      <c r="AC191" s="166"/>
      <c r="AD191" s="166"/>
      <c r="AE191" s="166"/>
      <c r="AF191" s="166"/>
      <c r="AG191" s="166"/>
    </row>
    <row r="192" spans="1:33">
      <c r="A192" s="166"/>
      <c r="B192" s="498"/>
      <c r="C192" s="498"/>
      <c r="D192" s="498"/>
      <c r="E192" s="498"/>
      <c r="F192" s="498"/>
      <c r="G192" s="166"/>
      <c r="H192" s="500"/>
      <c r="I192" s="501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  <c r="AB192" s="166"/>
      <c r="AC192" s="166"/>
      <c r="AD192" s="166"/>
      <c r="AE192" s="166"/>
      <c r="AF192" s="166"/>
      <c r="AG192" s="166"/>
    </row>
    <row r="193" spans="1:33">
      <c r="A193" s="166"/>
      <c r="B193" s="498"/>
      <c r="C193" s="498"/>
      <c r="D193" s="498"/>
      <c r="E193" s="498"/>
      <c r="F193" s="498"/>
      <c r="G193" s="166"/>
      <c r="H193" s="500"/>
      <c r="I193" s="501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  <c r="AB193" s="166"/>
      <c r="AC193" s="166"/>
      <c r="AD193" s="166"/>
      <c r="AE193" s="166"/>
      <c r="AF193" s="166"/>
      <c r="AG193" s="166"/>
    </row>
    <row r="194" spans="1:33">
      <c r="A194" s="166"/>
      <c r="B194" s="498"/>
      <c r="C194" s="498"/>
      <c r="D194" s="498"/>
      <c r="E194" s="498"/>
      <c r="F194" s="498"/>
      <c r="G194" s="166"/>
      <c r="H194" s="500"/>
      <c r="I194" s="501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  <c r="AB194" s="166"/>
      <c r="AC194" s="166"/>
      <c r="AD194" s="166"/>
      <c r="AE194" s="166"/>
      <c r="AF194" s="166"/>
      <c r="AG194" s="166"/>
    </row>
    <row r="195" spans="1:33">
      <c r="A195" s="166"/>
      <c r="B195" s="498"/>
      <c r="C195" s="498"/>
      <c r="D195" s="498"/>
      <c r="E195" s="498"/>
      <c r="F195" s="498"/>
      <c r="G195" s="166"/>
      <c r="H195" s="500"/>
      <c r="I195" s="501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  <c r="AB195" s="166"/>
      <c r="AC195" s="166"/>
      <c r="AD195" s="166"/>
      <c r="AE195" s="166"/>
      <c r="AF195" s="166"/>
      <c r="AG195" s="166"/>
    </row>
    <row r="196" spans="1:33">
      <c r="A196" s="166"/>
      <c r="B196" s="498"/>
      <c r="C196" s="498"/>
      <c r="D196" s="498"/>
      <c r="E196" s="498"/>
      <c r="F196" s="498"/>
      <c r="G196" s="166"/>
      <c r="H196" s="500"/>
      <c r="I196" s="501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  <c r="AB196" s="166"/>
      <c r="AC196" s="166"/>
      <c r="AD196" s="166"/>
      <c r="AE196" s="166"/>
      <c r="AF196" s="166"/>
      <c r="AG196" s="166"/>
    </row>
    <row r="197" spans="1:33">
      <c r="A197" s="166"/>
      <c r="B197" s="498"/>
      <c r="C197" s="498"/>
      <c r="D197" s="498"/>
      <c r="E197" s="498"/>
      <c r="F197" s="498"/>
      <c r="G197" s="166"/>
      <c r="H197" s="500"/>
      <c r="I197" s="501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  <c r="AB197" s="166"/>
      <c r="AC197" s="166"/>
      <c r="AD197" s="166"/>
      <c r="AE197" s="166"/>
      <c r="AF197" s="166"/>
      <c r="AG197" s="166"/>
    </row>
    <row r="198" spans="1:33">
      <c r="A198" s="166"/>
      <c r="B198" s="498"/>
      <c r="C198" s="498"/>
      <c r="D198" s="498"/>
      <c r="E198" s="498"/>
      <c r="F198" s="498"/>
      <c r="G198" s="166"/>
      <c r="H198" s="500"/>
      <c r="I198" s="501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  <c r="AB198" s="166"/>
      <c r="AC198" s="166"/>
      <c r="AD198" s="166"/>
      <c r="AE198" s="166"/>
      <c r="AF198" s="166"/>
      <c r="AG198" s="166"/>
    </row>
    <row r="199" spans="1:33">
      <c r="A199" s="166"/>
      <c r="B199" s="498"/>
      <c r="C199" s="498"/>
      <c r="D199" s="498"/>
      <c r="E199" s="498"/>
      <c r="F199" s="498"/>
      <c r="G199" s="166"/>
      <c r="H199" s="500"/>
      <c r="I199" s="501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  <c r="AB199" s="166"/>
      <c r="AC199" s="166"/>
      <c r="AD199" s="166"/>
      <c r="AE199" s="166"/>
      <c r="AF199" s="166"/>
      <c r="AG199" s="166"/>
    </row>
    <row r="200" spans="1:33">
      <c r="A200" s="166"/>
      <c r="B200" s="498"/>
      <c r="C200" s="498"/>
      <c r="D200" s="498"/>
      <c r="E200" s="498"/>
      <c r="F200" s="498"/>
      <c r="G200" s="166"/>
      <c r="H200" s="500"/>
      <c r="I200" s="501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  <c r="AB200" s="166"/>
      <c r="AC200" s="166"/>
      <c r="AD200" s="166"/>
      <c r="AE200" s="166"/>
      <c r="AF200" s="166"/>
      <c r="AG200" s="166"/>
    </row>
    <row r="201" spans="1:33">
      <c r="A201" s="166"/>
      <c r="B201" s="498"/>
      <c r="C201" s="498"/>
      <c r="D201" s="498"/>
      <c r="E201" s="498"/>
      <c r="F201" s="498"/>
      <c r="G201" s="166"/>
      <c r="H201" s="500"/>
      <c r="I201" s="501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  <c r="AB201" s="166"/>
      <c r="AC201" s="166"/>
      <c r="AD201" s="166"/>
      <c r="AE201" s="166"/>
      <c r="AF201" s="166"/>
      <c r="AG201" s="166"/>
    </row>
    <row r="202" spans="1:33">
      <c r="A202" s="166"/>
      <c r="B202" s="498"/>
      <c r="C202" s="498"/>
      <c r="D202" s="498"/>
      <c r="E202" s="498"/>
      <c r="F202" s="498"/>
      <c r="G202" s="166"/>
      <c r="H202" s="500"/>
      <c r="I202" s="501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  <c r="AB202" s="166"/>
      <c r="AC202" s="166"/>
      <c r="AD202" s="166"/>
      <c r="AE202" s="166"/>
      <c r="AF202" s="166"/>
      <c r="AG202" s="166"/>
    </row>
    <row r="203" spans="1:33">
      <c r="A203" s="166"/>
      <c r="B203" s="498"/>
      <c r="C203" s="498"/>
      <c r="D203" s="498"/>
      <c r="E203" s="498"/>
      <c r="F203" s="498"/>
      <c r="G203" s="166"/>
      <c r="H203" s="500"/>
      <c r="I203" s="501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  <c r="AB203" s="166"/>
      <c r="AC203" s="166"/>
      <c r="AD203" s="166"/>
      <c r="AE203" s="166"/>
      <c r="AF203" s="166"/>
      <c r="AG203" s="166"/>
    </row>
    <row r="204" spans="1:33">
      <c r="A204" s="166"/>
      <c r="B204" s="498"/>
      <c r="C204" s="498"/>
      <c r="D204" s="498"/>
      <c r="E204" s="498"/>
      <c r="F204" s="498"/>
      <c r="G204" s="166"/>
      <c r="H204" s="500"/>
      <c r="I204" s="501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  <c r="AB204" s="166"/>
      <c r="AC204" s="166"/>
      <c r="AD204" s="166"/>
      <c r="AE204" s="166"/>
      <c r="AF204" s="166"/>
      <c r="AG204" s="166"/>
    </row>
    <row r="205" spans="1:33">
      <c r="A205" s="166"/>
      <c r="B205" s="498"/>
      <c r="C205" s="498"/>
      <c r="D205" s="498"/>
      <c r="E205" s="498"/>
      <c r="F205" s="498"/>
      <c r="G205" s="166"/>
      <c r="H205" s="500"/>
      <c r="I205" s="501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  <c r="AB205" s="166"/>
      <c r="AC205" s="166"/>
      <c r="AD205" s="166"/>
      <c r="AE205" s="166"/>
      <c r="AF205" s="166"/>
      <c r="AG205" s="166"/>
    </row>
    <row r="206" spans="1:33">
      <c r="A206" s="166"/>
      <c r="B206" s="498"/>
      <c r="C206" s="498"/>
      <c r="D206" s="498"/>
      <c r="E206" s="498"/>
      <c r="F206" s="498"/>
      <c r="G206" s="166"/>
      <c r="H206" s="500"/>
      <c r="I206" s="501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  <c r="AD206" s="166"/>
      <c r="AE206" s="166"/>
      <c r="AF206" s="166"/>
      <c r="AG206" s="166"/>
    </row>
    <row r="207" spans="1:33">
      <c r="A207" s="166"/>
      <c r="B207" s="498"/>
      <c r="C207" s="498"/>
      <c r="D207" s="498"/>
      <c r="E207" s="498"/>
      <c r="F207" s="498"/>
      <c r="G207" s="166"/>
      <c r="H207" s="500"/>
      <c r="I207" s="501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  <c r="AB207" s="166"/>
      <c r="AC207" s="166"/>
      <c r="AD207" s="166"/>
      <c r="AE207" s="166"/>
      <c r="AF207" s="166"/>
      <c r="AG207" s="166"/>
    </row>
    <row r="208" spans="1:33">
      <c r="A208" s="166"/>
      <c r="B208" s="498"/>
      <c r="C208" s="498"/>
      <c r="D208" s="498"/>
      <c r="E208" s="498"/>
      <c r="F208" s="498"/>
      <c r="G208" s="166"/>
      <c r="H208" s="500"/>
      <c r="I208" s="501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/>
      <c r="AD208" s="166"/>
      <c r="AE208" s="166"/>
      <c r="AF208" s="166"/>
      <c r="AG208" s="166"/>
    </row>
    <row r="209" spans="1:33">
      <c r="A209" s="166"/>
      <c r="B209" s="498"/>
      <c r="C209" s="498"/>
      <c r="D209" s="498"/>
      <c r="E209" s="498"/>
      <c r="F209" s="498"/>
      <c r="G209" s="166"/>
      <c r="H209" s="500"/>
      <c r="I209" s="501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  <c r="AG209" s="166"/>
    </row>
    <row r="210" spans="1:33">
      <c r="A210" s="166"/>
      <c r="B210" s="498"/>
      <c r="C210" s="498"/>
      <c r="D210" s="498"/>
      <c r="E210" s="498"/>
      <c r="F210" s="498"/>
      <c r="G210" s="166"/>
      <c r="H210" s="500"/>
      <c r="I210" s="501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  <c r="AB210" s="166"/>
      <c r="AC210" s="166"/>
      <c r="AD210" s="166"/>
      <c r="AE210" s="166"/>
      <c r="AF210" s="166"/>
      <c r="AG210" s="166"/>
    </row>
    <row r="211" spans="1:33">
      <c r="A211" s="166"/>
      <c r="B211" s="498"/>
      <c r="C211" s="498"/>
      <c r="D211" s="498"/>
      <c r="E211" s="498"/>
      <c r="F211" s="498"/>
      <c r="G211" s="166"/>
      <c r="H211" s="500"/>
      <c r="I211" s="501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  <c r="AB211" s="166"/>
      <c r="AC211" s="166"/>
      <c r="AD211" s="166"/>
      <c r="AE211" s="166"/>
      <c r="AF211" s="166"/>
      <c r="AG211" s="166"/>
    </row>
    <row r="212" spans="1:33">
      <c r="A212" s="166"/>
      <c r="B212" s="498"/>
      <c r="C212" s="498"/>
      <c r="D212" s="498"/>
      <c r="E212" s="498"/>
      <c r="F212" s="498"/>
      <c r="G212" s="166"/>
      <c r="H212" s="500"/>
      <c r="I212" s="501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  <c r="AB212" s="166"/>
      <c r="AC212" s="166"/>
      <c r="AD212" s="166"/>
      <c r="AE212" s="166"/>
      <c r="AF212" s="166"/>
      <c r="AG212" s="166"/>
    </row>
    <row r="213" spans="1:33">
      <c r="A213" s="166"/>
      <c r="B213" s="498"/>
      <c r="C213" s="498"/>
      <c r="D213" s="498"/>
      <c r="E213" s="498"/>
      <c r="F213" s="498"/>
      <c r="G213" s="166"/>
      <c r="H213" s="500"/>
      <c r="I213" s="501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  <c r="AB213" s="166"/>
      <c r="AC213" s="166"/>
      <c r="AD213" s="166"/>
      <c r="AE213" s="166"/>
      <c r="AF213" s="166"/>
      <c r="AG213" s="166"/>
    </row>
    <row r="214" spans="1:33">
      <c r="A214" s="166"/>
      <c r="B214" s="498"/>
      <c r="C214" s="498"/>
      <c r="D214" s="498"/>
      <c r="E214" s="498"/>
      <c r="F214" s="498"/>
      <c r="G214" s="166"/>
      <c r="H214" s="500"/>
      <c r="I214" s="501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  <c r="AB214" s="166"/>
      <c r="AC214" s="166"/>
      <c r="AD214" s="166"/>
      <c r="AE214" s="166"/>
      <c r="AF214" s="166"/>
      <c r="AG214" s="166"/>
    </row>
    <row r="215" spans="1:33">
      <c r="A215" s="166"/>
      <c r="B215" s="498"/>
      <c r="C215" s="498"/>
      <c r="D215" s="498"/>
      <c r="E215" s="498"/>
      <c r="F215" s="498"/>
      <c r="G215" s="166"/>
      <c r="H215" s="500"/>
      <c r="I215" s="501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  <c r="AB215" s="166"/>
      <c r="AC215" s="166"/>
      <c r="AD215" s="166"/>
      <c r="AE215" s="166"/>
      <c r="AF215" s="166"/>
      <c r="AG215" s="166"/>
    </row>
    <row r="216" spans="1:33">
      <c r="A216" s="166"/>
      <c r="B216" s="498"/>
      <c r="C216" s="498"/>
      <c r="D216" s="498"/>
      <c r="E216" s="498"/>
      <c r="F216" s="498"/>
      <c r="G216" s="166"/>
      <c r="H216" s="500"/>
      <c r="I216" s="501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  <c r="AB216" s="166"/>
      <c r="AC216" s="166"/>
      <c r="AD216" s="166"/>
      <c r="AE216" s="166"/>
      <c r="AF216" s="166"/>
      <c r="AG216" s="166"/>
    </row>
    <row r="217" spans="1:33">
      <c r="A217" s="166"/>
      <c r="B217" s="498"/>
      <c r="C217" s="498"/>
      <c r="D217" s="498"/>
      <c r="E217" s="498"/>
      <c r="F217" s="498"/>
      <c r="G217" s="166"/>
      <c r="H217" s="500"/>
      <c r="I217" s="501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  <c r="AB217" s="166"/>
      <c r="AC217" s="166"/>
      <c r="AD217" s="166"/>
      <c r="AE217" s="166"/>
      <c r="AF217" s="166"/>
      <c r="AG217" s="166"/>
    </row>
    <row r="218" spans="1:33">
      <c r="A218" s="166"/>
      <c r="B218" s="498"/>
      <c r="C218" s="498"/>
      <c r="D218" s="498"/>
      <c r="E218" s="498"/>
      <c r="F218" s="498"/>
      <c r="G218" s="166"/>
      <c r="H218" s="500"/>
      <c r="I218" s="501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  <c r="AB218" s="166"/>
      <c r="AC218" s="166"/>
      <c r="AD218" s="166"/>
      <c r="AE218" s="166"/>
      <c r="AF218" s="166"/>
      <c r="AG218" s="166"/>
    </row>
    <row r="219" spans="1:33">
      <c r="A219" s="166"/>
      <c r="B219" s="498"/>
      <c r="C219" s="498"/>
      <c r="D219" s="498"/>
      <c r="E219" s="498"/>
      <c r="F219" s="498"/>
      <c r="G219" s="166"/>
      <c r="H219" s="500"/>
      <c r="I219" s="501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  <c r="AB219" s="166"/>
      <c r="AC219" s="166"/>
      <c r="AD219" s="166"/>
      <c r="AE219" s="166"/>
      <c r="AF219" s="166"/>
      <c r="AG219" s="166"/>
    </row>
    <row r="220" spans="1:33">
      <c r="A220" s="166"/>
      <c r="B220" s="498"/>
      <c r="C220" s="498"/>
      <c r="D220" s="498"/>
      <c r="E220" s="498"/>
      <c r="F220" s="498"/>
      <c r="G220" s="166"/>
      <c r="H220" s="500"/>
      <c r="I220" s="501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  <c r="AB220" s="166"/>
      <c r="AC220" s="166"/>
      <c r="AD220" s="166"/>
      <c r="AE220" s="166"/>
      <c r="AF220" s="166"/>
      <c r="AG220" s="166"/>
    </row>
    <row r="221" spans="1:33">
      <c r="A221" s="166"/>
      <c r="B221" s="498"/>
      <c r="C221" s="498"/>
      <c r="D221" s="498"/>
      <c r="E221" s="498"/>
      <c r="F221" s="498"/>
      <c r="G221" s="166"/>
      <c r="H221" s="500"/>
      <c r="I221" s="501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6"/>
    </row>
    <row r="222" spans="1:33">
      <c r="A222" s="166"/>
      <c r="B222" s="498"/>
      <c r="C222" s="498"/>
      <c r="D222" s="498"/>
      <c r="E222" s="498"/>
      <c r="F222" s="498"/>
      <c r="G222" s="166"/>
      <c r="H222" s="500"/>
      <c r="I222" s="501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  <c r="AA222" s="166"/>
      <c r="AB222" s="166"/>
      <c r="AC222" s="166"/>
      <c r="AD222" s="166"/>
      <c r="AE222" s="166"/>
      <c r="AF222" s="166"/>
      <c r="AG222" s="166"/>
    </row>
    <row r="223" spans="1:33">
      <c r="A223" s="166"/>
      <c r="B223" s="498"/>
      <c r="C223" s="498"/>
      <c r="D223" s="498"/>
      <c r="E223" s="498"/>
      <c r="F223" s="498"/>
      <c r="G223" s="166"/>
      <c r="H223" s="500"/>
      <c r="I223" s="501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  <c r="AA223" s="166"/>
      <c r="AB223" s="166"/>
      <c r="AC223" s="166"/>
      <c r="AD223" s="166"/>
      <c r="AE223" s="166"/>
      <c r="AF223" s="166"/>
      <c r="AG223" s="166"/>
    </row>
    <row r="224" spans="1:33">
      <c r="A224" s="166"/>
      <c r="B224" s="498"/>
      <c r="C224" s="498"/>
      <c r="D224" s="498"/>
      <c r="E224" s="498"/>
      <c r="F224" s="498"/>
      <c r="G224" s="166"/>
      <c r="H224" s="500"/>
      <c r="I224" s="501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  <c r="AA224" s="166"/>
      <c r="AB224" s="166"/>
      <c r="AC224" s="166"/>
      <c r="AD224" s="166"/>
      <c r="AE224" s="166"/>
      <c r="AF224" s="166"/>
      <c r="AG224" s="166"/>
    </row>
    <row r="225" spans="1:33">
      <c r="A225" s="166"/>
      <c r="B225" s="498"/>
      <c r="C225" s="498"/>
      <c r="D225" s="498"/>
      <c r="E225" s="498"/>
      <c r="F225" s="498"/>
      <c r="G225" s="166"/>
      <c r="H225" s="500"/>
      <c r="I225" s="501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  <c r="AA225" s="166"/>
      <c r="AB225" s="166"/>
      <c r="AC225" s="166"/>
      <c r="AD225" s="166"/>
      <c r="AE225" s="166"/>
      <c r="AF225" s="166"/>
      <c r="AG225" s="166"/>
    </row>
    <row r="226" spans="1:33">
      <c r="A226" s="166"/>
      <c r="B226" s="498"/>
      <c r="C226" s="498"/>
      <c r="D226" s="498"/>
      <c r="E226" s="498"/>
      <c r="F226" s="498"/>
      <c r="G226" s="166"/>
      <c r="H226" s="500"/>
      <c r="I226" s="501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  <c r="AA226" s="166"/>
      <c r="AB226" s="166"/>
      <c r="AC226" s="166"/>
      <c r="AD226" s="166"/>
      <c r="AE226" s="166"/>
      <c r="AF226" s="166"/>
      <c r="AG226" s="166"/>
    </row>
    <row r="227" spans="1:33">
      <c r="A227" s="166"/>
      <c r="B227" s="498"/>
      <c r="C227" s="498"/>
      <c r="D227" s="498"/>
      <c r="E227" s="498"/>
      <c r="F227" s="498"/>
      <c r="G227" s="166"/>
      <c r="H227" s="500"/>
      <c r="I227" s="501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  <c r="AA227" s="166"/>
      <c r="AB227" s="166"/>
      <c r="AC227" s="166"/>
      <c r="AD227" s="166"/>
      <c r="AE227" s="166"/>
      <c r="AF227" s="166"/>
      <c r="AG227" s="166"/>
    </row>
    <row r="228" spans="1:33">
      <c r="A228" s="166"/>
      <c r="B228" s="498"/>
      <c r="C228" s="498"/>
      <c r="D228" s="498"/>
      <c r="E228" s="498"/>
      <c r="F228" s="498"/>
      <c r="G228" s="166"/>
      <c r="H228" s="500"/>
      <c r="I228" s="501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  <c r="AA228" s="166"/>
      <c r="AB228" s="166"/>
      <c r="AC228" s="166"/>
      <c r="AD228" s="166"/>
      <c r="AE228" s="166"/>
      <c r="AF228" s="166"/>
      <c r="AG228" s="166"/>
    </row>
    <row r="229" spans="1:33">
      <c r="A229" s="166"/>
      <c r="B229" s="498"/>
      <c r="C229" s="498"/>
      <c r="D229" s="498"/>
      <c r="E229" s="498"/>
      <c r="F229" s="498"/>
      <c r="G229" s="166"/>
      <c r="H229" s="500"/>
      <c r="I229" s="501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  <c r="AA229" s="166"/>
      <c r="AB229" s="166"/>
      <c r="AC229" s="166"/>
      <c r="AD229" s="166"/>
      <c r="AE229" s="166"/>
      <c r="AF229" s="166"/>
      <c r="AG229" s="166"/>
    </row>
    <row r="230" spans="1:33">
      <c r="A230" s="166"/>
      <c r="B230" s="498"/>
      <c r="C230" s="498"/>
      <c r="D230" s="498"/>
      <c r="E230" s="498"/>
      <c r="F230" s="498"/>
      <c r="G230" s="166"/>
      <c r="H230" s="500"/>
      <c r="I230" s="501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  <c r="AA230" s="166"/>
      <c r="AB230" s="166"/>
      <c r="AC230" s="166"/>
      <c r="AD230" s="166"/>
      <c r="AE230" s="166"/>
      <c r="AF230" s="166"/>
      <c r="AG230" s="166"/>
    </row>
    <row r="231" spans="1:33">
      <c r="A231" s="166"/>
      <c r="B231" s="498"/>
      <c r="C231" s="498"/>
      <c r="D231" s="498"/>
      <c r="E231" s="498"/>
      <c r="F231" s="498"/>
      <c r="G231" s="166"/>
      <c r="H231" s="500"/>
      <c r="I231" s="501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  <c r="AA231" s="166"/>
      <c r="AB231" s="166"/>
      <c r="AC231" s="166"/>
      <c r="AD231" s="166"/>
      <c r="AE231" s="166"/>
      <c r="AF231" s="166"/>
      <c r="AG231" s="166"/>
    </row>
    <row r="232" spans="1:33">
      <c r="A232" s="166"/>
      <c r="B232" s="498"/>
      <c r="C232" s="498"/>
      <c r="D232" s="498"/>
      <c r="E232" s="498"/>
      <c r="F232" s="498"/>
      <c r="G232" s="166"/>
      <c r="H232" s="500"/>
      <c r="I232" s="501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  <c r="AA232" s="166"/>
      <c r="AB232" s="166"/>
      <c r="AC232" s="166"/>
      <c r="AD232" s="166"/>
      <c r="AE232" s="166"/>
      <c r="AF232" s="166"/>
      <c r="AG232" s="166"/>
    </row>
    <row r="233" spans="1:33">
      <c r="A233" s="166"/>
      <c r="B233" s="498"/>
      <c r="C233" s="498"/>
      <c r="D233" s="498"/>
      <c r="E233" s="498"/>
      <c r="F233" s="498"/>
      <c r="G233" s="166"/>
      <c r="H233" s="500"/>
      <c r="I233" s="501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6"/>
    </row>
    <row r="234" spans="1:33">
      <c r="A234" s="166"/>
      <c r="B234" s="498"/>
      <c r="C234" s="498"/>
      <c r="D234" s="498"/>
      <c r="E234" s="498"/>
      <c r="F234" s="498"/>
      <c r="G234" s="166"/>
      <c r="H234" s="500"/>
      <c r="I234" s="501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  <c r="AA234" s="166"/>
      <c r="AB234" s="166"/>
      <c r="AC234" s="166"/>
      <c r="AD234" s="166"/>
      <c r="AE234" s="166"/>
      <c r="AF234" s="166"/>
      <c r="AG234" s="166"/>
    </row>
    <row r="235" spans="1:33">
      <c r="A235" s="166"/>
      <c r="B235" s="498"/>
      <c r="C235" s="498"/>
      <c r="D235" s="498"/>
      <c r="E235" s="498"/>
      <c r="F235" s="498"/>
      <c r="G235" s="166"/>
      <c r="H235" s="500"/>
      <c r="I235" s="501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  <c r="AA235" s="166"/>
      <c r="AB235" s="166"/>
      <c r="AC235" s="166"/>
      <c r="AD235" s="166"/>
      <c r="AE235" s="166"/>
      <c r="AF235" s="166"/>
      <c r="AG235" s="166"/>
    </row>
    <row r="236" spans="1:33">
      <c r="A236" s="166"/>
      <c r="B236" s="498"/>
      <c r="C236" s="498"/>
      <c r="D236" s="498"/>
      <c r="E236" s="498"/>
      <c r="F236" s="498"/>
      <c r="G236" s="166"/>
      <c r="H236" s="500"/>
      <c r="I236" s="501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  <c r="AA236" s="166"/>
      <c r="AB236" s="166"/>
      <c r="AC236" s="166"/>
      <c r="AD236" s="166"/>
      <c r="AE236" s="166"/>
      <c r="AF236" s="166"/>
      <c r="AG236" s="166"/>
    </row>
    <row r="237" spans="1:33">
      <c r="A237" s="166"/>
      <c r="B237" s="498"/>
      <c r="C237" s="498"/>
      <c r="D237" s="498"/>
      <c r="E237" s="498"/>
      <c r="F237" s="498"/>
      <c r="G237" s="166"/>
      <c r="H237" s="500"/>
      <c r="I237" s="501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6"/>
      <c r="AB237" s="166"/>
      <c r="AC237" s="166"/>
      <c r="AD237" s="166"/>
      <c r="AE237" s="166"/>
      <c r="AF237" s="166"/>
      <c r="AG237" s="166"/>
    </row>
    <row r="238" spans="1:33">
      <c r="A238" s="166"/>
      <c r="B238" s="498"/>
      <c r="C238" s="498"/>
      <c r="D238" s="498"/>
      <c r="E238" s="498"/>
      <c r="F238" s="498"/>
      <c r="G238" s="166"/>
      <c r="H238" s="500"/>
      <c r="I238" s="501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6"/>
      <c r="AG238" s="166"/>
    </row>
    <row r="239" spans="1:33">
      <c r="A239" s="166"/>
      <c r="B239" s="498"/>
      <c r="C239" s="498"/>
      <c r="D239" s="498"/>
      <c r="E239" s="498"/>
      <c r="F239" s="498"/>
      <c r="G239" s="166"/>
      <c r="H239" s="500"/>
      <c r="I239" s="501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  <c r="AA239" s="166"/>
      <c r="AB239" s="166"/>
      <c r="AC239" s="166"/>
      <c r="AD239" s="166"/>
      <c r="AE239" s="166"/>
      <c r="AF239" s="166"/>
      <c r="AG239" s="166"/>
    </row>
    <row r="240" spans="1:33">
      <c r="A240" s="166"/>
      <c r="B240" s="498"/>
      <c r="C240" s="498"/>
      <c r="D240" s="498"/>
      <c r="E240" s="498"/>
      <c r="F240" s="498"/>
      <c r="G240" s="166"/>
      <c r="H240" s="500"/>
      <c r="I240" s="501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  <c r="AA240" s="166"/>
      <c r="AB240" s="166"/>
      <c r="AC240" s="166"/>
      <c r="AD240" s="166"/>
      <c r="AE240" s="166"/>
      <c r="AF240" s="166"/>
      <c r="AG240" s="166"/>
    </row>
    <row r="241" spans="1:33">
      <c r="A241" s="166"/>
      <c r="B241" s="498"/>
      <c r="C241" s="498"/>
      <c r="D241" s="498"/>
      <c r="E241" s="498"/>
      <c r="F241" s="498"/>
      <c r="G241" s="166"/>
      <c r="H241" s="500"/>
      <c r="I241" s="501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  <c r="AA241" s="166"/>
      <c r="AB241" s="166"/>
      <c r="AC241" s="166"/>
      <c r="AD241" s="166"/>
      <c r="AE241" s="166"/>
      <c r="AF241" s="166"/>
      <c r="AG241" s="166"/>
    </row>
    <row r="242" spans="1:33">
      <c r="A242" s="166"/>
      <c r="B242" s="498"/>
      <c r="C242" s="498"/>
      <c r="D242" s="498"/>
      <c r="E242" s="498"/>
      <c r="F242" s="498"/>
      <c r="G242" s="166"/>
      <c r="H242" s="500"/>
      <c r="I242" s="501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  <c r="AA242" s="166"/>
      <c r="AB242" s="166"/>
      <c r="AC242" s="166"/>
      <c r="AD242" s="166"/>
      <c r="AE242" s="166"/>
      <c r="AF242" s="166"/>
      <c r="AG242" s="166"/>
    </row>
    <row r="243" spans="1:33">
      <c r="A243" s="166"/>
      <c r="B243" s="498"/>
      <c r="C243" s="498"/>
      <c r="D243" s="498"/>
      <c r="E243" s="498"/>
      <c r="F243" s="498"/>
      <c r="G243" s="166"/>
      <c r="H243" s="500"/>
      <c r="I243" s="501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  <c r="AA243" s="166"/>
      <c r="AB243" s="166"/>
      <c r="AC243" s="166"/>
      <c r="AD243" s="166"/>
      <c r="AE243" s="166"/>
      <c r="AF243" s="166"/>
      <c r="AG243" s="166"/>
    </row>
    <row r="244" spans="1:33">
      <c r="A244" s="166"/>
      <c r="B244" s="498"/>
      <c r="C244" s="498"/>
      <c r="D244" s="498"/>
      <c r="E244" s="498"/>
      <c r="F244" s="498"/>
      <c r="G244" s="166"/>
      <c r="H244" s="500"/>
      <c r="I244" s="501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  <c r="AA244" s="166"/>
      <c r="AB244" s="166"/>
      <c r="AC244" s="166"/>
      <c r="AD244" s="166"/>
      <c r="AE244" s="166"/>
      <c r="AF244" s="166"/>
      <c r="AG244" s="166"/>
    </row>
    <row r="245" spans="1:33">
      <c r="A245" s="166"/>
      <c r="B245" s="498"/>
      <c r="C245" s="498"/>
      <c r="D245" s="498"/>
      <c r="E245" s="498"/>
      <c r="F245" s="498"/>
      <c r="G245" s="166"/>
      <c r="H245" s="500"/>
      <c r="I245" s="501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  <c r="AA245" s="166"/>
      <c r="AB245" s="166"/>
      <c r="AC245" s="166"/>
      <c r="AD245" s="166"/>
      <c r="AE245" s="166"/>
      <c r="AF245" s="166"/>
      <c r="AG245" s="166"/>
    </row>
    <row r="246" spans="1:33">
      <c r="A246" s="166"/>
      <c r="B246" s="498"/>
      <c r="C246" s="498"/>
      <c r="D246" s="498"/>
      <c r="E246" s="498"/>
      <c r="F246" s="498"/>
      <c r="G246" s="166"/>
      <c r="H246" s="500"/>
      <c r="I246" s="501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  <c r="AA246" s="166"/>
      <c r="AB246" s="166"/>
      <c r="AC246" s="166"/>
      <c r="AD246" s="166"/>
      <c r="AE246" s="166"/>
      <c r="AF246" s="166"/>
      <c r="AG246" s="166"/>
    </row>
    <row r="247" spans="1:33">
      <c r="A247" s="166"/>
      <c r="B247" s="498"/>
      <c r="C247" s="498"/>
      <c r="D247" s="498"/>
      <c r="E247" s="498"/>
      <c r="F247" s="498"/>
      <c r="G247" s="166"/>
      <c r="H247" s="500"/>
      <c r="I247" s="501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  <c r="AA247" s="166"/>
      <c r="AB247" s="166"/>
      <c r="AC247" s="166"/>
      <c r="AD247" s="166"/>
      <c r="AE247" s="166"/>
      <c r="AF247" s="166"/>
      <c r="AG247" s="166"/>
    </row>
    <row r="248" spans="1:33">
      <c r="A248" s="166"/>
      <c r="B248" s="498"/>
      <c r="C248" s="498"/>
      <c r="D248" s="498"/>
      <c r="E248" s="498"/>
      <c r="F248" s="498"/>
      <c r="G248" s="166"/>
      <c r="H248" s="500"/>
      <c r="I248" s="501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  <c r="AA248" s="166"/>
      <c r="AB248" s="166"/>
      <c r="AC248" s="166"/>
      <c r="AD248" s="166"/>
      <c r="AE248" s="166"/>
      <c r="AF248" s="166"/>
      <c r="AG248" s="166"/>
    </row>
    <row r="249" spans="1:33">
      <c r="A249" s="166"/>
      <c r="B249" s="498"/>
      <c r="C249" s="498"/>
      <c r="D249" s="498"/>
      <c r="E249" s="498"/>
      <c r="F249" s="498"/>
      <c r="G249" s="166"/>
      <c r="H249" s="500"/>
      <c r="I249" s="501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  <c r="AA249" s="166"/>
      <c r="AB249" s="166"/>
      <c r="AC249" s="166"/>
      <c r="AD249" s="166"/>
      <c r="AE249" s="166"/>
      <c r="AF249" s="166"/>
      <c r="AG249" s="166"/>
    </row>
    <row r="250" spans="1:33">
      <c r="A250" s="166"/>
      <c r="B250" s="498"/>
      <c r="C250" s="498"/>
      <c r="D250" s="498"/>
      <c r="E250" s="498"/>
      <c r="F250" s="498"/>
      <c r="G250" s="166"/>
      <c r="H250" s="500"/>
      <c r="I250" s="501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  <c r="AA250" s="166"/>
      <c r="AB250" s="166"/>
      <c r="AC250" s="166"/>
      <c r="AD250" s="166"/>
      <c r="AE250" s="166"/>
      <c r="AF250" s="166"/>
      <c r="AG250" s="166"/>
    </row>
    <row r="251" spans="1:33">
      <c r="A251" s="166"/>
      <c r="B251" s="498"/>
      <c r="C251" s="498"/>
      <c r="D251" s="498"/>
      <c r="E251" s="498"/>
      <c r="F251" s="498"/>
      <c r="G251" s="166"/>
      <c r="H251" s="500"/>
      <c r="I251" s="501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  <c r="AA251" s="166"/>
      <c r="AB251" s="166"/>
      <c r="AC251" s="166"/>
      <c r="AD251" s="166"/>
      <c r="AE251" s="166"/>
      <c r="AF251" s="166"/>
      <c r="AG251" s="166"/>
    </row>
    <row r="252" spans="1:33">
      <c r="A252" s="166"/>
      <c r="B252" s="498"/>
      <c r="C252" s="498"/>
      <c r="D252" s="498"/>
      <c r="E252" s="498"/>
      <c r="F252" s="498"/>
      <c r="G252" s="166"/>
      <c r="H252" s="500"/>
      <c r="I252" s="501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  <c r="AA252" s="166"/>
      <c r="AB252" s="166"/>
      <c r="AC252" s="166"/>
      <c r="AD252" s="166"/>
      <c r="AE252" s="166"/>
      <c r="AF252" s="166"/>
      <c r="AG252" s="166"/>
    </row>
    <row r="253" spans="1:33">
      <c r="A253" s="166"/>
      <c r="B253" s="498"/>
      <c r="C253" s="498"/>
      <c r="D253" s="498"/>
      <c r="E253" s="498"/>
      <c r="F253" s="498"/>
      <c r="G253" s="166"/>
      <c r="H253" s="500"/>
      <c r="I253" s="501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  <c r="AA253" s="166"/>
      <c r="AB253" s="166"/>
      <c r="AC253" s="166"/>
      <c r="AD253" s="166"/>
      <c r="AE253" s="166"/>
      <c r="AF253" s="166"/>
      <c r="AG253" s="166"/>
    </row>
    <row r="254" spans="1:33">
      <c r="A254" s="166"/>
      <c r="B254" s="498"/>
      <c r="C254" s="498"/>
      <c r="D254" s="498"/>
      <c r="E254" s="498"/>
      <c r="F254" s="498"/>
      <c r="G254" s="166"/>
      <c r="H254" s="500"/>
      <c r="I254" s="501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  <c r="AA254" s="166"/>
      <c r="AB254" s="166"/>
      <c r="AC254" s="166"/>
      <c r="AD254" s="166"/>
      <c r="AE254" s="166"/>
      <c r="AF254" s="166"/>
      <c r="AG254" s="166"/>
    </row>
    <row r="255" spans="1:33">
      <c r="A255" s="166"/>
      <c r="B255" s="498"/>
      <c r="C255" s="498"/>
      <c r="D255" s="498"/>
      <c r="E255" s="498"/>
      <c r="F255" s="498"/>
      <c r="G255" s="166"/>
      <c r="H255" s="500"/>
      <c r="I255" s="501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  <c r="AA255" s="166"/>
      <c r="AB255" s="166"/>
      <c r="AC255" s="166"/>
      <c r="AD255" s="166"/>
      <c r="AE255" s="166"/>
      <c r="AF255" s="166"/>
      <c r="AG255" s="166"/>
    </row>
    <row r="256" spans="1:33">
      <c r="A256" s="166"/>
      <c r="B256" s="498"/>
      <c r="C256" s="498"/>
      <c r="D256" s="498"/>
      <c r="E256" s="498"/>
      <c r="F256" s="498"/>
      <c r="G256" s="166"/>
      <c r="H256" s="500"/>
      <c r="I256" s="501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  <c r="AA256" s="166"/>
      <c r="AB256" s="166"/>
      <c r="AC256" s="166"/>
      <c r="AD256" s="166"/>
      <c r="AE256" s="166"/>
      <c r="AF256" s="166"/>
      <c r="AG256" s="166"/>
    </row>
    <row r="257" spans="1:33">
      <c r="A257" s="166"/>
      <c r="B257" s="498"/>
      <c r="C257" s="498"/>
      <c r="D257" s="498"/>
      <c r="E257" s="498"/>
      <c r="F257" s="498"/>
      <c r="G257" s="166"/>
      <c r="H257" s="500"/>
      <c r="I257" s="501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  <c r="AB257" s="166"/>
      <c r="AC257" s="166"/>
      <c r="AD257" s="166"/>
      <c r="AE257" s="166"/>
      <c r="AF257" s="166"/>
      <c r="AG257" s="166"/>
    </row>
    <row r="258" spans="1:33">
      <c r="A258" s="166"/>
      <c r="B258" s="498"/>
      <c r="C258" s="498"/>
      <c r="D258" s="498"/>
      <c r="E258" s="498"/>
      <c r="F258" s="498"/>
      <c r="G258" s="166"/>
      <c r="H258" s="500"/>
      <c r="I258" s="501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  <c r="AA258" s="166"/>
      <c r="AB258" s="166"/>
      <c r="AC258" s="166"/>
      <c r="AD258" s="166"/>
      <c r="AE258" s="166"/>
      <c r="AF258" s="166"/>
      <c r="AG258" s="166"/>
    </row>
    <row r="259" spans="1:33">
      <c r="A259" s="166"/>
      <c r="B259" s="498"/>
      <c r="C259" s="498"/>
      <c r="D259" s="498"/>
      <c r="E259" s="498"/>
      <c r="F259" s="498"/>
      <c r="G259" s="166"/>
      <c r="H259" s="500"/>
      <c r="I259" s="501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  <c r="AA259" s="166"/>
      <c r="AB259" s="166"/>
      <c r="AC259" s="166"/>
      <c r="AD259" s="166"/>
      <c r="AE259" s="166"/>
      <c r="AF259" s="166"/>
      <c r="AG259" s="166"/>
    </row>
    <row r="260" spans="1:33">
      <c r="A260" s="166"/>
      <c r="B260" s="498"/>
      <c r="C260" s="498"/>
      <c r="D260" s="498"/>
      <c r="E260" s="498"/>
      <c r="F260" s="498"/>
      <c r="G260" s="166"/>
      <c r="H260" s="500"/>
      <c r="I260" s="501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  <c r="AA260" s="166"/>
      <c r="AB260" s="166"/>
      <c r="AC260" s="166"/>
      <c r="AD260" s="166"/>
      <c r="AE260" s="166"/>
      <c r="AF260" s="166"/>
      <c r="AG260" s="166"/>
    </row>
    <row r="261" spans="1:33">
      <c r="A261" s="166"/>
      <c r="B261" s="498"/>
      <c r="C261" s="498"/>
      <c r="D261" s="498"/>
      <c r="E261" s="498"/>
      <c r="F261" s="498"/>
      <c r="G261" s="166"/>
      <c r="H261" s="500"/>
      <c r="I261" s="501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6"/>
      <c r="AG261" s="166"/>
    </row>
    <row r="262" spans="1:33">
      <c r="A262" s="166"/>
      <c r="B262" s="498"/>
      <c r="C262" s="498"/>
      <c r="D262" s="498"/>
      <c r="E262" s="498"/>
      <c r="F262" s="498"/>
      <c r="G262" s="166"/>
      <c r="H262" s="500"/>
      <c r="I262" s="501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  <c r="AG262" s="166"/>
    </row>
    <row r="263" spans="1:33">
      <c r="A263" s="166"/>
      <c r="B263" s="498"/>
      <c r="C263" s="498"/>
      <c r="D263" s="498"/>
      <c r="E263" s="498"/>
      <c r="F263" s="498"/>
      <c r="G263" s="166"/>
      <c r="H263" s="500"/>
      <c r="I263" s="501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  <c r="AA263" s="166"/>
      <c r="AB263" s="166"/>
      <c r="AC263" s="166"/>
      <c r="AD263" s="166"/>
      <c r="AE263" s="166"/>
      <c r="AF263" s="166"/>
      <c r="AG263" s="166"/>
    </row>
    <row r="264" spans="1:33">
      <c r="A264" s="166"/>
      <c r="B264" s="498"/>
      <c r="C264" s="498"/>
      <c r="D264" s="498"/>
      <c r="E264" s="498"/>
      <c r="F264" s="498"/>
      <c r="G264" s="166"/>
      <c r="H264" s="500"/>
      <c r="I264" s="501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  <c r="AA264" s="166"/>
      <c r="AB264" s="166"/>
      <c r="AC264" s="166"/>
      <c r="AD264" s="166"/>
      <c r="AE264" s="166"/>
      <c r="AF264" s="166"/>
      <c r="AG264" s="166"/>
    </row>
    <row r="265" spans="1:33">
      <c r="A265" s="166"/>
      <c r="B265" s="498"/>
      <c r="C265" s="498"/>
      <c r="D265" s="498"/>
      <c r="E265" s="498"/>
      <c r="F265" s="498"/>
      <c r="G265" s="166"/>
      <c r="H265" s="500"/>
      <c r="I265" s="501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  <c r="AA265" s="166"/>
      <c r="AB265" s="166"/>
      <c r="AC265" s="166"/>
      <c r="AD265" s="166"/>
      <c r="AE265" s="166"/>
      <c r="AF265" s="166"/>
      <c r="AG265" s="166"/>
    </row>
    <row r="266" spans="1:33">
      <c r="A266" s="166"/>
      <c r="B266" s="498"/>
      <c r="C266" s="498"/>
      <c r="D266" s="498"/>
      <c r="E266" s="498"/>
      <c r="F266" s="498"/>
      <c r="G266" s="166"/>
      <c r="H266" s="500"/>
      <c r="I266" s="501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  <c r="AA266" s="166"/>
      <c r="AB266" s="166"/>
      <c r="AC266" s="166"/>
      <c r="AD266" s="166"/>
      <c r="AE266" s="166"/>
      <c r="AF266" s="166"/>
      <c r="AG266" s="166"/>
    </row>
    <row r="267" spans="1:33">
      <c r="A267" s="166"/>
      <c r="B267" s="498"/>
      <c r="C267" s="498"/>
      <c r="D267" s="498"/>
      <c r="E267" s="498"/>
      <c r="F267" s="498"/>
      <c r="G267" s="166"/>
      <c r="H267" s="500"/>
      <c r="I267" s="501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  <c r="AA267" s="166"/>
      <c r="AB267" s="166"/>
      <c r="AC267" s="166"/>
      <c r="AD267" s="166"/>
      <c r="AE267" s="166"/>
      <c r="AF267" s="166"/>
      <c r="AG267" s="166"/>
    </row>
    <row r="268" spans="1:33">
      <c r="A268" s="166"/>
      <c r="B268" s="498"/>
      <c r="C268" s="498"/>
      <c r="D268" s="498"/>
      <c r="E268" s="498"/>
      <c r="F268" s="498"/>
      <c r="G268" s="166"/>
      <c r="H268" s="500"/>
      <c r="I268" s="501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  <c r="AA268" s="166"/>
      <c r="AB268" s="166"/>
      <c r="AC268" s="166"/>
      <c r="AD268" s="166"/>
      <c r="AE268" s="166"/>
      <c r="AF268" s="166"/>
      <c r="AG268" s="166"/>
    </row>
    <row r="269" spans="1:33">
      <c r="A269" s="166"/>
      <c r="B269" s="498"/>
      <c r="C269" s="498"/>
      <c r="D269" s="498"/>
      <c r="E269" s="498"/>
      <c r="F269" s="498"/>
      <c r="G269" s="166"/>
      <c r="H269" s="500"/>
      <c r="I269" s="501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  <c r="AA269" s="166"/>
      <c r="AB269" s="166"/>
      <c r="AC269" s="166"/>
      <c r="AD269" s="166"/>
      <c r="AE269" s="166"/>
      <c r="AF269" s="166"/>
      <c r="AG269" s="166"/>
    </row>
    <row r="270" spans="1:33">
      <c r="A270" s="166"/>
      <c r="B270" s="498"/>
      <c r="C270" s="498"/>
      <c r="D270" s="498"/>
      <c r="E270" s="498"/>
      <c r="F270" s="498"/>
      <c r="G270" s="166"/>
      <c r="H270" s="500"/>
      <c r="I270" s="501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  <c r="AA270" s="166"/>
      <c r="AB270" s="166"/>
      <c r="AC270" s="166"/>
      <c r="AD270" s="166"/>
      <c r="AE270" s="166"/>
      <c r="AF270" s="166"/>
      <c r="AG270" s="166"/>
    </row>
    <row r="271" spans="1:33">
      <c r="A271" s="166"/>
      <c r="B271" s="498"/>
      <c r="C271" s="498"/>
      <c r="D271" s="498"/>
      <c r="E271" s="498"/>
      <c r="F271" s="498"/>
      <c r="G271" s="166"/>
      <c r="H271" s="500"/>
      <c r="I271" s="501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  <c r="AA271" s="166"/>
      <c r="AB271" s="166"/>
      <c r="AC271" s="166"/>
      <c r="AD271" s="166"/>
      <c r="AE271" s="166"/>
      <c r="AF271" s="166"/>
      <c r="AG271" s="166"/>
    </row>
    <row r="272" spans="1:33">
      <c r="A272" s="166"/>
      <c r="B272" s="498"/>
      <c r="C272" s="498"/>
      <c r="D272" s="498"/>
      <c r="E272" s="498"/>
      <c r="F272" s="498"/>
      <c r="G272" s="166"/>
      <c r="H272" s="500"/>
      <c r="I272" s="501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  <c r="AA272" s="166"/>
      <c r="AB272" s="166"/>
      <c r="AC272" s="166"/>
      <c r="AD272" s="166"/>
      <c r="AE272" s="166"/>
      <c r="AF272" s="166"/>
      <c r="AG272" s="166"/>
    </row>
    <row r="273" spans="1:33">
      <c r="A273" s="166"/>
      <c r="B273" s="498"/>
      <c r="C273" s="498"/>
      <c r="D273" s="498"/>
      <c r="E273" s="498"/>
      <c r="F273" s="498"/>
      <c r="G273" s="166"/>
      <c r="H273" s="500"/>
      <c r="I273" s="501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6"/>
    </row>
    <row r="274" spans="1:33">
      <c r="A274" s="166"/>
      <c r="B274" s="498"/>
      <c r="C274" s="498"/>
      <c r="D274" s="498"/>
      <c r="E274" s="498"/>
      <c r="F274" s="498"/>
      <c r="G274" s="166"/>
      <c r="H274" s="500"/>
      <c r="I274" s="501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  <c r="AA274" s="166"/>
      <c r="AB274" s="166"/>
      <c r="AC274" s="166"/>
      <c r="AD274" s="166"/>
      <c r="AE274" s="166"/>
      <c r="AF274" s="166"/>
      <c r="AG274" s="166"/>
    </row>
    <row r="275" spans="1:33">
      <c r="A275" s="166"/>
      <c r="B275" s="498"/>
      <c r="C275" s="498"/>
      <c r="D275" s="498"/>
      <c r="E275" s="498"/>
      <c r="F275" s="498"/>
      <c r="G275" s="166"/>
      <c r="H275" s="500"/>
      <c r="I275" s="501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  <c r="AB275" s="166"/>
      <c r="AC275" s="166"/>
      <c r="AD275" s="166"/>
      <c r="AE275" s="166"/>
      <c r="AF275" s="166"/>
      <c r="AG275" s="166"/>
    </row>
    <row r="276" spans="1:33">
      <c r="A276" s="166"/>
      <c r="B276" s="498"/>
      <c r="C276" s="498"/>
      <c r="D276" s="498"/>
      <c r="E276" s="498"/>
      <c r="F276" s="498"/>
      <c r="G276" s="166"/>
      <c r="H276" s="500"/>
      <c r="I276" s="501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  <c r="AA276" s="166"/>
      <c r="AB276" s="166"/>
      <c r="AC276" s="166"/>
      <c r="AD276" s="166"/>
      <c r="AE276" s="166"/>
      <c r="AF276" s="166"/>
      <c r="AG276" s="166"/>
    </row>
    <row r="277" spans="1:33">
      <c r="A277" s="166"/>
      <c r="B277" s="498"/>
      <c r="C277" s="498"/>
      <c r="D277" s="498"/>
      <c r="E277" s="498"/>
      <c r="F277" s="498"/>
      <c r="G277" s="166"/>
      <c r="H277" s="500"/>
      <c r="I277" s="501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</row>
    <row r="278" spans="1:33">
      <c r="A278" s="166"/>
      <c r="B278" s="498"/>
      <c r="C278" s="498"/>
      <c r="D278" s="498"/>
      <c r="E278" s="498"/>
      <c r="F278" s="498"/>
      <c r="G278" s="166"/>
      <c r="H278" s="500"/>
      <c r="I278" s="501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  <c r="AA278" s="166"/>
      <c r="AB278" s="166"/>
      <c r="AC278" s="166"/>
      <c r="AD278" s="166"/>
      <c r="AE278" s="166"/>
      <c r="AF278" s="166"/>
      <c r="AG278" s="166"/>
    </row>
    <row r="279" spans="1:33">
      <c r="A279" s="166"/>
      <c r="B279" s="498"/>
      <c r="C279" s="498"/>
      <c r="D279" s="498"/>
      <c r="E279" s="498"/>
      <c r="F279" s="498"/>
      <c r="G279" s="166"/>
      <c r="H279" s="500"/>
      <c r="I279" s="501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  <c r="AA279" s="166"/>
      <c r="AB279" s="166"/>
      <c r="AC279" s="166"/>
      <c r="AD279" s="166"/>
      <c r="AE279" s="166"/>
      <c r="AF279" s="166"/>
      <c r="AG279" s="166"/>
    </row>
    <row r="280" spans="1:33">
      <c r="A280" s="166"/>
      <c r="B280" s="498"/>
      <c r="C280" s="498"/>
      <c r="D280" s="498"/>
      <c r="E280" s="498"/>
      <c r="F280" s="498"/>
      <c r="G280" s="166"/>
      <c r="H280" s="500"/>
      <c r="I280" s="501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  <c r="AA280" s="166"/>
      <c r="AB280" s="166"/>
      <c r="AC280" s="166"/>
      <c r="AD280" s="166"/>
      <c r="AE280" s="166"/>
      <c r="AF280" s="166"/>
      <c r="AG280" s="166"/>
    </row>
    <row r="281" spans="1:33">
      <c r="A281" s="166"/>
      <c r="B281" s="498"/>
      <c r="C281" s="498"/>
      <c r="D281" s="498"/>
      <c r="E281" s="498"/>
      <c r="F281" s="498"/>
      <c r="G281" s="166"/>
      <c r="H281" s="500"/>
      <c r="I281" s="501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  <c r="AA281" s="166"/>
      <c r="AB281" s="166"/>
      <c r="AC281" s="166"/>
      <c r="AD281" s="166"/>
      <c r="AE281" s="166"/>
      <c r="AF281" s="166"/>
      <c r="AG281" s="166"/>
    </row>
    <row r="282" spans="1:33">
      <c r="A282" s="166"/>
      <c r="B282" s="498"/>
      <c r="C282" s="498"/>
      <c r="D282" s="498"/>
      <c r="E282" s="498"/>
      <c r="F282" s="498"/>
      <c r="G282" s="166"/>
      <c r="H282" s="500"/>
      <c r="I282" s="501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  <c r="AA282" s="166"/>
      <c r="AB282" s="166"/>
      <c r="AC282" s="166"/>
      <c r="AD282" s="166"/>
      <c r="AE282" s="166"/>
      <c r="AF282" s="166"/>
      <c r="AG282" s="166"/>
    </row>
    <row r="283" spans="1:33">
      <c r="A283" s="166"/>
      <c r="B283" s="498"/>
      <c r="C283" s="498"/>
      <c r="D283" s="498"/>
      <c r="E283" s="498"/>
      <c r="F283" s="498"/>
      <c r="G283" s="166"/>
      <c r="H283" s="500"/>
      <c r="I283" s="501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  <c r="AA283" s="166"/>
      <c r="AB283" s="166"/>
      <c r="AC283" s="166"/>
      <c r="AD283" s="166"/>
      <c r="AE283" s="166"/>
      <c r="AF283" s="166"/>
      <c r="AG283" s="166"/>
    </row>
    <row r="284" spans="1:33">
      <c r="A284" s="166"/>
      <c r="B284" s="498"/>
      <c r="C284" s="498"/>
      <c r="D284" s="498"/>
      <c r="E284" s="498"/>
      <c r="F284" s="498"/>
      <c r="G284" s="166"/>
      <c r="H284" s="500"/>
      <c r="I284" s="501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  <c r="AA284" s="166"/>
      <c r="AB284" s="166"/>
      <c r="AC284" s="166"/>
      <c r="AD284" s="166"/>
      <c r="AE284" s="166"/>
      <c r="AF284" s="166"/>
      <c r="AG284" s="166"/>
    </row>
    <row r="285" spans="1:33">
      <c r="A285" s="166"/>
      <c r="B285" s="498"/>
      <c r="C285" s="498"/>
      <c r="D285" s="498"/>
      <c r="E285" s="498"/>
      <c r="F285" s="498"/>
      <c r="G285" s="166"/>
      <c r="H285" s="500"/>
      <c r="I285" s="501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  <c r="AA285" s="166"/>
      <c r="AB285" s="166"/>
      <c r="AC285" s="166"/>
      <c r="AD285" s="166"/>
      <c r="AE285" s="166"/>
      <c r="AF285" s="166"/>
      <c r="AG285" s="166"/>
    </row>
    <row r="286" spans="1:33">
      <c r="A286" s="166"/>
      <c r="B286" s="498"/>
      <c r="C286" s="498"/>
      <c r="D286" s="498"/>
      <c r="E286" s="498"/>
      <c r="F286" s="498"/>
      <c r="G286" s="166"/>
      <c r="H286" s="500"/>
      <c r="I286" s="501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6"/>
    </row>
    <row r="287" spans="1:33">
      <c r="A287" s="166"/>
      <c r="B287" s="498"/>
      <c r="C287" s="498"/>
      <c r="D287" s="498"/>
      <c r="E287" s="498"/>
      <c r="F287" s="498"/>
      <c r="G287" s="166"/>
      <c r="H287" s="500"/>
      <c r="I287" s="501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  <c r="AA287" s="166"/>
      <c r="AB287" s="166"/>
      <c r="AC287" s="166"/>
      <c r="AD287" s="166"/>
      <c r="AE287" s="166"/>
      <c r="AF287" s="166"/>
      <c r="AG287" s="166"/>
    </row>
    <row r="288" spans="1:33">
      <c r="A288" s="166"/>
      <c r="B288" s="498"/>
      <c r="C288" s="498"/>
      <c r="D288" s="498"/>
      <c r="E288" s="498"/>
      <c r="F288" s="498"/>
      <c r="G288" s="166"/>
      <c r="H288" s="500"/>
      <c r="I288" s="501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  <c r="AA288" s="166"/>
      <c r="AB288" s="166"/>
      <c r="AC288" s="166"/>
      <c r="AD288" s="166"/>
      <c r="AE288" s="166"/>
      <c r="AF288" s="166"/>
      <c r="AG288" s="166"/>
    </row>
    <row r="289" spans="1:33">
      <c r="A289" s="166"/>
      <c r="B289" s="498"/>
      <c r="C289" s="498"/>
      <c r="D289" s="498"/>
      <c r="E289" s="498"/>
      <c r="F289" s="498"/>
      <c r="G289" s="166"/>
      <c r="H289" s="500"/>
      <c r="I289" s="501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  <c r="AA289" s="166"/>
      <c r="AB289" s="166"/>
      <c r="AC289" s="166"/>
      <c r="AD289" s="166"/>
      <c r="AE289" s="166"/>
      <c r="AF289" s="166"/>
      <c r="AG289" s="166"/>
    </row>
    <row r="290" spans="1:33">
      <c r="A290" s="166"/>
      <c r="B290" s="498"/>
      <c r="C290" s="498"/>
      <c r="D290" s="498"/>
      <c r="E290" s="498"/>
      <c r="F290" s="498"/>
      <c r="G290" s="166"/>
      <c r="H290" s="500"/>
      <c r="I290" s="501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  <c r="AA290" s="166"/>
      <c r="AB290" s="166"/>
      <c r="AC290" s="166"/>
      <c r="AD290" s="166"/>
      <c r="AE290" s="166"/>
      <c r="AF290" s="166"/>
      <c r="AG290" s="166"/>
    </row>
    <row r="291" spans="1:33">
      <c r="A291" s="166"/>
      <c r="B291" s="498"/>
      <c r="C291" s="498"/>
      <c r="D291" s="498"/>
      <c r="E291" s="498"/>
      <c r="F291" s="498"/>
      <c r="G291" s="166"/>
      <c r="H291" s="500"/>
      <c r="I291" s="501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  <c r="AA291" s="166"/>
      <c r="AB291" s="166"/>
      <c r="AC291" s="166"/>
      <c r="AD291" s="166"/>
      <c r="AE291" s="166"/>
      <c r="AF291" s="166"/>
      <c r="AG291" s="166"/>
    </row>
    <row r="292" spans="1:33">
      <c r="A292" s="166"/>
      <c r="B292" s="498"/>
      <c r="C292" s="498"/>
      <c r="D292" s="498"/>
      <c r="E292" s="498"/>
      <c r="F292" s="498"/>
      <c r="G292" s="166"/>
      <c r="H292" s="500"/>
      <c r="I292" s="501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  <c r="AA292" s="166"/>
      <c r="AB292" s="166"/>
      <c r="AC292" s="166"/>
      <c r="AD292" s="166"/>
      <c r="AE292" s="166"/>
      <c r="AF292" s="166"/>
      <c r="AG292" s="166"/>
    </row>
    <row r="293" spans="1:33">
      <c r="A293" s="166"/>
      <c r="B293" s="498"/>
      <c r="C293" s="498"/>
      <c r="D293" s="498"/>
      <c r="E293" s="498"/>
      <c r="F293" s="498"/>
      <c r="G293" s="166"/>
      <c r="H293" s="500"/>
      <c r="I293" s="501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  <c r="AA293" s="166"/>
      <c r="AB293" s="166"/>
      <c r="AC293" s="166"/>
      <c r="AD293" s="166"/>
      <c r="AE293" s="166"/>
      <c r="AF293" s="166"/>
      <c r="AG293" s="166"/>
    </row>
    <row r="294" spans="1:33">
      <c r="A294" s="166"/>
      <c r="B294" s="498"/>
      <c r="C294" s="498"/>
      <c r="D294" s="498"/>
      <c r="E294" s="498"/>
      <c r="F294" s="498"/>
      <c r="G294" s="166"/>
      <c r="H294" s="500"/>
      <c r="I294" s="501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  <c r="AA294" s="166"/>
      <c r="AB294" s="166"/>
      <c r="AC294" s="166"/>
      <c r="AD294" s="166"/>
      <c r="AE294" s="166"/>
      <c r="AF294" s="166"/>
      <c r="AG294" s="166"/>
    </row>
    <row r="295" spans="1:33">
      <c r="A295" s="166"/>
      <c r="B295" s="498"/>
      <c r="C295" s="498"/>
      <c r="D295" s="498"/>
      <c r="E295" s="498"/>
      <c r="F295" s="498"/>
      <c r="G295" s="166"/>
      <c r="H295" s="500"/>
      <c r="I295" s="501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  <c r="AA295" s="166"/>
      <c r="AB295" s="166"/>
      <c r="AC295" s="166"/>
      <c r="AD295" s="166"/>
      <c r="AE295" s="166"/>
      <c r="AF295" s="166"/>
      <c r="AG295" s="166"/>
    </row>
    <row r="296" spans="1:33">
      <c r="A296" s="166"/>
      <c r="B296" s="498"/>
      <c r="C296" s="498"/>
      <c r="D296" s="498"/>
      <c r="E296" s="498"/>
      <c r="F296" s="498"/>
      <c r="G296" s="166"/>
      <c r="H296" s="500"/>
      <c r="I296" s="501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  <c r="AA296" s="166"/>
      <c r="AB296" s="166"/>
      <c r="AC296" s="166"/>
      <c r="AD296" s="166"/>
      <c r="AE296" s="166"/>
      <c r="AF296" s="166"/>
      <c r="AG296" s="166"/>
    </row>
    <row r="297" spans="1:33">
      <c r="A297" s="166"/>
      <c r="B297" s="498"/>
      <c r="C297" s="498"/>
      <c r="D297" s="498"/>
      <c r="E297" s="498"/>
      <c r="F297" s="498"/>
      <c r="G297" s="166"/>
      <c r="H297" s="500"/>
      <c r="I297" s="501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  <c r="AA297" s="166"/>
      <c r="AB297" s="166"/>
      <c r="AC297" s="166"/>
      <c r="AD297" s="166"/>
      <c r="AE297" s="166"/>
      <c r="AF297" s="166"/>
      <c r="AG297" s="166"/>
    </row>
    <row r="298" spans="1:33">
      <c r="A298" s="166"/>
      <c r="B298" s="498"/>
      <c r="C298" s="498"/>
      <c r="D298" s="498"/>
      <c r="E298" s="498"/>
      <c r="F298" s="498"/>
      <c r="G298" s="166"/>
      <c r="H298" s="500"/>
      <c r="I298" s="501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  <c r="AA298" s="166"/>
      <c r="AB298" s="166"/>
      <c r="AC298" s="166"/>
      <c r="AD298" s="166"/>
      <c r="AE298" s="166"/>
      <c r="AF298" s="166"/>
      <c r="AG298" s="166"/>
    </row>
    <row r="299" spans="1:33">
      <c r="A299" s="166"/>
      <c r="B299" s="498"/>
      <c r="C299" s="498"/>
      <c r="D299" s="498"/>
      <c r="E299" s="498"/>
      <c r="F299" s="498"/>
      <c r="G299" s="166"/>
      <c r="H299" s="500"/>
      <c r="I299" s="501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  <c r="AA299" s="166"/>
      <c r="AB299" s="166"/>
      <c r="AC299" s="166"/>
      <c r="AD299" s="166"/>
      <c r="AE299" s="166"/>
      <c r="AF299" s="166"/>
      <c r="AG299" s="166"/>
    </row>
    <row r="300" spans="1:33">
      <c r="A300" s="166"/>
      <c r="B300" s="498"/>
      <c r="C300" s="498"/>
      <c r="D300" s="498"/>
      <c r="E300" s="498"/>
      <c r="F300" s="498"/>
      <c r="G300" s="166"/>
      <c r="H300" s="500"/>
      <c r="I300" s="501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  <c r="AA300" s="166"/>
      <c r="AB300" s="166"/>
      <c r="AC300" s="166"/>
      <c r="AD300" s="166"/>
      <c r="AE300" s="166"/>
      <c r="AF300" s="166"/>
      <c r="AG300" s="166"/>
    </row>
    <row r="301" spans="1:33">
      <c r="A301" s="166"/>
      <c r="B301" s="498"/>
      <c r="C301" s="498"/>
      <c r="D301" s="498"/>
      <c r="E301" s="498"/>
      <c r="F301" s="498"/>
      <c r="G301" s="166"/>
      <c r="H301" s="500"/>
      <c r="I301" s="501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  <c r="AA301" s="166"/>
      <c r="AB301" s="166"/>
      <c r="AC301" s="166"/>
      <c r="AD301" s="166"/>
      <c r="AE301" s="166"/>
      <c r="AF301" s="166"/>
      <c r="AG301" s="166"/>
    </row>
    <row r="302" spans="1:33">
      <c r="A302" s="166"/>
      <c r="B302" s="498"/>
      <c r="C302" s="498"/>
      <c r="D302" s="498"/>
      <c r="E302" s="498"/>
      <c r="F302" s="498"/>
      <c r="G302" s="166"/>
      <c r="H302" s="500"/>
      <c r="I302" s="501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  <c r="AA302" s="166"/>
      <c r="AB302" s="166"/>
      <c r="AC302" s="166"/>
      <c r="AD302" s="166"/>
      <c r="AE302" s="166"/>
      <c r="AF302" s="166"/>
      <c r="AG302" s="166"/>
    </row>
    <row r="303" spans="1:33">
      <c r="A303" s="166"/>
      <c r="B303" s="498"/>
      <c r="C303" s="498"/>
      <c r="D303" s="498"/>
      <c r="E303" s="498"/>
      <c r="F303" s="498"/>
      <c r="G303" s="166"/>
      <c r="H303" s="500"/>
      <c r="I303" s="501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  <c r="AA303" s="166"/>
      <c r="AB303" s="166"/>
      <c r="AC303" s="166"/>
      <c r="AD303" s="166"/>
      <c r="AE303" s="166"/>
      <c r="AF303" s="166"/>
      <c r="AG303" s="166"/>
    </row>
    <row r="304" spans="1:33">
      <c r="A304" s="166"/>
      <c r="B304" s="498"/>
      <c r="C304" s="498"/>
      <c r="D304" s="498"/>
      <c r="E304" s="498"/>
      <c r="F304" s="498"/>
      <c r="G304" s="166"/>
      <c r="H304" s="500"/>
      <c r="I304" s="501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  <c r="AA304" s="166"/>
      <c r="AB304" s="166"/>
      <c r="AC304" s="166"/>
      <c r="AD304" s="166"/>
      <c r="AE304" s="166"/>
      <c r="AF304" s="166"/>
      <c r="AG304" s="166"/>
    </row>
    <row r="305" spans="1:33">
      <c r="A305" s="166"/>
      <c r="B305" s="498"/>
      <c r="C305" s="498"/>
      <c r="D305" s="498"/>
      <c r="E305" s="498"/>
      <c r="F305" s="498"/>
      <c r="G305" s="166"/>
      <c r="H305" s="500"/>
      <c r="I305" s="501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  <c r="AA305" s="166"/>
      <c r="AB305" s="166"/>
      <c r="AC305" s="166"/>
      <c r="AD305" s="166"/>
      <c r="AE305" s="166"/>
      <c r="AF305" s="166"/>
      <c r="AG305" s="166"/>
    </row>
    <row r="306" spans="1:33">
      <c r="A306" s="166"/>
      <c r="B306" s="498"/>
      <c r="C306" s="498"/>
      <c r="D306" s="498"/>
      <c r="E306" s="498"/>
      <c r="F306" s="498"/>
      <c r="G306" s="166"/>
      <c r="H306" s="500"/>
      <c r="I306" s="501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  <c r="AA306" s="166"/>
      <c r="AB306" s="166"/>
      <c r="AC306" s="166"/>
      <c r="AD306" s="166"/>
      <c r="AE306" s="166"/>
      <c r="AF306" s="166"/>
      <c r="AG306" s="166"/>
    </row>
    <row r="307" spans="1:33">
      <c r="A307" s="166"/>
      <c r="B307" s="498"/>
      <c r="C307" s="498"/>
      <c r="D307" s="498"/>
      <c r="E307" s="498"/>
      <c r="F307" s="498"/>
      <c r="G307" s="166"/>
      <c r="H307" s="500"/>
      <c r="I307" s="501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  <c r="AA307" s="166"/>
      <c r="AB307" s="166"/>
      <c r="AC307" s="166"/>
      <c r="AD307" s="166"/>
      <c r="AE307" s="166"/>
      <c r="AF307" s="166"/>
      <c r="AG307" s="166"/>
    </row>
    <row r="308" spans="1:33">
      <c r="A308" s="166"/>
      <c r="B308" s="498"/>
      <c r="C308" s="498"/>
      <c r="D308" s="498"/>
      <c r="E308" s="498"/>
      <c r="F308" s="498"/>
      <c r="G308" s="166"/>
      <c r="H308" s="500"/>
      <c r="I308" s="501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  <c r="AA308" s="166"/>
      <c r="AB308" s="166"/>
      <c r="AC308" s="166"/>
      <c r="AD308" s="166"/>
      <c r="AE308" s="166"/>
      <c r="AF308" s="166"/>
      <c r="AG308" s="166"/>
    </row>
    <row r="309" spans="1:33">
      <c r="A309" s="166"/>
      <c r="B309" s="498"/>
      <c r="C309" s="498"/>
      <c r="D309" s="498"/>
      <c r="E309" s="498"/>
      <c r="F309" s="498"/>
      <c r="G309" s="166"/>
      <c r="H309" s="500"/>
      <c r="I309" s="501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  <c r="AA309" s="166"/>
      <c r="AB309" s="166"/>
      <c r="AC309" s="166"/>
      <c r="AD309" s="166"/>
      <c r="AE309" s="166"/>
      <c r="AF309" s="166"/>
      <c r="AG309" s="166"/>
    </row>
    <row r="310" spans="1:33">
      <c r="A310" s="166"/>
      <c r="B310" s="498"/>
      <c r="C310" s="498"/>
      <c r="D310" s="498"/>
      <c r="E310" s="498"/>
      <c r="F310" s="498"/>
      <c r="G310" s="166"/>
      <c r="H310" s="500"/>
      <c r="I310" s="501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  <c r="AA310" s="166"/>
      <c r="AB310" s="166"/>
      <c r="AC310" s="166"/>
      <c r="AD310" s="166"/>
      <c r="AE310" s="166"/>
      <c r="AF310" s="166"/>
      <c r="AG310" s="166"/>
    </row>
    <row r="311" spans="1:33">
      <c r="A311" s="166"/>
      <c r="B311" s="498"/>
      <c r="C311" s="498"/>
      <c r="D311" s="498"/>
      <c r="E311" s="498"/>
      <c r="F311" s="498"/>
      <c r="G311" s="166"/>
      <c r="H311" s="500"/>
      <c r="I311" s="501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  <c r="AA311" s="166"/>
      <c r="AB311" s="166"/>
      <c r="AC311" s="166"/>
      <c r="AD311" s="166"/>
      <c r="AE311" s="166"/>
      <c r="AF311" s="166"/>
      <c r="AG311" s="166"/>
    </row>
    <row r="312" spans="1:33">
      <c r="A312" s="166"/>
      <c r="B312" s="498"/>
      <c r="C312" s="498"/>
      <c r="D312" s="498"/>
      <c r="E312" s="498"/>
      <c r="F312" s="498"/>
      <c r="G312" s="166"/>
      <c r="H312" s="500"/>
      <c r="I312" s="501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  <c r="AA312" s="166"/>
      <c r="AB312" s="166"/>
      <c r="AC312" s="166"/>
      <c r="AD312" s="166"/>
      <c r="AE312" s="166"/>
      <c r="AF312" s="166"/>
      <c r="AG312" s="166"/>
    </row>
    <row r="313" spans="1:33">
      <c r="A313" s="166"/>
      <c r="B313" s="498"/>
      <c r="C313" s="498"/>
      <c r="D313" s="498"/>
      <c r="E313" s="498"/>
      <c r="F313" s="498"/>
      <c r="G313" s="166"/>
      <c r="H313" s="500"/>
      <c r="I313" s="501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6"/>
      <c r="AG313" s="166"/>
    </row>
    <row r="314" spans="1:33">
      <c r="A314" s="166"/>
      <c r="B314" s="498"/>
      <c r="C314" s="498"/>
      <c r="D314" s="498"/>
      <c r="E314" s="498"/>
      <c r="F314" s="498"/>
      <c r="G314" s="166"/>
      <c r="H314" s="500"/>
      <c r="I314" s="501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  <c r="AA314" s="166"/>
      <c r="AB314" s="166"/>
      <c r="AC314" s="166"/>
      <c r="AD314" s="166"/>
      <c r="AE314" s="166"/>
      <c r="AF314" s="166"/>
      <c r="AG314" s="166"/>
    </row>
    <row r="315" spans="1:33">
      <c r="A315" s="166"/>
      <c r="B315" s="498"/>
      <c r="C315" s="498"/>
      <c r="D315" s="498"/>
      <c r="E315" s="498"/>
      <c r="F315" s="498"/>
      <c r="G315" s="166"/>
      <c r="H315" s="500"/>
      <c r="I315" s="501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  <c r="AA315" s="166"/>
      <c r="AB315" s="166"/>
      <c r="AC315" s="166"/>
      <c r="AD315" s="166"/>
      <c r="AE315" s="166"/>
      <c r="AF315" s="166"/>
      <c r="AG315" s="166"/>
    </row>
    <row r="316" spans="1:33">
      <c r="A316" s="166"/>
      <c r="B316" s="498"/>
      <c r="C316" s="498"/>
      <c r="D316" s="498"/>
      <c r="E316" s="498"/>
      <c r="F316" s="498"/>
      <c r="G316" s="166"/>
      <c r="H316" s="500"/>
      <c r="I316" s="501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  <c r="AA316" s="166"/>
      <c r="AB316" s="166"/>
      <c r="AC316" s="166"/>
      <c r="AD316" s="166"/>
      <c r="AE316" s="166"/>
      <c r="AF316" s="166"/>
      <c r="AG316" s="166"/>
    </row>
    <row r="317" spans="1:33">
      <c r="A317" s="166"/>
      <c r="B317" s="498"/>
      <c r="C317" s="498"/>
      <c r="D317" s="498"/>
      <c r="E317" s="498"/>
      <c r="F317" s="498"/>
      <c r="G317" s="166"/>
      <c r="H317" s="500"/>
      <c r="I317" s="501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  <c r="AA317" s="166"/>
      <c r="AB317" s="166"/>
      <c r="AC317" s="166"/>
      <c r="AD317" s="166"/>
      <c r="AE317" s="166"/>
      <c r="AF317" s="166"/>
      <c r="AG317" s="166"/>
    </row>
    <row r="318" spans="1:33">
      <c r="A318" s="166"/>
      <c r="B318" s="498"/>
      <c r="C318" s="498"/>
      <c r="D318" s="498"/>
      <c r="E318" s="498"/>
      <c r="F318" s="498"/>
      <c r="G318" s="166"/>
      <c r="H318" s="500"/>
      <c r="I318" s="501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  <c r="AA318" s="166"/>
      <c r="AB318" s="166"/>
      <c r="AC318" s="166"/>
      <c r="AD318" s="166"/>
      <c r="AE318" s="166"/>
      <c r="AF318" s="166"/>
      <c r="AG318" s="166"/>
    </row>
    <row r="319" spans="1:33">
      <c r="A319" s="166"/>
      <c r="B319" s="498"/>
      <c r="C319" s="498"/>
      <c r="D319" s="498"/>
      <c r="E319" s="498"/>
      <c r="F319" s="498"/>
      <c r="G319" s="166"/>
      <c r="H319" s="500"/>
      <c r="I319" s="501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  <c r="AA319" s="166"/>
      <c r="AB319" s="166"/>
      <c r="AC319" s="166"/>
      <c r="AD319" s="166"/>
      <c r="AE319" s="166"/>
      <c r="AF319" s="166"/>
      <c r="AG319" s="166"/>
    </row>
    <row r="320" spans="1:33">
      <c r="A320" s="166"/>
      <c r="B320" s="498"/>
      <c r="C320" s="498"/>
      <c r="D320" s="498"/>
      <c r="E320" s="498"/>
      <c r="F320" s="498"/>
      <c r="G320" s="166"/>
      <c r="H320" s="500"/>
      <c r="I320" s="501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  <c r="AA320" s="166"/>
      <c r="AB320" s="166"/>
      <c r="AC320" s="166"/>
      <c r="AD320" s="166"/>
      <c r="AE320" s="166"/>
      <c r="AF320" s="166"/>
      <c r="AG320" s="166"/>
    </row>
    <row r="321" spans="1:33">
      <c r="A321" s="166"/>
      <c r="B321" s="498"/>
      <c r="C321" s="498"/>
      <c r="D321" s="498"/>
      <c r="E321" s="498"/>
      <c r="F321" s="498"/>
      <c r="G321" s="166"/>
      <c r="H321" s="500"/>
      <c r="I321" s="501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  <c r="AA321" s="166"/>
      <c r="AB321" s="166"/>
      <c r="AC321" s="166"/>
      <c r="AD321" s="166"/>
      <c r="AE321" s="166"/>
      <c r="AF321" s="166"/>
      <c r="AG321" s="166"/>
    </row>
    <row r="322" spans="1:33">
      <c r="A322" s="166"/>
      <c r="B322" s="498"/>
      <c r="C322" s="498"/>
      <c r="D322" s="498"/>
      <c r="E322" s="498"/>
      <c r="F322" s="498"/>
      <c r="G322" s="166"/>
      <c r="H322" s="500"/>
      <c r="I322" s="501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  <c r="AA322" s="166"/>
      <c r="AB322" s="166"/>
      <c r="AC322" s="166"/>
      <c r="AD322" s="166"/>
      <c r="AE322" s="166"/>
      <c r="AF322" s="166"/>
      <c r="AG322" s="166"/>
    </row>
    <row r="323" spans="1:33">
      <c r="A323" s="166"/>
      <c r="B323" s="498"/>
      <c r="C323" s="498"/>
      <c r="D323" s="498"/>
      <c r="E323" s="498"/>
      <c r="F323" s="498"/>
      <c r="G323" s="166"/>
      <c r="H323" s="500"/>
      <c r="I323" s="501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  <c r="AA323" s="166"/>
      <c r="AB323" s="166"/>
      <c r="AC323" s="166"/>
      <c r="AD323" s="166"/>
      <c r="AE323" s="166"/>
      <c r="AF323" s="166"/>
      <c r="AG323" s="166"/>
    </row>
    <row r="324" spans="1:33">
      <c r="A324" s="166"/>
      <c r="B324" s="498"/>
      <c r="C324" s="498"/>
      <c r="D324" s="498"/>
      <c r="E324" s="498"/>
      <c r="F324" s="498"/>
      <c r="G324" s="166"/>
      <c r="H324" s="500"/>
      <c r="I324" s="501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  <c r="AA324" s="166"/>
      <c r="AB324" s="166"/>
      <c r="AC324" s="166"/>
      <c r="AD324" s="166"/>
      <c r="AE324" s="166"/>
      <c r="AF324" s="166"/>
      <c r="AG324" s="166"/>
    </row>
    <row r="325" spans="1:33">
      <c r="A325" s="166"/>
      <c r="B325" s="498"/>
      <c r="C325" s="498"/>
      <c r="D325" s="498"/>
      <c r="E325" s="498"/>
      <c r="F325" s="498"/>
      <c r="G325" s="166"/>
      <c r="H325" s="500"/>
      <c r="I325" s="501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6"/>
    </row>
    <row r="326" spans="1:33">
      <c r="A326" s="166"/>
      <c r="B326" s="498"/>
      <c r="C326" s="498"/>
      <c r="D326" s="498"/>
      <c r="E326" s="498"/>
      <c r="F326" s="498"/>
      <c r="G326" s="166"/>
      <c r="H326" s="500"/>
      <c r="I326" s="501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  <c r="AA326" s="166"/>
      <c r="AB326" s="166"/>
      <c r="AC326" s="166"/>
      <c r="AD326" s="166"/>
      <c r="AE326" s="166"/>
      <c r="AF326" s="166"/>
      <c r="AG326" s="166"/>
    </row>
    <row r="327" spans="1:33">
      <c r="A327" s="166"/>
      <c r="B327" s="498"/>
      <c r="C327" s="498"/>
      <c r="D327" s="498"/>
      <c r="E327" s="498"/>
      <c r="F327" s="498"/>
      <c r="G327" s="166"/>
      <c r="H327" s="500"/>
      <c r="I327" s="501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  <c r="AA327" s="166"/>
      <c r="AB327" s="166"/>
      <c r="AC327" s="166"/>
      <c r="AD327" s="166"/>
      <c r="AE327" s="166"/>
      <c r="AF327" s="166"/>
      <c r="AG327" s="166"/>
    </row>
    <row r="328" spans="1:33">
      <c r="A328" s="166"/>
      <c r="B328" s="498"/>
      <c r="C328" s="498"/>
      <c r="D328" s="498"/>
      <c r="E328" s="498"/>
      <c r="F328" s="498"/>
      <c r="G328" s="166"/>
      <c r="H328" s="500"/>
      <c r="I328" s="501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  <c r="AA328" s="166"/>
      <c r="AB328" s="166"/>
      <c r="AC328" s="166"/>
      <c r="AD328" s="166"/>
      <c r="AE328" s="166"/>
      <c r="AF328" s="166"/>
      <c r="AG328" s="166"/>
    </row>
    <row r="329" spans="1:33">
      <c r="A329" s="166"/>
      <c r="B329" s="498"/>
      <c r="C329" s="498"/>
      <c r="D329" s="498"/>
      <c r="E329" s="498"/>
      <c r="F329" s="498"/>
      <c r="G329" s="166"/>
      <c r="H329" s="500"/>
      <c r="I329" s="501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  <c r="AA329" s="166"/>
      <c r="AB329" s="166"/>
      <c r="AC329" s="166"/>
      <c r="AD329" s="166"/>
      <c r="AE329" s="166"/>
      <c r="AF329" s="166"/>
      <c r="AG329" s="166"/>
    </row>
    <row r="330" spans="1:33">
      <c r="A330" s="166"/>
      <c r="B330" s="498"/>
      <c r="C330" s="498"/>
      <c r="D330" s="498"/>
      <c r="E330" s="498"/>
      <c r="F330" s="498"/>
      <c r="G330" s="166"/>
      <c r="H330" s="500"/>
      <c r="I330" s="501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  <c r="AA330" s="166"/>
      <c r="AB330" s="166"/>
      <c r="AC330" s="166"/>
      <c r="AD330" s="166"/>
      <c r="AE330" s="166"/>
      <c r="AF330" s="166"/>
      <c r="AG330" s="166"/>
    </row>
    <row r="331" spans="1:33">
      <c r="A331" s="166"/>
      <c r="B331" s="498"/>
      <c r="C331" s="498"/>
      <c r="D331" s="498"/>
      <c r="E331" s="498"/>
      <c r="F331" s="498"/>
      <c r="G331" s="166"/>
      <c r="H331" s="500"/>
      <c r="I331" s="501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  <c r="AA331" s="166"/>
      <c r="AB331" s="166"/>
      <c r="AC331" s="166"/>
      <c r="AD331" s="166"/>
      <c r="AE331" s="166"/>
      <c r="AF331" s="166"/>
      <c r="AG331" s="166"/>
    </row>
    <row r="332" spans="1:33">
      <c r="A332" s="166"/>
      <c r="B332" s="498"/>
      <c r="C332" s="498"/>
      <c r="D332" s="498"/>
      <c r="E332" s="498"/>
      <c r="F332" s="498"/>
      <c r="G332" s="166"/>
      <c r="H332" s="500"/>
      <c r="I332" s="501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  <c r="AA332" s="166"/>
      <c r="AB332" s="166"/>
      <c r="AC332" s="166"/>
      <c r="AD332" s="166"/>
      <c r="AE332" s="166"/>
      <c r="AF332" s="166"/>
      <c r="AG332" s="166"/>
    </row>
    <row r="333" spans="1:33">
      <c r="A333" s="166"/>
      <c r="B333" s="498"/>
      <c r="C333" s="498"/>
      <c r="D333" s="498"/>
      <c r="E333" s="498"/>
      <c r="F333" s="498"/>
      <c r="G333" s="166"/>
      <c r="H333" s="500"/>
      <c r="I333" s="501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  <c r="AA333" s="166"/>
      <c r="AB333" s="166"/>
      <c r="AC333" s="166"/>
      <c r="AD333" s="166"/>
      <c r="AE333" s="166"/>
      <c r="AF333" s="166"/>
      <c r="AG333" s="166"/>
    </row>
    <row r="334" spans="1:33">
      <c r="A334" s="166"/>
      <c r="B334" s="498"/>
      <c r="C334" s="498"/>
      <c r="D334" s="498"/>
      <c r="E334" s="498"/>
      <c r="F334" s="498"/>
      <c r="G334" s="166"/>
      <c r="H334" s="500"/>
      <c r="I334" s="501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  <c r="AA334" s="166"/>
      <c r="AB334" s="166"/>
      <c r="AC334" s="166"/>
      <c r="AD334" s="166"/>
      <c r="AE334" s="166"/>
      <c r="AF334" s="166"/>
      <c r="AG334" s="166"/>
    </row>
    <row r="335" spans="1:33">
      <c r="A335" s="166"/>
      <c r="B335" s="498"/>
      <c r="C335" s="498"/>
      <c r="D335" s="498"/>
      <c r="E335" s="498"/>
      <c r="F335" s="498"/>
      <c r="G335" s="166"/>
      <c r="H335" s="500"/>
      <c r="I335" s="501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  <c r="AA335" s="166"/>
      <c r="AB335" s="166"/>
      <c r="AC335" s="166"/>
      <c r="AD335" s="166"/>
      <c r="AE335" s="166"/>
      <c r="AF335" s="166"/>
      <c r="AG335" s="166"/>
    </row>
    <row r="336" spans="1:33">
      <c r="A336" s="166"/>
      <c r="B336" s="498"/>
      <c r="C336" s="498"/>
      <c r="D336" s="498"/>
      <c r="E336" s="498"/>
      <c r="F336" s="498"/>
      <c r="G336" s="166"/>
      <c r="H336" s="500"/>
      <c r="I336" s="501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  <c r="AA336" s="166"/>
      <c r="AB336" s="166"/>
      <c r="AC336" s="166"/>
      <c r="AD336" s="166"/>
      <c r="AE336" s="166"/>
      <c r="AF336" s="166"/>
      <c r="AG336" s="166"/>
    </row>
    <row r="337" spans="1:33">
      <c r="A337" s="166"/>
      <c r="B337" s="498"/>
      <c r="C337" s="498"/>
      <c r="D337" s="498"/>
      <c r="E337" s="498"/>
      <c r="F337" s="498"/>
      <c r="G337" s="166"/>
      <c r="H337" s="500"/>
      <c r="I337" s="501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  <c r="AA337" s="166"/>
      <c r="AB337" s="166"/>
      <c r="AC337" s="166"/>
      <c r="AD337" s="166"/>
      <c r="AE337" s="166"/>
      <c r="AF337" s="166"/>
      <c r="AG337" s="166"/>
    </row>
    <row r="338" spans="1:33">
      <c r="A338" s="166"/>
      <c r="B338" s="498"/>
      <c r="C338" s="498"/>
      <c r="D338" s="498"/>
      <c r="E338" s="498"/>
      <c r="F338" s="498"/>
      <c r="G338" s="166"/>
      <c r="H338" s="500"/>
      <c r="I338" s="501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  <c r="AA338" s="166"/>
      <c r="AB338" s="166"/>
      <c r="AC338" s="166"/>
      <c r="AD338" s="166"/>
      <c r="AE338" s="166"/>
      <c r="AF338" s="166"/>
      <c r="AG338" s="166"/>
    </row>
    <row r="339" spans="1:33">
      <c r="A339" s="166"/>
      <c r="B339" s="498"/>
      <c r="C339" s="498"/>
      <c r="D339" s="498"/>
      <c r="E339" s="498"/>
      <c r="F339" s="498"/>
      <c r="G339" s="166"/>
      <c r="H339" s="500"/>
      <c r="I339" s="501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6"/>
    </row>
    <row r="340" spans="1:33">
      <c r="A340" s="166"/>
      <c r="B340" s="498"/>
      <c r="C340" s="498"/>
      <c r="D340" s="498"/>
      <c r="E340" s="498"/>
      <c r="F340" s="498"/>
      <c r="G340" s="166"/>
      <c r="H340" s="500"/>
      <c r="I340" s="501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  <c r="AA340" s="166"/>
      <c r="AB340" s="166"/>
      <c r="AC340" s="166"/>
      <c r="AD340" s="166"/>
      <c r="AE340" s="166"/>
      <c r="AF340" s="166"/>
      <c r="AG340" s="166"/>
    </row>
    <row r="341" spans="1:33">
      <c r="A341" s="166"/>
      <c r="B341" s="498"/>
      <c r="C341" s="498"/>
      <c r="D341" s="498"/>
      <c r="E341" s="498"/>
      <c r="F341" s="498"/>
      <c r="G341" s="166"/>
      <c r="H341" s="500"/>
      <c r="I341" s="501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  <c r="AA341" s="166"/>
      <c r="AB341" s="166"/>
      <c r="AC341" s="166"/>
      <c r="AD341" s="166"/>
      <c r="AE341" s="166"/>
      <c r="AF341" s="166"/>
      <c r="AG341" s="166"/>
    </row>
    <row r="342" spans="1:33">
      <c r="A342" s="166"/>
      <c r="B342" s="498"/>
      <c r="C342" s="498"/>
      <c r="D342" s="498"/>
      <c r="E342" s="498"/>
      <c r="F342" s="498"/>
      <c r="G342" s="166"/>
      <c r="H342" s="500"/>
      <c r="I342" s="501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  <c r="AB342" s="166"/>
      <c r="AC342" s="166"/>
      <c r="AD342" s="166"/>
      <c r="AE342" s="166"/>
      <c r="AF342" s="166"/>
      <c r="AG342" s="166"/>
    </row>
    <row r="343" spans="1:33">
      <c r="A343" s="166"/>
      <c r="B343" s="498"/>
      <c r="C343" s="498"/>
      <c r="D343" s="498"/>
      <c r="E343" s="498"/>
      <c r="F343" s="498"/>
      <c r="G343" s="166"/>
      <c r="H343" s="500"/>
      <c r="I343" s="501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  <c r="AA343" s="166"/>
      <c r="AB343" s="166"/>
      <c r="AC343" s="166"/>
      <c r="AD343" s="166"/>
      <c r="AE343" s="166"/>
      <c r="AF343" s="166"/>
      <c r="AG343" s="166"/>
    </row>
    <row r="344" spans="1:33">
      <c r="A344" s="166"/>
      <c r="B344" s="498"/>
      <c r="C344" s="498"/>
      <c r="D344" s="498"/>
      <c r="E344" s="498"/>
      <c r="F344" s="498"/>
      <c r="G344" s="166"/>
      <c r="H344" s="500"/>
      <c r="I344" s="501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  <c r="AA344" s="166"/>
      <c r="AB344" s="166"/>
      <c r="AC344" s="166"/>
      <c r="AD344" s="166"/>
      <c r="AE344" s="166"/>
      <c r="AF344" s="166"/>
      <c r="AG344" s="166"/>
    </row>
    <row r="345" spans="1:33">
      <c r="A345" s="166"/>
      <c r="B345" s="498"/>
      <c r="C345" s="498"/>
      <c r="D345" s="498"/>
      <c r="E345" s="498"/>
      <c r="F345" s="498"/>
      <c r="G345" s="166"/>
      <c r="H345" s="500"/>
      <c r="I345" s="501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  <c r="AA345" s="166"/>
      <c r="AB345" s="166"/>
      <c r="AC345" s="166"/>
      <c r="AD345" s="166"/>
      <c r="AE345" s="166"/>
      <c r="AF345" s="166"/>
      <c r="AG345" s="166"/>
    </row>
    <row r="346" spans="1:33">
      <c r="A346" s="166"/>
      <c r="B346" s="498"/>
      <c r="C346" s="498"/>
      <c r="D346" s="498"/>
      <c r="E346" s="498"/>
      <c r="F346" s="498"/>
      <c r="G346" s="166"/>
      <c r="H346" s="500"/>
      <c r="I346" s="501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  <c r="AA346" s="166"/>
      <c r="AB346" s="166"/>
      <c r="AC346" s="166"/>
      <c r="AD346" s="166"/>
      <c r="AE346" s="166"/>
      <c r="AF346" s="166"/>
      <c r="AG346" s="166"/>
    </row>
    <row r="347" spans="1:33">
      <c r="A347" s="166"/>
      <c r="B347" s="498"/>
      <c r="C347" s="498"/>
      <c r="D347" s="498"/>
      <c r="E347" s="498"/>
      <c r="F347" s="498"/>
      <c r="G347" s="166"/>
      <c r="H347" s="500"/>
      <c r="I347" s="501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  <c r="AA347" s="166"/>
      <c r="AB347" s="166"/>
      <c r="AC347" s="166"/>
      <c r="AD347" s="166"/>
      <c r="AE347" s="166"/>
      <c r="AF347" s="166"/>
      <c r="AG347" s="166"/>
    </row>
    <row r="348" spans="1:33">
      <c r="A348" s="166"/>
      <c r="B348" s="498"/>
      <c r="C348" s="498"/>
      <c r="D348" s="498"/>
      <c r="E348" s="498"/>
      <c r="F348" s="498"/>
      <c r="G348" s="166"/>
      <c r="H348" s="500"/>
      <c r="I348" s="501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  <c r="AA348" s="166"/>
      <c r="AB348" s="166"/>
      <c r="AC348" s="166"/>
      <c r="AD348" s="166"/>
      <c r="AE348" s="166"/>
      <c r="AF348" s="166"/>
      <c r="AG348" s="166"/>
    </row>
    <row r="349" spans="1:33">
      <c r="A349" s="166"/>
      <c r="B349" s="498"/>
      <c r="C349" s="498"/>
      <c r="D349" s="498"/>
      <c r="E349" s="498"/>
      <c r="F349" s="498"/>
      <c r="G349" s="166"/>
      <c r="H349" s="500"/>
      <c r="I349" s="501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  <c r="AA349" s="166"/>
      <c r="AB349" s="166"/>
      <c r="AC349" s="166"/>
      <c r="AD349" s="166"/>
      <c r="AE349" s="166"/>
      <c r="AF349" s="166"/>
      <c r="AG349" s="166"/>
    </row>
    <row r="350" spans="1:33">
      <c r="A350" s="166"/>
      <c r="B350" s="498"/>
      <c r="C350" s="498"/>
      <c r="D350" s="498"/>
      <c r="E350" s="498"/>
      <c r="F350" s="498"/>
      <c r="G350" s="166"/>
      <c r="H350" s="500"/>
      <c r="I350" s="501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  <c r="AA350" s="166"/>
      <c r="AB350" s="166"/>
      <c r="AC350" s="166"/>
      <c r="AD350" s="166"/>
      <c r="AE350" s="166"/>
      <c r="AF350" s="166"/>
      <c r="AG350" s="166"/>
    </row>
    <row r="351" spans="1:33">
      <c r="A351" s="166"/>
      <c r="B351" s="498"/>
      <c r="C351" s="498"/>
      <c r="D351" s="498"/>
      <c r="E351" s="498"/>
      <c r="F351" s="498"/>
      <c r="G351" s="166"/>
      <c r="H351" s="500"/>
      <c r="I351" s="501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  <c r="AA351" s="166"/>
      <c r="AB351" s="166"/>
      <c r="AC351" s="166"/>
      <c r="AD351" s="166"/>
      <c r="AE351" s="166"/>
      <c r="AF351" s="166"/>
      <c r="AG351" s="166"/>
    </row>
    <row r="352" spans="1:33">
      <c r="A352" s="166"/>
      <c r="B352" s="498"/>
      <c r="C352" s="498"/>
      <c r="D352" s="498"/>
      <c r="E352" s="498"/>
      <c r="F352" s="498"/>
      <c r="G352" s="166"/>
      <c r="H352" s="500"/>
      <c r="I352" s="501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  <c r="AA352" s="166"/>
      <c r="AB352" s="166"/>
      <c r="AC352" s="166"/>
      <c r="AD352" s="166"/>
      <c r="AE352" s="166"/>
      <c r="AF352" s="166"/>
      <c r="AG352" s="166"/>
    </row>
    <row r="353" spans="1:33">
      <c r="A353" s="166"/>
      <c r="B353" s="498"/>
      <c r="C353" s="498"/>
      <c r="D353" s="498"/>
      <c r="E353" s="498"/>
      <c r="F353" s="498"/>
      <c r="G353" s="166"/>
      <c r="H353" s="500"/>
      <c r="I353" s="501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  <c r="AA353" s="166"/>
      <c r="AB353" s="166"/>
      <c r="AC353" s="166"/>
      <c r="AD353" s="166"/>
      <c r="AE353" s="166"/>
      <c r="AF353" s="166"/>
      <c r="AG353" s="166"/>
    </row>
    <row r="354" spans="1:33">
      <c r="A354" s="166"/>
      <c r="B354" s="498"/>
      <c r="C354" s="498"/>
      <c r="D354" s="498"/>
      <c r="E354" s="498"/>
      <c r="F354" s="498"/>
      <c r="G354" s="166"/>
      <c r="H354" s="500"/>
      <c r="I354" s="501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  <c r="AA354" s="166"/>
      <c r="AB354" s="166"/>
      <c r="AC354" s="166"/>
      <c r="AD354" s="166"/>
      <c r="AE354" s="166"/>
      <c r="AF354" s="166"/>
      <c r="AG354" s="166"/>
    </row>
    <row r="355" spans="1:33">
      <c r="A355" s="166"/>
      <c r="B355" s="498"/>
      <c r="C355" s="498"/>
      <c r="D355" s="498"/>
      <c r="E355" s="498"/>
      <c r="F355" s="498"/>
      <c r="G355" s="166"/>
      <c r="H355" s="500"/>
      <c r="I355" s="501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  <c r="AA355" s="166"/>
      <c r="AB355" s="166"/>
      <c r="AC355" s="166"/>
      <c r="AD355" s="166"/>
      <c r="AE355" s="166"/>
      <c r="AF355" s="166"/>
      <c r="AG355" s="166"/>
    </row>
    <row r="356" spans="1:33">
      <c r="A356" s="166"/>
      <c r="B356" s="498"/>
      <c r="C356" s="498"/>
      <c r="D356" s="498"/>
      <c r="E356" s="498"/>
      <c r="F356" s="498"/>
      <c r="G356" s="166"/>
      <c r="H356" s="500"/>
      <c r="I356" s="501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  <c r="AA356" s="166"/>
      <c r="AB356" s="166"/>
      <c r="AC356" s="166"/>
      <c r="AD356" s="166"/>
      <c r="AE356" s="166"/>
      <c r="AF356" s="166"/>
      <c r="AG356" s="166"/>
    </row>
    <row r="357" spans="1:33">
      <c r="A357" s="166"/>
      <c r="B357" s="498"/>
      <c r="C357" s="498"/>
      <c r="D357" s="498"/>
      <c r="E357" s="498"/>
      <c r="F357" s="498"/>
      <c r="G357" s="166"/>
      <c r="H357" s="500"/>
      <c r="I357" s="501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  <c r="AA357" s="166"/>
      <c r="AB357" s="166"/>
      <c r="AC357" s="166"/>
      <c r="AD357" s="166"/>
      <c r="AE357" s="166"/>
      <c r="AF357" s="166"/>
      <c r="AG357" s="166"/>
    </row>
    <row r="358" spans="1:33">
      <c r="A358" s="166"/>
      <c r="B358" s="498"/>
      <c r="C358" s="498"/>
      <c r="D358" s="498"/>
      <c r="E358" s="498"/>
      <c r="F358" s="498"/>
      <c r="G358" s="166"/>
      <c r="H358" s="500"/>
      <c r="I358" s="501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  <c r="AA358" s="166"/>
      <c r="AB358" s="166"/>
      <c r="AC358" s="166"/>
      <c r="AD358" s="166"/>
      <c r="AE358" s="166"/>
      <c r="AF358" s="166"/>
      <c r="AG358" s="166"/>
    </row>
    <row r="359" spans="1:33">
      <c r="A359" s="166"/>
      <c r="B359" s="498"/>
      <c r="C359" s="498"/>
      <c r="D359" s="498"/>
      <c r="E359" s="498"/>
      <c r="F359" s="498"/>
      <c r="G359" s="166"/>
      <c r="H359" s="500"/>
      <c r="I359" s="501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  <c r="AA359" s="166"/>
      <c r="AB359" s="166"/>
      <c r="AC359" s="166"/>
      <c r="AD359" s="166"/>
      <c r="AE359" s="166"/>
      <c r="AF359" s="166"/>
      <c r="AG359" s="166"/>
    </row>
    <row r="360" spans="1:33">
      <c r="A360" s="166"/>
      <c r="B360" s="498"/>
      <c r="C360" s="498"/>
      <c r="D360" s="498"/>
      <c r="E360" s="498"/>
      <c r="F360" s="498"/>
      <c r="G360" s="166"/>
      <c r="H360" s="500"/>
      <c r="I360" s="501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  <c r="AA360" s="166"/>
      <c r="AB360" s="166"/>
      <c r="AC360" s="166"/>
      <c r="AD360" s="166"/>
      <c r="AE360" s="166"/>
      <c r="AF360" s="166"/>
      <c r="AG360" s="166"/>
    </row>
    <row r="361" spans="1:33">
      <c r="A361" s="166"/>
      <c r="B361" s="498"/>
      <c r="C361" s="498"/>
      <c r="D361" s="498"/>
      <c r="E361" s="498"/>
      <c r="F361" s="498"/>
      <c r="G361" s="166"/>
      <c r="H361" s="500"/>
      <c r="I361" s="501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  <c r="AA361" s="166"/>
      <c r="AB361" s="166"/>
      <c r="AC361" s="166"/>
      <c r="AD361" s="166"/>
      <c r="AE361" s="166"/>
      <c r="AF361" s="166"/>
      <c r="AG361" s="166"/>
    </row>
    <row r="362" spans="1:33">
      <c r="A362" s="166"/>
      <c r="B362" s="498"/>
      <c r="C362" s="498"/>
      <c r="D362" s="498"/>
      <c r="E362" s="498"/>
      <c r="F362" s="498"/>
      <c r="G362" s="166"/>
      <c r="H362" s="500"/>
      <c r="I362" s="501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  <c r="AA362" s="166"/>
      <c r="AB362" s="166"/>
      <c r="AC362" s="166"/>
      <c r="AD362" s="166"/>
      <c r="AE362" s="166"/>
      <c r="AF362" s="166"/>
      <c r="AG362" s="166"/>
    </row>
    <row r="363" spans="1:33">
      <c r="A363" s="166"/>
      <c r="B363" s="498"/>
      <c r="C363" s="498"/>
      <c r="D363" s="498"/>
      <c r="E363" s="498"/>
      <c r="F363" s="498"/>
      <c r="G363" s="166"/>
      <c r="H363" s="500"/>
      <c r="I363" s="501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  <c r="AA363" s="166"/>
      <c r="AB363" s="166"/>
      <c r="AC363" s="166"/>
      <c r="AD363" s="166"/>
      <c r="AE363" s="166"/>
      <c r="AF363" s="166"/>
      <c r="AG363" s="166"/>
    </row>
    <row r="364" spans="1:33">
      <c r="A364" s="166"/>
      <c r="B364" s="498"/>
      <c r="C364" s="498"/>
      <c r="D364" s="498"/>
      <c r="E364" s="498"/>
      <c r="F364" s="498"/>
      <c r="G364" s="166"/>
      <c r="H364" s="500"/>
      <c r="I364" s="501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  <c r="AA364" s="166"/>
      <c r="AB364" s="166"/>
      <c r="AC364" s="166"/>
      <c r="AD364" s="166"/>
      <c r="AE364" s="166"/>
      <c r="AF364" s="166"/>
      <c r="AG364" s="166"/>
    </row>
    <row r="365" spans="1:33">
      <c r="A365" s="166"/>
      <c r="B365" s="498"/>
      <c r="C365" s="498"/>
      <c r="D365" s="498"/>
      <c r="E365" s="498"/>
      <c r="F365" s="498"/>
      <c r="G365" s="166"/>
      <c r="H365" s="500"/>
      <c r="I365" s="501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6"/>
      <c r="AG365" s="166"/>
    </row>
    <row r="366" spans="1:33">
      <c r="A366" s="166"/>
      <c r="B366" s="498"/>
      <c r="C366" s="498"/>
      <c r="D366" s="498"/>
      <c r="E366" s="498"/>
      <c r="F366" s="498"/>
      <c r="G366" s="166"/>
      <c r="H366" s="500"/>
      <c r="I366" s="501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  <c r="AA366" s="166"/>
      <c r="AB366" s="166"/>
      <c r="AC366" s="166"/>
      <c r="AD366" s="166"/>
      <c r="AE366" s="166"/>
      <c r="AF366" s="166"/>
      <c r="AG366" s="166"/>
    </row>
    <row r="367" spans="1:33">
      <c r="A367" s="166"/>
      <c r="B367" s="498"/>
      <c r="C367" s="498"/>
      <c r="D367" s="498"/>
      <c r="E367" s="498"/>
      <c r="F367" s="498"/>
      <c r="G367" s="166"/>
      <c r="H367" s="500"/>
      <c r="I367" s="501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  <c r="AA367" s="166"/>
      <c r="AB367" s="166"/>
      <c r="AC367" s="166"/>
      <c r="AD367" s="166"/>
      <c r="AE367" s="166"/>
      <c r="AF367" s="166"/>
      <c r="AG367" s="166"/>
    </row>
    <row r="368" spans="1:33">
      <c r="A368" s="166"/>
      <c r="B368" s="498"/>
      <c r="C368" s="498"/>
      <c r="D368" s="498"/>
      <c r="E368" s="498"/>
      <c r="F368" s="498"/>
      <c r="G368" s="166"/>
      <c r="H368" s="500"/>
      <c r="I368" s="501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  <c r="AA368" s="166"/>
      <c r="AB368" s="166"/>
      <c r="AC368" s="166"/>
      <c r="AD368" s="166"/>
      <c r="AE368" s="166"/>
      <c r="AF368" s="166"/>
      <c r="AG368" s="166"/>
    </row>
    <row r="369" spans="1:33">
      <c r="A369" s="166"/>
      <c r="B369" s="498"/>
      <c r="C369" s="498"/>
      <c r="D369" s="498"/>
      <c r="E369" s="498"/>
      <c r="F369" s="498"/>
      <c r="G369" s="166"/>
      <c r="H369" s="500"/>
      <c r="I369" s="501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  <c r="AA369" s="166"/>
      <c r="AB369" s="166"/>
      <c r="AC369" s="166"/>
      <c r="AD369" s="166"/>
      <c r="AE369" s="166"/>
      <c r="AF369" s="166"/>
      <c r="AG369" s="166"/>
    </row>
    <row r="370" spans="1:33">
      <c r="A370" s="166"/>
      <c r="B370" s="498"/>
      <c r="C370" s="498"/>
      <c r="D370" s="498"/>
      <c r="E370" s="498"/>
      <c r="F370" s="498"/>
      <c r="G370" s="166"/>
      <c r="H370" s="500"/>
      <c r="I370" s="501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  <c r="AA370" s="166"/>
      <c r="AB370" s="166"/>
      <c r="AC370" s="166"/>
      <c r="AD370" s="166"/>
      <c r="AE370" s="166"/>
      <c r="AF370" s="166"/>
      <c r="AG370" s="166"/>
    </row>
    <row r="371" spans="1:33">
      <c r="A371" s="166"/>
      <c r="B371" s="498"/>
      <c r="C371" s="498"/>
      <c r="D371" s="498"/>
      <c r="E371" s="498"/>
      <c r="F371" s="498"/>
      <c r="G371" s="166"/>
      <c r="H371" s="500"/>
      <c r="I371" s="501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  <c r="AA371" s="166"/>
      <c r="AB371" s="166"/>
      <c r="AC371" s="166"/>
      <c r="AD371" s="166"/>
      <c r="AE371" s="166"/>
      <c r="AF371" s="166"/>
      <c r="AG371" s="166"/>
    </row>
    <row r="372" spans="1:33">
      <c r="A372" s="166"/>
      <c r="B372" s="498"/>
      <c r="C372" s="498"/>
      <c r="D372" s="498"/>
      <c r="E372" s="498"/>
      <c r="F372" s="498"/>
      <c r="G372" s="166"/>
      <c r="H372" s="500"/>
      <c r="I372" s="501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  <c r="AA372" s="166"/>
      <c r="AB372" s="166"/>
      <c r="AC372" s="166"/>
      <c r="AD372" s="166"/>
      <c r="AE372" s="166"/>
      <c r="AF372" s="166"/>
      <c r="AG372" s="166"/>
    </row>
    <row r="373" spans="1:33">
      <c r="A373" s="166"/>
      <c r="B373" s="498"/>
      <c r="C373" s="498"/>
      <c r="D373" s="498"/>
      <c r="E373" s="498"/>
      <c r="F373" s="498"/>
      <c r="G373" s="166"/>
      <c r="H373" s="500"/>
      <c r="I373" s="501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  <c r="AA373" s="166"/>
      <c r="AB373" s="166"/>
      <c r="AC373" s="166"/>
      <c r="AD373" s="166"/>
      <c r="AE373" s="166"/>
      <c r="AF373" s="166"/>
      <c r="AG373" s="166"/>
    </row>
    <row r="374" spans="1:33">
      <c r="A374" s="166"/>
      <c r="B374" s="498"/>
      <c r="C374" s="498"/>
      <c r="D374" s="498"/>
      <c r="E374" s="498"/>
      <c r="F374" s="498"/>
      <c r="G374" s="166"/>
      <c r="H374" s="500"/>
      <c r="I374" s="501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  <c r="AA374" s="166"/>
      <c r="AB374" s="166"/>
      <c r="AC374" s="166"/>
      <c r="AD374" s="166"/>
      <c r="AE374" s="166"/>
      <c r="AF374" s="166"/>
      <c r="AG374" s="166"/>
    </row>
    <row r="375" spans="1:33">
      <c r="A375" s="166"/>
      <c r="B375" s="498"/>
      <c r="C375" s="498"/>
      <c r="D375" s="498"/>
      <c r="E375" s="498"/>
      <c r="F375" s="498"/>
      <c r="G375" s="166"/>
      <c r="H375" s="500"/>
      <c r="I375" s="501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  <c r="AA375" s="166"/>
      <c r="AB375" s="166"/>
      <c r="AC375" s="166"/>
      <c r="AD375" s="166"/>
      <c r="AE375" s="166"/>
      <c r="AF375" s="166"/>
      <c r="AG375" s="166"/>
    </row>
    <row r="376" spans="1:33">
      <c r="A376" s="166"/>
      <c r="B376" s="498"/>
      <c r="C376" s="498"/>
      <c r="D376" s="498"/>
      <c r="E376" s="498"/>
      <c r="F376" s="498"/>
      <c r="G376" s="166"/>
      <c r="H376" s="500"/>
      <c r="I376" s="501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  <c r="AA376" s="166"/>
      <c r="AB376" s="166"/>
      <c r="AC376" s="166"/>
      <c r="AD376" s="166"/>
      <c r="AE376" s="166"/>
      <c r="AF376" s="166"/>
      <c r="AG376" s="166"/>
    </row>
    <row r="377" spans="1:33">
      <c r="A377" s="166"/>
      <c r="B377" s="498"/>
      <c r="C377" s="498"/>
      <c r="D377" s="498"/>
      <c r="E377" s="498"/>
      <c r="F377" s="498"/>
      <c r="G377" s="166"/>
      <c r="H377" s="500"/>
      <c r="I377" s="501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6"/>
    </row>
    <row r="378" spans="1:33">
      <c r="A378" s="166"/>
      <c r="B378" s="498"/>
      <c r="C378" s="498"/>
      <c r="D378" s="498"/>
      <c r="E378" s="498"/>
      <c r="F378" s="498"/>
      <c r="G378" s="166"/>
      <c r="H378" s="500"/>
      <c r="I378" s="501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  <c r="AA378" s="166"/>
      <c r="AB378" s="166"/>
      <c r="AC378" s="166"/>
      <c r="AD378" s="166"/>
      <c r="AE378" s="166"/>
      <c r="AF378" s="166"/>
      <c r="AG378" s="166"/>
    </row>
    <row r="379" spans="1:33">
      <c r="A379" s="166"/>
      <c r="B379" s="498"/>
      <c r="C379" s="498"/>
      <c r="D379" s="498"/>
      <c r="E379" s="498"/>
      <c r="F379" s="498"/>
      <c r="G379" s="166"/>
      <c r="H379" s="500"/>
      <c r="I379" s="501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  <c r="AA379" s="166"/>
      <c r="AB379" s="166"/>
      <c r="AC379" s="166"/>
      <c r="AD379" s="166"/>
      <c r="AE379" s="166"/>
      <c r="AF379" s="166"/>
      <c r="AG379" s="166"/>
    </row>
    <row r="380" spans="1:33">
      <c r="A380" s="166"/>
      <c r="B380" s="498"/>
      <c r="C380" s="498"/>
      <c r="D380" s="498"/>
      <c r="E380" s="498"/>
      <c r="F380" s="498"/>
      <c r="G380" s="166"/>
      <c r="H380" s="500"/>
      <c r="I380" s="501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  <c r="AA380" s="166"/>
      <c r="AB380" s="166"/>
      <c r="AC380" s="166"/>
      <c r="AD380" s="166"/>
      <c r="AE380" s="166"/>
      <c r="AF380" s="166"/>
      <c r="AG380" s="166"/>
    </row>
    <row r="381" spans="1:33">
      <c r="A381" s="166"/>
      <c r="B381" s="498"/>
      <c r="C381" s="498"/>
      <c r="D381" s="498"/>
      <c r="E381" s="498"/>
      <c r="F381" s="498"/>
      <c r="G381" s="166"/>
      <c r="H381" s="500"/>
      <c r="I381" s="501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  <c r="AA381" s="166"/>
      <c r="AB381" s="166"/>
      <c r="AC381" s="166"/>
      <c r="AD381" s="166"/>
      <c r="AE381" s="166"/>
      <c r="AF381" s="166"/>
      <c r="AG381" s="166"/>
    </row>
    <row r="382" spans="1:33">
      <c r="A382" s="166"/>
      <c r="B382" s="498"/>
      <c r="C382" s="498"/>
      <c r="D382" s="498"/>
      <c r="E382" s="498"/>
      <c r="F382" s="498"/>
      <c r="G382" s="166"/>
      <c r="H382" s="500"/>
      <c r="I382" s="501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  <c r="AA382" s="166"/>
      <c r="AB382" s="166"/>
      <c r="AC382" s="166"/>
      <c r="AD382" s="166"/>
      <c r="AE382" s="166"/>
      <c r="AF382" s="166"/>
      <c r="AG382" s="166"/>
    </row>
    <row r="383" spans="1:33">
      <c r="A383" s="166"/>
      <c r="B383" s="498"/>
      <c r="C383" s="498"/>
      <c r="D383" s="498"/>
      <c r="E383" s="498"/>
      <c r="F383" s="498"/>
      <c r="G383" s="166"/>
      <c r="H383" s="500"/>
      <c r="I383" s="501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  <c r="AA383" s="166"/>
      <c r="AB383" s="166"/>
      <c r="AC383" s="166"/>
      <c r="AD383" s="166"/>
      <c r="AE383" s="166"/>
      <c r="AF383" s="166"/>
      <c r="AG383" s="166"/>
    </row>
    <row r="384" spans="1:33">
      <c r="A384" s="166"/>
      <c r="B384" s="498"/>
      <c r="C384" s="498"/>
      <c r="D384" s="498"/>
      <c r="E384" s="498"/>
      <c r="F384" s="498"/>
      <c r="G384" s="166"/>
      <c r="H384" s="500"/>
      <c r="I384" s="501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  <c r="AA384" s="166"/>
      <c r="AB384" s="166"/>
      <c r="AC384" s="166"/>
      <c r="AD384" s="166"/>
      <c r="AE384" s="166"/>
      <c r="AF384" s="166"/>
      <c r="AG384" s="166"/>
    </row>
    <row r="385" spans="1:33">
      <c r="A385" s="166"/>
      <c r="B385" s="498"/>
      <c r="C385" s="498"/>
      <c r="D385" s="498"/>
      <c r="E385" s="498"/>
      <c r="F385" s="498"/>
      <c r="G385" s="166"/>
      <c r="H385" s="500"/>
      <c r="I385" s="501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  <c r="AA385" s="166"/>
      <c r="AB385" s="166"/>
      <c r="AC385" s="166"/>
      <c r="AD385" s="166"/>
      <c r="AE385" s="166"/>
      <c r="AF385" s="166"/>
      <c r="AG385" s="166"/>
    </row>
    <row r="386" spans="1:33">
      <c r="A386" s="166"/>
      <c r="B386" s="498"/>
      <c r="C386" s="498"/>
      <c r="D386" s="498"/>
      <c r="E386" s="498"/>
      <c r="F386" s="498"/>
      <c r="G386" s="166"/>
      <c r="H386" s="500"/>
      <c r="I386" s="501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  <c r="AA386" s="166"/>
      <c r="AB386" s="166"/>
      <c r="AC386" s="166"/>
      <c r="AD386" s="166"/>
      <c r="AE386" s="166"/>
      <c r="AF386" s="166"/>
      <c r="AG386" s="166"/>
    </row>
    <row r="387" spans="1:33">
      <c r="A387" s="166"/>
      <c r="B387" s="498"/>
      <c r="C387" s="498"/>
      <c r="D387" s="498"/>
      <c r="E387" s="498"/>
      <c r="F387" s="498"/>
      <c r="G387" s="166"/>
      <c r="H387" s="500"/>
      <c r="I387" s="501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  <c r="AA387" s="166"/>
      <c r="AB387" s="166"/>
      <c r="AC387" s="166"/>
      <c r="AD387" s="166"/>
      <c r="AE387" s="166"/>
      <c r="AF387" s="166"/>
      <c r="AG387" s="166"/>
    </row>
    <row r="388" spans="1:33">
      <c r="A388" s="166"/>
      <c r="B388" s="498"/>
      <c r="C388" s="498"/>
      <c r="D388" s="498"/>
      <c r="E388" s="498"/>
      <c r="F388" s="498"/>
      <c r="G388" s="166"/>
      <c r="H388" s="500"/>
      <c r="I388" s="501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  <c r="AA388" s="166"/>
      <c r="AB388" s="166"/>
      <c r="AC388" s="166"/>
      <c r="AD388" s="166"/>
      <c r="AE388" s="166"/>
      <c r="AF388" s="166"/>
      <c r="AG388" s="166"/>
    </row>
    <row r="389" spans="1:33">
      <c r="A389" s="166"/>
      <c r="B389" s="498"/>
      <c r="C389" s="498"/>
      <c r="D389" s="498"/>
      <c r="E389" s="498"/>
      <c r="F389" s="498"/>
      <c r="G389" s="166"/>
      <c r="H389" s="500"/>
      <c r="I389" s="501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  <c r="AA389" s="166"/>
      <c r="AB389" s="166"/>
      <c r="AC389" s="166"/>
      <c r="AD389" s="166"/>
      <c r="AE389" s="166"/>
      <c r="AF389" s="166"/>
      <c r="AG389" s="166"/>
    </row>
    <row r="390" spans="1:33">
      <c r="A390" s="166"/>
      <c r="B390" s="498"/>
      <c r="C390" s="498"/>
      <c r="D390" s="498"/>
      <c r="E390" s="498"/>
      <c r="F390" s="498"/>
      <c r="G390" s="166"/>
      <c r="H390" s="500"/>
      <c r="I390" s="501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  <c r="AA390" s="166"/>
      <c r="AB390" s="166"/>
      <c r="AC390" s="166"/>
      <c r="AD390" s="166"/>
      <c r="AE390" s="166"/>
      <c r="AF390" s="166"/>
      <c r="AG390" s="166"/>
    </row>
    <row r="391" spans="1:33">
      <c r="A391" s="166"/>
      <c r="B391" s="498"/>
      <c r="C391" s="498"/>
      <c r="D391" s="498"/>
      <c r="E391" s="498"/>
      <c r="F391" s="498"/>
      <c r="G391" s="166"/>
      <c r="H391" s="500"/>
      <c r="I391" s="501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  <c r="AA391" s="166"/>
      <c r="AB391" s="166"/>
      <c r="AC391" s="166"/>
      <c r="AD391" s="166"/>
      <c r="AE391" s="166"/>
      <c r="AF391" s="166"/>
      <c r="AG391" s="166"/>
    </row>
    <row r="392" spans="1:33">
      <c r="A392" s="166"/>
      <c r="B392" s="498"/>
      <c r="C392" s="498"/>
      <c r="D392" s="498"/>
      <c r="E392" s="498"/>
      <c r="F392" s="498"/>
      <c r="G392" s="166"/>
      <c r="H392" s="500"/>
      <c r="I392" s="501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6"/>
    </row>
    <row r="393" spans="1:33">
      <c r="A393" s="166"/>
      <c r="B393" s="498"/>
      <c r="C393" s="498"/>
      <c r="D393" s="498"/>
      <c r="E393" s="498"/>
      <c r="F393" s="498"/>
      <c r="G393" s="166"/>
      <c r="H393" s="500"/>
      <c r="I393" s="501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  <c r="AA393" s="166"/>
      <c r="AB393" s="166"/>
      <c r="AC393" s="166"/>
      <c r="AD393" s="166"/>
      <c r="AE393" s="166"/>
      <c r="AF393" s="166"/>
      <c r="AG393" s="166"/>
    </row>
    <row r="394" spans="1:33">
      <c r="A394" s="166"/>
      <c r="B394" s="498"/>
      <c r="C394" s="498"/>
      <c r="D394" s="498"/>
      <c r="E394" s="498"/>
      <c r="F394" s="498"/>
      <c r="G394" s="166"/>
      <c r="H394" s="500"/>
      <c r="I394" s="501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  <c r="AA394" s="166"/>
      <c r="AB394" s="166"/>
      <c r="AC394" s="166"/>
      <c r="AD394" s="166"/>
      <c r="AE394" s="166"/>
      <c r="AF394" s="166"/>
      <c r="AG394" s="166"/>
    </row>
    <row r="395" spans="1:33">
      <c r="A395" s="166"/>
      <c r="B395" s="498"/>
      <c r="C395" s="498"/>
      <c r="D395" s="498"/>
      <c r="E395" s="498"/>
      <c r="F395" s="498"/>
      <c r="G395" s="166"/>
      <c r="H395" s="500"/>
      <c r="I395" s="501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  <c r="AA395" s="166"/>
      <c r="AB395" s="166"/>
      <c r="AC395" s="166"/>
      <c r="AD395" s="166"/>
      <c r="AE395" s="166"/>
      <c r="AF395" s="166"/>
      <c r="AG395" s="166"/>
    </row>
    <row r="396" spans="1:33">
      <c r="A396" s="166"/>
      <c r="B396" s="498"/>
      <c r="C396" s="498"/>
      <c r="D396" s="498"/>
      <c r="E396" s="498"/>
      <c r="F396" s="498"/>
      <c r="G396" s="166"/>
      <c r="H396" s="500"/>
      <c r="I396" s="501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  <c r="AA396" s="166"/>
      <c r="AB396" s="166"/>
      <c r="AC396" s="166"/>
      <c r="AD396" s="166"/>
      <c r="AE396" s="166"/>
      <c r="AF396" s="166"/>
      <c r="AG396" s="166"/>
    </row>
    <row r="397" spans="1:33">
      <c r="A397" s="166"/>
      <c r="B397" s="498"/>
      <c r="C397" s="498"/>
      <c r="D397" s="498"/>
      <c r="E397" s="498"/>
      <c r="F397" s="498"/>
      <c r="G397" s="166"/>
      <c r="H397" s="500"/>
      <c r="I397" s="501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  <c r="AA397" s="166"/>
      <c r="AB397" s="166"/>
      <c r="AC397" s="166"/>
      <c r="AD397" s="166"/>
      <c r="AE397" s="166"/>
      <c r="AF397" s="166"/>
      <c r="AG397" s="166"/>
    </row>
    <row r="398" spans="1:33">
      <c r="A398" s="166"/>
      <c r="B398" s="498"/>
      <c r="C398" s="498"/>
      <c r="D398" s="498"/>
      <c r="E398" s="498"/>
      <c r="F398" s="498"/>
      <c r="G398" s="166"/>
      <c r="H398" s="500"/>
      <c r="I398" s="501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  <c r="AA398" s="166"/>
      <c r="AB398" s="166"/>
      <c r="AC398" s="166"/>
      <c r="AD398" s="166"/>
      <c r="AE398" s="166"/>
      <c r="AF398" s="166"/>
      <c r="AG398" s="166"/>
    </row>
    <row r="399" spans="1:33">
      <c r="A399" s="166"/>
      <c r="B399" s="498"/>
      <c r="C399" s="498"/>
      <c r="D399" s="498"/>
      <c r="E399" s="498"/>
      <c r="F399" s="498"/>
      <c r="G399" s="166"/>
      <c r="H399" s="500"/>
      <c r="I399" s="501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  <c r="AA399" s="166"/>
      <c r="AB399" s="166"/>
      <c r="AC399" s="166"/>
      <c r="AD399" s="166"/>
      <c r="AE399" s="166"/>
      <c r="AF399" s="166"/>
      <c r="AG399" s="166"/>
    </row>
    <row r="400" spans="1:33">
      <c r="A400" s="166"/>
      <c r="B400" s="498"/>
      <c r="C400" s="498"/>
      <c r="D400" s="498"/>
      <c r="E400" s="498"/>
      <c r="F400" s="498"/>
      <c r="G400" s="166"/>
      <c r="H400" s="500"/>
      <c r="I400" s="501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  <c r="AA400" s="166"/>
      <c r="AB400" s="166"/>
      <c r="AC400" s="166"/>
      <c r="AD400" s="166"/>
      <c r="AE400" s="166"/>
      <c r="AF400" s="166"/>
      <c r="AG400" s="166"/>
    </row>
    <row r="401" spans="1:33">
      <c r="A401" s="166"/>
      <c r="B401" s="498"/>
      <c r="C401" s="498"/>
      <c r="D401" s="498"/>
      <c r="E401" s="498"/>
      <c r="F401" s="498"/>
      <c r="G401" s="166"/>
      <c r="H401" s="500"/>
      <c r="I401" s="501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  <c r="AA401" s="166"/>
      <c r="AB401" s="166"/>
      <c r="AC401" s="166"/>
      <c r="AD401" s="166"/>
      <c r="AE401" s="166"/>
      <c r="AF401" s="166"/>
      <c r="AG401" s="166"/>
    </row>
    <row r="402" spans="1:33">
      <c r="A402" s="166"/>
      <c r="B402" s="498"/>
      <c r="C402" s="498"/>
      <c r="D402" s="498"/>
      <c r="E402" s="498"/>
      <c r="F402" s="498"/>
      <c r="G402" s="166"/>
      <c r="H402" s="500"/>
      <c r="I402" s="501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  <c r="AA402" s="166"/>
      <c r="AB402" s="166"/>
      <c r="AC402" s="166"/>
      <c r="AD402" s="166"/>
      <c r="AE402" s="166"/>
      <c r="AF402" s="166"/>
      <c r="AG402" s="166"/>
    </row>
    <row r="403" spans="1:33">
      <c r="A403" s="166"/>
      <c r="B403" s="498"/>
      <c r="C403" s="498"/>
      <c r="D403" s="498"/>
      <c r="E403" s="498"/>
      <c r="F403" s="498"/>
      <c r="G403" s="166"/>
      <c r="H403" s="500"/>
      <c r="I403" s="501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  <c r="AA403" s="166"/>
      <c r="AB403" s="166"/>
      <c r="AC403" s="166"/>
      <c r="AD403" s="166"/>
      <c r="AE403" s="166"/>
      <c r="AF403" s="166"/>
      <c r="AG403" s="166"/>
    </row>
    <row r="404" spans="1:33">
      <c r="A404" s="166"/>
      <c r="B404" s="498"/>
      <c r="C404" s="498"/>
      <c r="D404" s="498"/>
      <c r="E404" s="498"/>
      <c r="F404" s="498"/>
      <c r="G404" s="166"/>
      <c r="H404" s="500"/>
      <c r="I404" s="501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  <c r="AA404" s="166"/>
      <c r="AB404" s="166"/>
      <c r="AC404" s="166"/>
      <c r="AD404" s="166"/>
      <c r="AE404" s="166"/>
      <c r="AF404" s="166"/>
      <c r="AG404" s="166"/>
    </row>
    <row r="405" spans="1:33">
      <c r="A405" s="166"/>
      <c r="B405" s="498"/>
      <c r="C405" s="498"/>
      <c r="D405" s="498"/>
      <c r="E405" s="498"/>
      <c r="F405" s="498"/>
      <c r="G405" s="166"/>
      <c r="H405" s="500"/>
      <c r="I405" s="501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  <c r="AA405" s="166"/>
      <c r="AB405" s="166"/>
      <c r="AC405" s="166"/>
      <c r="AD405" s="166"/>
      <c r="AE405" s="166"/>
      <c r="AF405" s="166"/>
      <c r="AG405" s="166"/>
    </row>
    <row r="406" spans="1:33">
      <c r="A406" s="166"/>
      <c r="B406" s="498"/>
      <c r="C406" s="498"/>
      <c r="D406" s="498"/>
      <c r="E406" s="498"/>
      <c r="F406" s="498"/>
      <c r="G406" s="166"/>
      <c r="H406" s="500"/>
      <c r="I406" s="501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  <c r="AA406" s="166"/>
      <c r="AB406" s="166"/>
      <c r="AC406" s="166"/>
      <c r="AD406" s="166"/>
      <c r="AE406" s="166"/>
      <c r="AF406" s="166"/>
      <c r="AG406" s="166"/>
    </row>
    <row r="407" spans="1:33">
      <c r="A407" s="166"/>
      <c r="B407" s="498"/>
      <c r="C407" s="498"/>
      <c r="D407" s="498"/>
      <c r="E407" s="498"/>
      <c r="F407" s="498"/>
      <c r="G407" s="166"/>
      <c r="H407" s="500"/>
      <c r="I407" s="501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  <c r="AA407" s="166"/>
      <c r="AB407" s="166"/>
      <c r="AC407" s="166"/>
      <c r="AD407" s="166"/>
      <c r="AE407" s="166"/>
      <c r="AF407" s="166"/>
      <c r="AG407" s="166"/>
    </row>
    <row r="408" spans="1:33">
      <c r="A408" s="166"/>
      <c r="B408" s="498"/>
      <c r="C408" s="498"/>
      <c r="D408" s="498"/>
      <c r="E408" s="498"/>
      <c r="F408" s="498"/>
      <c r="G408" s="166"/>
      <c r="H408" s="500"/>
      <c r="I408" s="501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  <c r="AA408" s="166"/>
      <c r="AB408" s="166"/>
      <c r="AC408" s="166"/>
      <c r="AD408" s="166"/>
      <c r="AE408" s="166"/>
      <c r="AF408" s="166"/>
      <c r="AG408" s="166"/>
    </row>
    <row r="409" spans="1:33">
      <c r="A409" s="166"/>
      <c r="B409" s="498"/>
      <c r="C409" s="498"/>
      <c r="D409" s="498"/>
      <c r="E409" s="498"/>
      <c r="F409" s="498"/>
      <c r="G409" s="166"/>
      <c r="H409" s="500"/>
      <c r="I409" s="501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  <c r="AA409" s="166"/>
      <c r="AB409" s="166"/>
      <c r="AC409" s="166"/>
      <c r="AD409" s="166"/>
      <c r="AE409" s="166"/>
      <c r="AF409" s="166"/>
      <c r="AG409" s="166"/>
    </row>
    <row r="410" spans="1:33">
      <c r="A410" s="166"/>
      <c r="B410" s="498"/>
      <c r="C410" s="498"/>
      <c r="D410" s="498"/>
      <c r="E410" s="498"/>
      <c r="F410" s="498"/>
      <c r="G410" s="166"/>
      <c r="H410" s="500"/>
      <c r="I410" s="501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  <c r="AA410" s="166"/>
      <c r="AB410" s="166"/>
      <c r="AC410" s="166"/>
      <c r="AD410" s="166"/>
      <c r="AE410" s="166"/>
      <c r="AF410" s="166"/>
      <c r="AG410" s="166"/>
    </row>
    <row r="411" spans="1:33">
      <c r="A411" s="166"/>
      <c r="B411" s="498"/>
      <c r="C411" s="498"/>
      <c r="D411" s="498"/>
      <c r="E411" s="498"/>
      <c r="F411" s="498"/>
      <c r="G411" s="166"/>
      <c r="H411" s="500"/>
      <c r="I411" s="501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  <c r="AA411" s="166"/>
      <c r="AB411" s="166"/>
      <c r="AC411" s="166"/>
      <c r="AD411" s="166"/>
      <c r="AE411" s="166"/>
      <c r="AF411" s="166"/>
      <c r="AG411" s="166"/>
    </row>
    <row r="412" spans="1:33">
      <c r="A412" s="166"/>
      <c r="B412" s="498"/>
      <c r="C412" s="498"/>
      <c r="D412" s="498"/>
      <c r="E412" s="498"/>
      <c r="F412" s="498"/>
      <c r="G412" s="166"/>
      <c r="H412" s="500"/>
      <c r="I412" s="501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  <c r="AA412" s="166"/>
      <c r="AB412" s="166"/>
      <c r="AC412" s="166"/>
      <c r="AD412" s="166"/>
      <c r="AE412" s="166"/>
      <c r="AF412" s="166"/>
      <c r="AG412" s="166"/>
    </row>
    <row r="413" spans="1:33">
      <c r="A413" s="166"/>
      <c r="B413" s="498"/>
      <c r="C413" s="498"/>
      <c r="D413" s="498"/>
      <c r="E413" s="498"/>
      <c r="F413" s="498"/>
      <c r="G413" s="166"/>
      <c r="H413" s="500"/>
      <c r="I413" s="501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  <c r="AA413" s="166"/>
      <c r="AB413" s="166"/>
      <c r="AC413" s="166"/>
      <c r="AD413" s="166"/>
      <c r="AE413" s="166"/>
      <c r="AF413" s="166"/>
      <c r="AG413" s="166"/>
    </row>
    <row r="414" spans="1:33">
      <c r="A414" s="166"/>
      <c r="B414" s="498"/>
      <c r="C414" s="498"/>
      <c r="D414" s="498"/>
      <c r="E414" s="498"/>
      <c r="F414" s="498"/>
      <c r="G414" s="166"/>
      <c r="H414" s="500"/>
      <c r="I414" s="501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  <c r="AA414" s="166"/>
      <c r="AB414" s="166"/>
      <c r="AC414" s="166"/>
      <c r="AD414" s="166"/>
      <c r="AE414" s="166"/>
      <c r="AF414" s="166"/>
      <c r="AG414" s="166"/>
    </row>
    <row r="415" spans="1:33">
      <c r="A415" s="166"/>
      <c r="B415" s="498"/>
      <c r="C415" s="498"/>
      <c r="D415" s="498"/>
      <c r="E415" s="498"/>
      <c r="F415" s="498"/>
      <c r="G415" s="166"/>
      <c r="H415" s="500"/>
      <c r="I415" s="501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  <c r="AA415" s="166"/>
      <c r="AB415" s="166"/>
      <c r="AC415" s="166"/>
      <c r="AD415" s="166"/>
      <c r="AE415" s="166"/>
      <c r="AF415" s="166"/>
      <c r="AG415" s="166"/>
    </row>
    <row r="416" spans="1:33">
      <c r="A416" s="166"/>
      <c r="B416" s="498"/>
      <c r="C416" s="498"/>
      <c r="D416" s="498"/>
      <c r="E416" s="498"/>
      <c r="F416" s="498"/>
      <c r="G416" s="166"/>
      <c r="H416" s="500"/>
      <c r="I416" s="501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  <c r="AA416" s="166"/>
      <c r="AB416" s="166"/>
      <c r="AC416" s="166"/>
      <c r="AD416" s="166"/>
      <c r="AE416" s="166"/>
      <c r="AF416" s="166"/>
      <c r="AG416" s="166"/>
    </row>
    <row r="417" spans="1:33">
      <c r="A417" s="166"/>
      <c r="B417" s="498"/>
      <c r="C417" s="498"/>
      <c r="D417" s="498"/>
      <c r="E417" s="498"/>
      <c r="F417" s="498"/>
      <c r="G417" s="166"/>
      <c r="H417" s="500"/>
      <c r="I417" s="501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6"/>
      <c r="AG417" s="166"/>
    </row>
    <row r="418" spans="1:33">
      <c r="A418" s="166"/>
      <c r="B418" s="498"/>
      <c r="C418" s="498"/>
      <c r="D418" s="498"/>
      <c r="E418" s="498"/>
      <c r="F418" s="498"/>
      <c r="G418" s="166"/>
      <c r="H418" s="500"/>
      <c r="I418" s="501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  <c r="AA418" s="166"/>
      <c r="AB418" s="166"/>
      <c r="AC418" s="166"/>
      <c r="AD418" s="166"/>
      <c r="AE418" s="166"/>
      <c r="AF418" s="166"/>
      <c r="AG418" s="166"/>
    </row>
    <row r="419" spans="1:33">
      <c r="A419" s="166"/>
      <c r="B419" s="498"/>
      <c r="C419" s="498"/>
      <c r="D419" s="498"/>
      <c r="E419" s="498"/>
      <c r="F419" s="498"/>
      <c r="G419" s="166"/>
      <c r="H419" s="500"/>
      <c r="I419" s="501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  <c r="AA419" s="166"/>
      <c r="AB419" s="166"/>
      <c r="AC419" s="166"/>
      <c r="AD419" s="166"/>
      <c r="AE419" s="166"/>
      <c r="AF419" s="166"/>
      <c r="AG419" s="166"/>
    </row>
    <row r="420" spans="1:33">
      <c r="A420" s="166"/>
      <c r="B420" s="498"/>
      <c r="C420" s="498"/>
      <c r="D420" s="498"/>
      <c r="E420" s="498"/>
      <c r="F420" s="498"/>
      <c r="G420" s="166"/>
      <c r="H420" s="500"/>
      <c r="I420" s="501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  <c r="AA420" s="166"/>
      <c r="AB420" s="166"/>
      <c r="AC420" s="166"/>
      <c r="AD420" s="166"/>
      <c r="AE420" s="166"/>
      <c r="AF420" s="166"/>
      <c r="AG420" s="166"/>
    </row>
    <row r="421" spans="1:33">
      <c r="A421" s="166"/>
      <c r="B421" s="498"/>
      <c r="C421" s="498"/>
      <c r="D421" s="498"/>
      <c r="E421" s="498"/>
      <c r="F421" s="498"/>
      <c r="G421" s="166"/>
      <c r="H421" s="500"/>
      <c r="I421" s="501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  <c r="AA421" s="166"/>
      <c r="AB421" s="166"/>
      <c r="AC421" s="166"/>
      <c r="AD421" s="166"/>
      <c r="AE421" s="166"/>
      <c r="AF421" s="166"/>
      <c r="AG421" s="166"/>
    </row>
    <row r="422" spans="1:33">
      <c r="A422" s="166"/>
      <c r="B422" s="498"/>
      <c r="C422" s="498"/>
      <c r="D422" s="498"/>
      <c r="E422" s="498"/>
      <c r="F422" s="498"/>
      <c r="G422" s="166"/>
      <c r="H422" s="500"/>
      <c r="I422" s="501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  <c r="AA422" s="166"/>
      <c r="AB422" s="166"/>
      <c r="AC422" s="166"/>
      <c r="AD422" s="166"/>
      <c r="AE422" s="166"/>
      <c r="AF422" s="166"/>
      <c r="AG422" s="166"/>
    </row>
    <row r="423" spans="1:33">
      <c r="A423" s="166"/>
      <c r="B423" s="498"/>
      <c r="C423" s="498"/>
      <c r="D423" s="498"/>
      <c r="E423" s="498"/>
      <c r="F423" s="498"/>
      <c r="G423" s="166"/>
      <c r="H423" s="500"/>
      <c r="I423" s="501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  <c r="AA423" s="166"/>
      <c r="AB423" s="166"/>
      <c r="AC423" s="166"/>
      <c r="AD423" s="166"/>
      <c r="AE423" s="166"/>
      <c r="AF423" s="166"/>
      <c r="AG423" s="166"/>
    </row>
    <row r="424" spans="1:33">
      <c r="A424" s="166"/>
      <c r="B424" s="498"/>
      <c r="C424" s="498"/>
      <c r="D424" s="498"/>
      <c r="E424" s="498"/>
      <c r="F424" s="498"/>
      <c r="G424" s="166"/>
      <c r="H424" s="500"/>
      <c r="I424" s="501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  <c r="AA424" s="166"/>
      <c r="AB424" s="166"/>
      <c r="AC424" s="166"/>
      <c r="AD424" s="166"/>
      <c r="AE424" s="166"/>
      <c r="AF424" s="166"/>
      <c r="AG424" s="166"/>
    </row>
    <row r="425" spans="1:33">
      <c r="A425" s="166"/>
      <c r="B425" s="498"/>
      <c r="C425" s="498"/>
      <c r="D425" s="498"/>
      <c r="E425" s="498"/>
      <c r="F425" s="498"/>
      <c r="G425" s="166"/>
      <c r="H425" s="500"/>
      <c r="I425" s="501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  <c r="AA425" s="166"/>
      <c r="AB425" s="166"/>
      <c r="AC425" s="166"/>
      <c r="AD425" s="166"/>
      <c r="AE425" s="166"/>
      <c r="AF425" s="166"/>
      <c r="AG425" s="166"/>
    </row>
    <row r="426" spans="1:33">
      <c r="A426" s="166"/>
      <c r="B426" s="498"/>
      <c r="C426" s="498"/>
      <c r="D426" s="498"/>
      <c r="E426" s="498"/>
      <c r="F426" s="498"/>
      <c r="G426" s="166"/>
      <c r="H426" s="500"/>
      <c r="I426" s="501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  <c r="AA426" s="166"/>
      <c r="AB426" s="166"/>
      <c r="AC426" s="166"/>
      <c r="AD426" s="166"/>
      <c r="AE426" s="166"/>
      <c r="AF426" s="166"/>
      <c r="AG426" s="166"/>
    </row>
    <row r="427" spans="1:33">
      <c r="A427" s="166"/>
      <c r="B427" s="498"/>
      <c r="C427" s="498"/>
      <c r="D427" s="498"/>
      <c r="E427" s="498"/>
      <c r="F427" s="498"/>
      <c r="G427" s="166"/>
      <c r="H427" s="500"/>
      <c r="I427" s="501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  <c r="AA427" s="166"/>
      <c r="AB427" s="166"/>
      <c r="AC427" s="166"/>
      <c r="AD427" s="166"/>
      <c r="AE427" s="166"/>
      <c r="AF427" s="166"/>
      <c r="AG427" s="166"/>
    </row>
    <row r="428" spans="1:33">
      <c r="A428" s="166"/>
      <c r="B428" s="498"/>
      <c r="C428" s="498"/>
      <c r="D428" s="498"/>
      <c r="E428" s="498"/>
      <c r="F428" s="498"/>
      <c r="G428" s="166"/>
      <c r="H428" s="500"/>
      <c r="I428" s="501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  <c r="AA428" s="166"/>
      <c r="AB428" s="166"/>
      <c r="AC428" s="166"/>
      <c r="AD428" s="166"/>
      <c r="AE428" s="166"/>
      <c r="AF428" s="166"/>
      <c r="AG428" s="166"/>
    </row>
    <row r="429" spans="1:33">
      <c r="A429" s="166"/>
      <c r="B429" s="498"/>
      <c r="C429" s="498"/>
      <c r="D429" s="498"/>
      <c r="E429" s="498"/>
      <c r="F429" s="498"/>
      <c r="G429" s="166"/>
      <c r="H429" s="500"/>
      <c r="I429" s="501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6"/>
    </row>
    <row r="430" spans="1:33">
      <c r="A430" s="166"/>
      <c r="B430" s="498"/>
      <c r="C430" s="498"/>
      <c r="D430" s="498"/>
      <c r="E430" s="498"/>
      <c r="F430" s="498"/>
      <c r="G430" s="166"/>
      <c r="H430" s="500"/>
      <c r="I430" s="501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  <c r="AA430" s="166"/>
      <c r="AB430" s="166"/>
      <c r="AC430" s="166"/>
      <c r="AD430" s="166"/>
      <c r="AE430" s="166"/>
      <c r="AF430" s="166"/>
      <c r="AG430" s="166"/>
    </row>
    <row r="431" spans="1:33">
      <c r="A431" s="166"/>
      <c r="B431" s="498"/>
      <c r="C431" s="498"/>
      <c r="D431" s="498"/>
      <c r="E431" s="498"/>
      <c r="F431" s="498"/>
      <c r="G431" s="166"/>
      <c r="H431" s="500"/>
      <c r="I431" s="501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  <c r="AA431" s="166"/>
      <c r="AB431" s="166"/>
      <c r="AC431" s="166"/>
      <c r="AD431" s="166"/>
      <c r="AE431" s="166"/>
      <c r="AF431" s="166"/>
      <c r="AG431" s="166"/>
    </row>
    <row r="432" spans="1:33">
      <c r="A432" s="166"/>
      <c r="B432" s="498"/>
      <c r="C432" s="498"/>
      <c r="D432" s="498"/>
      <c r="E432" s="498"/>
      <c r="F432" s="498"/>
      <c r="G432" s="166"/>
      <c r="H432" s="500"/>
      <c r="I432" s="501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  <c r="AA432" s="166"/>
      <c r="AB432" s="166"/>
      <c r="AC432" s="166"/>
      <c r="AD432" s="166"/>
      <c r="AE432" s="166"/>
      <c r="AF432" s="166"/>
      <c r="AG432" s="166"/>
    </row>
    <row r="433" spans="1:33">
      <c r="A433" s="166"/>
      <c r="B433" s="498"/>
      <c r="C433" s="498"/>
      <c r="D433" s="498"/>
      <c r="E433" s="498"/>
      <c r="F433" s="498"/>
      <c r="G433" s="166"/>
      <c r="H433" s="500"/>
      <c r="I433" s="501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  <c r="AA433" s="166"/>
      <c r="AB433" s="166"/>
      <c r="AC433" s="166"/>
      <c r="AD433" s="166"/>
      <c r="AE433" s="166"/>
      <c r="AF433" s="166"/>
      <c r="AG433" s="166"/>
    </row>
    <row r="434" spans="1:33">
      <c r="A434" s="166"/>
      <c r="B434" s="498"/>
      <c r="C434" s="498"/>
      <c r="D434" s="498"/>
      <c r="E434" s="498"/>
      <c r="F434" s="498"/>
      <c r="G434" s="166"/>
      <c r="H434" s="500"/>
      <c r="I434" s="501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  <c r="AA434" s="166"/>
      <c r="AB434" s="166"/>
      <c r="AC434" s="166"/>
      <c r="AD434" s="166"/>
      <c r="AE434" s="166"/>
      <c r="AF434" s="166"/>
      <c r="AG434" s="166"/>
    </row>
    <row r="435" spans="1:33">
      <c r="A435" s="166"/>
      <c r="B435" s="498"/>
      <c r="C435" s="498"/>
      <c r="D435" s="498"/>
      <c r="E435" s="498"/>
      <c r="F435" s="498"/>
      <c r="G435" s="166"/>
      <c r="H435" s="500"/>
      <c r="I435" s="501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  <c r="AA435" s="166"/>
      <c r="AB435" s="166"/>
      <c r="AC435" s="166"/>
      <c r="AD435" s="166"/>
      <c r="AE435" s="166"/>
      <c r="AF435" s="166"/>
      <c r="AG435" s="166"/>
    </row>
    <row r="436" spans="1:33">
      <c r="A436" s="166"/>
      <c r="B436" s="498"/>
      <c r="C436" s="498"/>
      <c r="D436" s="498"/>
      <c r="E436" s="498"/>
      <c r="F436" s="498"/>
      <c r="G436" s="166"/>
      <c r="H436" s="500"/>
      <c r="I436" s="501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  <c r="AA436" s="166"/>
      <c r="AB436" s="166"/>
      <c r="AC436" s="166"/>
      <c r="AD436" s="166"/>
      <c r="AE436" s="166"/>
      <c r="AF436" s="166"/>
      <c r="AG436" s="166"/>
    </row>
    <row r="437" spans="1:33">
      <c r="A437" s="166"/>
      <c r="B437" s="498"/>
      <c r="C437" s="498"/>
      <c r="D437" s="498"/>
      <c r="E437" s="498"/>
      <c r="F437" s="498"/>
      <c r="G437" s="166"/>
      <c r="H437" s="500"/>
      <c r="I437" s="501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  <c r="AA437" s="166"/>
      <c r="AB437" s="166"/>
      <c r="AC437" s="166"/>
      <c r="AD437" s="166"/>
      <c r="AE437" s="166"/>
      <c r="AF437" s="166"/>
      <c r="AG437" s="166"/>
    </row>
    <row r="438" spans="1:33">
      <c r="A438" s="166"/>
      <c r="B438" s="498"/>
      <c r="C438" s="498"/>
      <c r="D438" s="498"/>
      <c r="E438" s="498"/>
      <c r="F438" s="498"/>
      <c r="G438" s="166"/>
      <c r="H438" s="500"/>
      <c r="I438" s="501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  <c r="AA438" s="166"/>
      <c r="AB438" s="166"/>
      <c r="AC438" s="166"/>
      <c r="AD438" s="166"/>
      <c r="AE438" s="166"/>
      <c r="AF438" s="166"/>
      <c r="AG438" s="166"/>
    </row>
    <row r="439" spans="1:33">
      <c r="A439" s="166"/>
      <c r="B439" s="498"/>
      <c r="C439" s="498"/>
      <c r="D439" s="498"/>
      <c r="E439" s="498"/>
      <c r="F439" s="498"/>
      <c r="G439" s="166"/>
      <c r="H439" s="500"/>
      <c r="I439" s="501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  <c r="AA439" s="166"/>
      <c r="AB439" s="166"/>
      <c r="AC439" s="166"/>
      <c r="AD439" s="166"/>
      <c r="AE439" s="166"/>
      <c r="AF439" s="166"/>
      <c r="AG439" s="166"/>
    </row>
    <row r="440" spans="1:33">
      <c r="A440" s="166"/>
      <c r="B440" s="498"/>
      <c r="C440" s="498"/>
      <c r="D440" s="498"/>
      <c r="E440" s="498"/>
      <c r="F440" s="498"/>
      <c r="G440" s="166"/>
      <c r="H440" s="500"/>
      <c r="I440" s="501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  <c r="AA440" s="166"/>
      <c r="AB440" s="166"/>
      <c r="AC440" s="166"/>
      <c r="AD440" s="166"/>
      <c r="AE440" s="166"/>
      <c r="AF440" s="166"/>
      <c r="AG440" s="166"/>
    </row>
    <row r="441" spans="1:33">
      <c r="A441" s="166"/>
      <c r="B441" s="498"/>
      <c r="C441" s="498"/>
      <c r="D441" s="498"/>
      <c r="E441" s="498"/>
      <c r="F441" s="498"/>
      <c r="G441" s="166"/>
      <c r="H441" s="500"/>
      <c r="I441" s="501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  <c r="AA441" s="166"/>
      <c r="AB441" s="166"/>
      <c r="AC441" s="166"/>
      <c r="AD441" s="166"/>
      <c r="AE441" s="166"/>
      <c r="AF441" s="166"/>
      <c r="AG441" s="166"/>
    </row>
    <row r="442" spans="1:33">
      <c r="A442" s="166"/>
      <c r="B442" s="498"/>
      <c r="C442" s="498"/>
      <c r="D442" s="498"/>
      <c r="E442" s="498"/>
      <c r="F442" s="498"/>
      <c r="G442" s="166"/>
      <c r="H442" s="500"/>
      <c r="I442" s="501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  <c r="AA442" s="166"/>
      <c r="AB442" s="166"/>
      <c r="AC442" s="166"/>
      <c r="AD442" s="166"/>
      <c r="AE442" s="166"/>
      <c r="AF442" s="166"/>
      <c r="AG442" s="166"/>
    </row>
    <row r="443" spans="1:33">
      <c r="A443" s="166"/>
      <c r="B443" s="498"/>
      <c r="C443" s="498"/>
      <c r="D443" s="498"/>
      <c r="E443" s="498"/>
      <c r="F443" s="498"/>
      <c r="G443" s="166"/>
      <c r="H443" s="500"/>
      <c r="I443" s="501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  <c r="AA443" s="166"/>
      <c r="AB443" s="166"/>
      <c r="AC443" s="166"/>
      <c r="AD443" s="166"/>
      <c r="AE443" s="166"/>
      <c r="AF443" s="166"/>
      <c r="AG443" s="166"/>
    </row>
    <row r="444" spans="1:33">
      <c r="A444" s="166"/>
      <c r="B444" s="498"/>
      <c r="C444" s="498"/>
      <c r="D444" s="498"/>
      <c r="E444" s="498"/>
      <c r="F444" s="498"/>
      <c r="G444" s="166"/>
      <c r="H444" s="500"/>
      <c r="I444" s="501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  <c r="AA444" s="166"/>
      <c r="AB444" s="166"/>
      <c r="AC444" s="166"/>
      <c r="AD444" s="166"/>
      <c r="AE444" s="166"/>
      <c r="AF444" s="166"/>
      <c r="AG444" s="166"/>
    </row>
    <row r="445" spans="1:33">
      <c r="A445" s="166"/>
      <c r="B445" s="498"/>
      <c r="C445" s="498"/>
      <c r="D445" s="498"/>
      <c r="E445" s="498"/>
      <c r="F445" s="498"/>
      <c r="G445" s="166"/>
      <c r="H445" s="500"/>
      <c r="I445" s="501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6"/>
    </row>
    <row r="446" spans="1:33">
      <c r="A446" s="166"/>
      <c r="B446" s="498"/>
      <c r="C446" s="498"/>
      <c r="D446" s="498"/>
      <c r="E446" s="498"/>
      <c r="F446" s="498"/>
      <c r="G446" s="166"/>
      <c r="H446" s="500"/>
      <c r="I446" s="501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  <c r="AA446" s="166"/>
      <c r="AB446" s="166"/>
      <c r="AC446" s="166"/>
      <c r="AD446" s="166"/>
      <c r="AE446" s="166"/>
      <c r="AF446" s="166"/>
      <c r="AG446" s="166"/>
    </row>
    <row r="447" spans="1:33">
      <c r="A447" s="166"/>
      <c r="B447" s="498"/>
      <c r="C447" s="498"/>
      <c r="D447" s="498"/>
      <c r="E447" s="498"/>
      <c r="F447" s="498"/>
      <c r="G447" s="166"/>
      <c r="H447" s="500"/>
      <c r="I447" s="501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  <c r="AA447" s="166"/>
      <c r="AB447" s="166"/>
      <c r="AC447" s="166"/>
      <c r="AD447" s="166"/>
      <c r="AE447" s="166"/>
      <c r="AF447" s="166"/>
      <c r="AG447" s="166"/>
    </row>
    <row r="448" spans="1:33">
      <c r="A448" s="166"/>
      <c r="B448" s="498"/>
      <c r="C448" s="498"/>
      <c r="D448" s="498"/>
      <c r="E448" s="498"/>
      <c r="F448" s="498"/>
      <c r="G448" s="166"/>
      <c r="H448" s="500"/>
      <c r="I448" s="501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  <c r="AA448" s="166"/>
      <c r="AB448" s="166"/>
      <c r="AC448" s="166"/>
      <c r="AD448" s="166"/>
      <c r="AE448" s="166"/>
      <c r="AF448" s="166"/>
      <c r="AG448" s="166"/>
    </row>
    <row r="449" spans="1:33">
      <c r="A449" s="166"/>
      <c r="B449" s="498"/>
      <c r="C449" s="498"/>
      <c r="D449" s="498"/>
      <c r="E449" s="498"/>
      <c r="F449" s="498"/>
      <c r="G449" s="166"/>
      <c r="H449" s="500"/>
      <c r="I449" s="501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  <c r="AA449" s="166"/>
      <c r="AB449" s="166"/>
      <c r="AC449" s="166"/>
      <c r="AD449" s="166"/>
      <c r="AE449" s="166"/>
      <c r="AF449" s="166"/>
      <c r="AG449" s="166"/>
    </row>
    <row r="450" spans="1:33">
      <c r="A450" s="166"/>
      <c r="B450" s="498"/>
      <c r="C450" s="498"/>
      <c r="D450" s="498"/>
      <c r="E450" s="498"/>
      <c r="F450" s="498"/>
      <c r="G450" s="166"/>
      <c r="H450" s="500"/>
      <c r="I450" s="501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  <c r="AA450" s="166"/>
      <c r="AB450" s="166"/>
      <c r="AC450" s="166"/>
      <c r="AD450" s="166"/>
      <c r="AE450" s="166"/>
      <c r="AF450" s="166"/>
      <c r="AG450" s="166"/>
    </row>
    <row r="451" spans="1:33">
      <c r="A451" s="166"/>
      <c r="B451" s="498"/>
      <c r="C451" s="498"/>
      <c r="D451" s="498"/>
      <c r="E451" s="498"/>
      <c r="F451" s="498"/>
      <c r="G451" s="166"/>
      <c r="H451" s="500"/>
      <c r="I451" s="501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  <c r="AA451" s="166"/>
      <c r="AB451" s="166"/>
      <c r="AC451" s="166"/>
      <c r="AD451" s="166"/>
      <c r="AE451" s="166"/>
      <c r="AF451" s="166"/>
      <c r="AG451" s="166"/>
    </row>
    <row r="452" spans="1:33">
      <c r="A452" s="166"/>
      <c r="B452" s="498"/>
      <c r="C452" s="498"/>
      <c r="D452" s="498"/>
      <c r="E452" s="498"/>
      <c r="F452" s="498"/>
      <c r="G452" s="166"/>
      <c r="H452" s="500"/>
      <c r="I452" s="501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  <c r="AA452" s="166"/>
      <c r="AB452" s="166"/>
      <c r="AC452" s="166"/>
      <c r="AD452" s="166"/>
      <c r="AE452" s="166"/>
      <c r="AF452" s="166"/>
      <c r="AG452" s="166"/>
    </row>
    <row r="453" spans="1:33">
      <c r="A453" s="166"/>
      <c r="B453" s="498"/>
      <c r="C453" s="498"/>
      <c r="D453" s="498"/>
      <c r="E453" s="498"/>
      <c r="F453" s="498"/>
      <c r="G453" s="166"/>
      <c r="H453" s="500"/>
      <c r="I453" s="501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  <c r="AA453" s="166"/>
      <c r="AB453" s="166"/>
      <c r="AC453" s="166"/>
      <c r="AD453" s="166"/>
      <c r="AE453" s="166"/>
      <c r="AF453" s="166"/>
      <c r="AG453" s="166"/>
    </row>
    <row r="454" spans="1:33">
      <c r="A454" s="166"/>
      <c r="B454" s="498"/>
      <c r="C454" s="498"/>
      <c r="D454" s="498"/>
      <c r="E454" s="498"/>
      <c r="F454" s="498"/>
      <c r="G454" s="166"/>
      <c r="H454" s="500"/>
      <c r="I454" s="501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  <c r="AA454" s="166"/>
      <c r="AB454" s="166"/>
      <c r="AC454" s="166"/>
      <c r="AD454" s="166"/>
      <c r="AE454" s="166"/>
      <c r="AF454" s="166"/>
      <c r="AG454" s="166"/>
    </row>
    <row r="455" spans="1:33">
      <c r="A455" s="166"/>
      <c r="B455" s="498"/>
      <c r="C455" s="498"/>
      <c r="D455" s="498"/>
      <c r="E455" s="498"/>
      <c r="F455" s="498"/>
      <c r="G455" s="166"/>
      <c r="H455" s="500"/>
      <c r="I455" s="501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  <c r="AA455" s="166"/>
      <c r="AB455" s="166"/>
      <c r="AC455" s="166"/>
      <c r="AD455" s="166"/>
      <c r="AE455" s="166"/>
      <c r="AF455" s="166"/>
      <c r="AG455" s="166"/>
    </row>
    <row r="456" spans="1:33">
      <c r="A456" s="166"/>
      <c r="B456" s="498"/>
      <c r="C456" s="498"/>
      <c r="D456" s="498"/>
      <c r="E456" s="498"/>
      <c r="F456" s="498"/>
      <c r="G456" s="166"/>
      <c r="H456" s="500"/>
      <c r="I456" s="501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  <c r="AA456" s="166"/>
      <c r="AB456" s="166"/>
      <c r="AC456" s="166"/>
      <c r="AD456" s="166"/>
      <c r="AE456" s="166"/>
      <c r="AF456" s="166"/>
      <c r="AG456" s="166"/>
    </row>
    <row r="457" spans="1:33">
      <c r="A457" s="166"/>
      <c r="B457" s="498"/>
      <c r="C457" s="498"/>
      <c r="D457" s="498"/>
      <c r="E457" s="498"/>
      <c r="F457" s="498"/>
      <c r="G457" s="166"/>
      <c r="H457" s="500"/>
      <c r="I457" s="501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  <c r="AA457" s="166"/>
      <c r="AB457" s="166"/>
      <c r="AC457" s="166"/>
      <c r="AD457" s="166"/>
      <c r="AE457" s="166"/>
      <c r="AF457" s="166"/>
      <c r="AG457" s="166"/>
    </row>
    <row r="458" spans="1:33">
      <c r="A458" s="166"/>
      <c r="B458" s="498"/>
      <c r="C458" s="498"/>
      <c r="D458" s="498"/>
      <c r="E458" s="498"/>
      <c r="F458" s="498"/>
      <c r="G458" s="166"/>
      <c r="H458" s="500"/>
      <c r="I458" s="501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  <c r="AA458" s="166"/>
      <c r="AB458" s="166"/>
      <c r="AC458" s="166"/>
      <c r="AD458" s="166"/>
      <c r="AE458" s="166"/>
      <c r="AF458" s="166"/>
      <c r="AG458" s="166"/>
    </row>
    <row r="459" spans="1:33">
      <c r="A459" s="166"/>
      <c r="B459" s="498"/>
      <c r="C459" s="498"/>
      <c r="D459" s="498"/>
      <c r="E459" s="498"/>
      <c r="F459" s="498"/>
      <c r="G459" s="166"/>
      <c r="H459" s="500"/>
      <c r="I459" s="501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  <c r="AA459" s="166"/>
      <c r="AB459" s="166"/>
      <c r="AC459" s="166"/>
      <c r="AD459" s="166"/>
      <c r="AE459" s="166"/>
      <c r="AF459" s="166"/>
      <c r="AG459" s="166"/>
    </row>
    <row r="460" spans="1:33">
      <c r="A460" s="166"/>
      <c r="B460" s="498"/>
      <c r="C460" s="498"/>
      <c r="D460" s="498"/>
      <c r="E460" s="498"/>
      <c r="F460" s="498"/>
      <c r="G460" s="166"/>
      <c r="H460" s="500"/>
      <c r="I460" s="501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  <c r="AA460" s="166"/>
      <c r="AB460" s="166"/>
      <c r="AC460" s="166"/>
      <c r="AD460" s="166"/>
      <c r="AE460" s="166"/>
      <c r="AF460" s="166"/>
      <c r="AG460" s="166"/>
    </row>
    <row r="461" spans="1:33">
      <c r="A461" s="166"/>
      <c r="B461" s="498"/>
      <c r="C461" s="498"/>
      <c r="D461" s="498"/>
      <c r="E461" s="498"/>
      <c r="F461" s="498"/>
      <c r="G461" s="166"/>
      <c r="H461" s="500"/>
      <c r="I461" s="501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  <c r="AA461" s="166"/>
      <c r="AB461" s="166"/>
      <c r="AC461" s="166"/>
      <c r="AD461" s="166"/>
      <c r="AE461" s="166"/>
      <c r="AF461" s="166"/>
      <c r="AG461" s="166"/>
    </row>
    <row r="462" spans="1:33">
      <c r="A462" s="166"/>
      <c r="B462" s="498"/>
      <c r="C462" s="498"/>
      <c r="D462" s="498"/>
      <c r="E462" s="498"/>
      <c r="F462" s="498"/>
      <c r="G462" s="166"/>
      <c r="H462" s="500"/>
      <c r="I462" s="501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  <c r="AA462" s="166"/>
      <c r="AB462" s="166"/>
      <c r="AC462" s="166"/>
      <c r="AD462" s="166"/>
      <c r="AE462" s="166"/>
      <c r="AF462" s="166"/>
      <c r="AG462" s="166"/>
    </row>
    <row r="463" spans="1:33">
      <c r="A463" s="166"/>
      <c r="B463" s="498"/>
      <c r="C463" s="498"/>
      <c r="D463" s="498"/>
      <c r="E463" s="498"/>
      <c r="F463" s="498"/>
      <c r="G463" s="166"/>
      <c r="H463" s="500"/>
      <c r="I463" s="501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  <c r="AA463" s="166"/>
      <c r="AB463" s="166"/>
      <c r="AC463" s="166"/>
      <c r="AD463" s="166"/>
      <c r="AE463" s="166"/>
      <c r="AF463" s="166"/>
      <c r="AG463" s="166"/>
    </row>
    <row r="464" spans="1:33">
      <c r="A464" s="166"/>
      <c r="B464" s="498"/>
      <c r="C464" s="498"/>
      <c r="D464" s="498"/>
      <c r="E464" s="498"/>
      <c r="F464" s="498"/>
      <c r="G464" s="166"/>
      <c r="H464" s="500"/>
      <c r="I464" s="501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  <c r="AA464" s="166"/>
      <c r="AB464" s="166"/>
      <c r="AC464" s="166"/>
      <c r="AD464" s="166"/>
      <c r="AE464" s="166"/>
      <c r="AF464" s="166"/>
      <c r="AG464" s="166"/>
    </row>
    <row r="465" spans="1:33">
      <c r="A465" s="166"/>
      <c r="B465" s="498"/>
      <c r="C465" s="498"/>
      <c r="D465" s="498"/>
      <c r="E465" s="498"/>
      <c r="F465" s="498"/>
      <c r="G465" s="166"/>
      <c r="H465" s="500"/>
      <c r="I465" s="501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  <c r="AA465" s="166"/>
      <c r="AB465" s="166"/>
      <c r="AC465" s="166"/>
      <c r="AD465" s="166"/>
      <c r="AE465" s="166"/>
      <c r="AF465" s="166"/>
      <c r="AG465" s="166"/>
    </row>
    <row r="466" spans="1:33">
      <c r="A466" s="166"/>
      <c r="B466" s="498"/>
      <c r="C466" s="498"/>
      <c r="D466" s="498"/>
      <c r="E466" s="498"/>
      <c r="F466" s="498"/>
      <c r="G466" s="166"/>
      <c r="H466" s="500"/>
      <c r="I466" s="501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  <c r="AA466" s="166"/>
      <c r="AB466" s="166"/>
      <c r="AC466" s="166"/>
      <c r="AD466" s="166"/>
      <c r="AE466" s="166"/>
      <c r="AF466" s="166"/>
      <c r="AG466" s="166"/>
    </row>
    <row r="467" spans="1:33">
      <c r="A467" s="166"/>
      <c r="B467" s="498"/>
      <c r="C467" s="498"/>
      <c r="D467" s="498"/>
      <c r="E467" s="498"/>
      <c r="F467" s="498"/>
      <c r="G467" s="166"/>
      <c r="H467" s="500"/>
      <c r="I467" s="501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  <c r="AA467" s="166"/>
      <c r="AB467" s="166"/>
      <c r="AC467" s="166"/>
      <c r="AD467" s="166"/>
      <c r="AE467" s="166"/>
      <c r="AF467" s="166"/>
      <c r="AG467" s="166"/>
    </row>
    <row r="468" spans="1:33">
      <c r="A468" s="166"/>
      <c r="B468" s="498"/>
      <c r="C468" s="498"/>
      <c r="D468" s="498"/>
      <c r="E468" s="498"/>
      <c r="F468" s="498"/>
      <c r="G468" s="166"/>
      <c r="H468" s="500"/>
      <c r="I468" s="501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  <c r="AA468" s="166"/>
      <c r="AB468" s="166"/>
      <c r="AC468" s="166"/>
      <c r="AD468" s="166"/>
      <c r="AE468" s="166"/>
      <c r="AF468" s="166"/>
      <c r="AG468" s="166"/>
    </row>
    <row r="469" spans="1:33">
      <c r="A469" s="166"/>
      <c r="B469" s="498"/>
      <c r="C469" s="498"/>
      <c r="D469" s="498"/>
      <c r="E469" s="498"/>
      <c r="F469" s="498"/>
      <c r="G469" s="166"/>
      <c r="H469" s="500"/>
      <c r="I469" s="501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6"/>
      <c r="AG469" s="166"/>
    </row>
    <row r="470" spans="1:33">
      <c r="A470" s="166"/>
      <c r="B470" s="498"/>
      <c r="C470" s="498"/>
      <c r="D470" s="498"/>
      <c r="E470" s="498"/>
      <c r="F470" s="498"/>
      <c r="G470" s="166"/>
      <c r="H470" s="500"/>
      <c r="I470" s="501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  <c r="AA470" s="166"/>
      <c r="AB470" s="166"/>
      <c r="AC470" s="166"/>
      <c r="AD470" s="166"/>
      <c r="AE470" s="166"/>
      <c r="AF470" s="166"/>
      <c r="AG470" s="166"/>
    </row>
    <row r="471" spans="1:33">
      <c r="A471" s="166"/>
      <c r="B471" s="498"/>
      <c r="C471" s="498"/>
      <c r="D471" s="498"/>
      <c r="E471" s="498"/>
      <c r="F471" s="498"/>
      <c r="G471" s="166"/>
      <c r="H471" s="500"/>
      <c r="I471" s="501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  <c r="AA471" s="166"/>
      <c r="AB471" s="166"/>
      <c r="AC471" s="166"/>
      <c r="AD471" s="166"/>
      <c r="AE471" s="166"/>
      <c r="AF471" s="166"/>
      <c r="AG471" s="166"/>
    </row>
    <row r="472" spans="1:33">
      <c r="A472" s="166"/>
      <c r="B472" s="498"/>
      <c r="C472" s="498"/>
      <c r="D472" s="498"/>
      <c r="E472" s="498"/>
      <c r="F472" s="498"/>
      <c r="G472" s="166"/>
      <c r="H472" s="500"/>
      <c r="I472" s="501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  <c r="AA472" s="166"/>
      <c r="AB472" s="166"/>
      <c r="AC472" s="166"/>
      <c r="AD472" s="166"/>
      <c r="AE472" s="166"/>
      <c r="AF472" s="166"/>
      <c r="AG472" s="166"/>
    </row>
    <row r="473" spans="1:33">
      <c r="A473" s="166"/>
      <c r="B473" s="498"/>
      <c r="C473" s="498"/>
      <c r="D473" s="498"/>
      <c r="E473" s="498"/>
      <c r="F473" s="498"/>
      <c r="G473" s="166"/>
      <c r="H473" s="500"/>
      <c r="I473" s="501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  <c r="AA473" s="166"/>
      <c r="AB473" s="166"/>
      <c r="AC473" s="166"/>
      <c r="AD473" s="166"/>
      <c r="AE473" s="166"/>
      <c r="AF473" s="166"/>
      <c r="AG473" s="166"/>
    </row>
    <row r="474" spans="1:33">
      <c r="A474" s="166"/>
      <c r="B474" s="498"/>
      <c r="C474" s="498"/>
      <c r="D474" s="498"/>
      <c r="E474" s="498"/>
      <c r="F474" s="498"/>
      <c r="G474" s="166"/>
      <c r="H474" s="500"/>
      <c r="I474" s="501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  <c r="AA474" s="166"/>
      <c r="AB474" s="166"/>
      <c r="AC474" s="166"/>
      <c r="AD474" s="166"/>
      <c r="AE474" s="166"/>
      <c r="AF474" s="166"/>
      <c r="AG474" s="166"/>
    </row>
    <row r="475" spans="1:33">
      <c r="A475" s="166"/>
      <c r="B475" s="498"/>
      <c r="C475" s="498"/>
      <c r="D475" s="498"/>
      <c r="E475" s="498"/>
      <c r="F475" s="498"/>
      <c r="G475" s="166"/>
      <c r="H475" s="500"/>
      <c r="I475" s="501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  <c r="AA475" s="166"/>
      <c r="AB475" s="166"/>
      <c r="AC475" s="166"/>
      <c r="AD475" s="166"/>
      <c r="AE475" s="166"/>
      <c r="AF475" s="166"/>
      <c r="AG475" s="166"/>
    </row>
    <row r="476" spans="1:33">
      <c r="A476" s="166"/>
      <c r="B476" s="498"/>
      <c r="C476" s="498"/>
      <c r="D476" s="498"/>
      <c r="E476" s="498"/>
      <c r="F476" s="498"/>
      <c r="G476" s="166"/>
      <c r="H476" s="500"/>
      <c r="I476" s="501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  <c r="AA476" s="166"/>
      <c r="AB476" s="166"/>
      <c r="AC476" s="166"/>
      <c r="AD476" s="166"/>
      <c r="AE476" s="166"/>
      <c r="AF476" s="166"/>
      <c r="AG476" s="166"/>
    </row>
    <row r="477" spans="1:33">
      <c r="A477" s="166"/>
      <c r="B477" s="498"/>
      <c r="C477" s="498"/>
      <c r="D477" s="498"/>
      <c r="E477" s="498"/>
      <c r="F477" s="498"/>
      <c r="G477" s="166"/>
      <c r="H477" s="500"/>
      <c r="I477" s="501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  <c r="AA477" s="166"/>
      <c r="AB477" s="166"/>
      <c r="AC477" s="166"/>
      <c r="AD477" s="166"/>
      <c r="AE477" s="166"/>
      <c r="AF477" s="166"/>
      <c r="AG477" s="166"/>
    </row>
    <row r="478" spans="1:33">
      <c r="A478" s="166"/>
      <c r="B478" s="498"/>
      <c r="C478" s="498"/>
      <c r="D478" s="498"/>
      <c r="E478" s="498"/>
      <c r="F478" s="498"/>
      <c r="G478" s="166"/>
      <c r="H478" s="500"/>
      <c r="I478" s="501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  <c r="AA478" s="166"/>
      <c r="AB478" s="166"/>
      <c r="AC478" s="166"/>
      <c r="AD478" s="166"/>
      <c r="AE478" s="166"/>
      <c r="AF478" s="166"/>
      <c r="AG478" s="166"/>
    </row>
    <row r="479" spans="1:33">
      <c r="A479" s="166"/>
      <c r="B479" s="498"/>
      <c r="C479" s="498"/>
      <c r="D479" s="498"/>
      <c r="E479" s="498"/>
      <c r="F479" s="498"/>
      <c r="G479" s="166"/>
      <c r="H479" s="500"/>
      <c r="I479" s="501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  <c r="AA479" s="166"/>
      <c r="AB479" s="166"/>
      <c r="AC479" s="166"/>
      <c r="AD479" s="166"/>
      <c r="AE479" s="166"/>
      <c r="AF479" s="166"/>
      <c r="AG479" s="166"/>
    </row>
    <row r="480" spans="1:33">
      <c r="A480" s="166"/>
      <c r="B480" s="498"/>
      <c r="C480" s="498"/>
      <c r="D480" s="498"/>
      <c r="E480" s="498"/>
      <c r="F480" s="498"/>
      <c r="G480" s="166"/>
      <c r="H480" s="500"/>
      <c r="I480" s="501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  <c r="AA480" s="166"/>
      <c r="AB480" s="166"/>
      <c r="AC480" s="166"/>
      <c r="AD480" s="166"/>
      <c r="AE480" s="166"/>
      <c r="AF480" s="166"/>
      <c r="AG480" s="166"/>
    </row>
    <row r="481" spans="1:33">
      <c r="A481" s="166"/>
      <c r="B481" s="498"/>
      <c r="C481" s="498"/>
      <c r="D481" s="498"/>
      <c r="E481" s="498"/>
      <c r="F481" s="498"/>
      <c r="G481" s="166"/>
      <c r="H481" s="500"/>
      <c r="I481" s="501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6"/>
    </row>
    <row r="482" spans="1:33">
      <c r="A482" s="166"/>
      <c r="B482" s="498"/>
      <c r="C482" s="498"/>
      <c r="D482" s="498"/>
      <c r="E482" s="498"/>
      <c r="F482" s="498"/>
      <c r="G482" s="166"/>
      <c r="H482" s="500"/>
      <c r="I482" s="501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  <c r="AA482" s="166"/>
      <c r="AB482" s="166"/>
      <c r="AC482" s="166"/>
      <c r="AD482" s="166"/>
      <c r="AE482" s="166"/>
      <c r="AF482" s="166"/>
      <c r="AG482" s="166"/>
    </row>
    <row r="483" spans="1:33">
      <c r="A483" s="166"/>
      <c r="B483" s="498"/>
      <c r="C483" s="498"/>
      <c r="D483" s="498"/>
      <c r="E483" s="498"/>
      <c r="F483" s="498"/>
      <c r="G483" s="166"/>
      <c r="H483" s="500"/>
      <c r="I483" s="501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  <c r="AA483" s="166"/>
      <c r="AB483" s="166"/>
      <c r="AC483" s="166"/>
      <c r="AD483" s="166"/>
      <c r="AE483" s="166"/>
      <c r="AF483" s="166"/>
      <c r="AG483" s="166"/>
    </row>
    <row r="484" spans="1:33">
      <c r="A484" s="166"/>
      <c r="B484" s="498"/>
      <c r="C484" s="498"/>
      <c r="D484" s="498"/>
      <c r="E484" s="498"/>
      <c r="F484" s="498"/>
      <c r="G484" s="166"/>
      <c r="H484" s="500"/>
      <c r="I484" s="501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  <c r="AA484" s="166"/>
      <c r="AB484" s="166"/>
      <c r="AC484" s="166"/>
      <c r="AD484" s="166"/>
      <c r="AE484" s="166"/>
      <c r="AF484" s="166"/>
      <c r="AG484" s="166"/>
    </row>
    <row r="485" spans="1:33">
      <c r="A485" s="166"/>
      <c r="B485" s="498"/>
      <c r="C485" s="498"/>
      <c r="D485" s="498"/>
      <c r="E485" s="498"/>
      <c r="F485" s="498"/>
      <c r="G485" s="166"/>
      <c r="H485" s="500"/>
      <c r="I485" s="501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  <c r="AA485" s="166"/>
      <c r="AB485" s="166"/>
      <c r="AC485" s="166"/>
      <c r="AD485" s="166"/>
      <c r="AE485" s="166"/>
      <c r="AF485" s="166"/>
      <c r="AG485" s="166"/>
    </row>
    <row r="486" spans="1:33">
      <c r="A486" s="166"/>
      <c r="B486" s="498"/>
      <c r="C486" s="498"/>
      <c r="D486" s="498"/>
      <c r="E486" s="498"/>
      <c r="F486" s="498"/>
      <c r="G486" s="166"/>
      <c r="H486" s="500"/>
      <c r="I486" s="501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  <c r="AA486" s="166"/>
      <c r="AB486" s="166"/>
      <c r="AC486" s="166"/>
      <c r="AD486" s="166"/>
      <c r="AE486" s="166"/>
      <c r="AF486" s="166"/>
      <c r="AG486" s="166"/>
    </row>
    <row r="487" spans="1:33">
      <c r="A487" s="166"/>
      <c r="B487" s="498"/>
      <c r="C487" s="498"/>
      <c r="D487" s="498"/>
      <c r="E487" s="498"/>
      <c r="F487" s="498"/>
      <c r="G487" s="166"/>
      <c r="H487" s="500"/>
      <c r="I487" s="501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  <c r="AA487" s="166"/>
      <c r="AB487" s="166"/>
      <c r="AC487" s="166"/>
      <c r="AD487" s="166"/>
      <c r="AE487" s="166"/>
      <c r="AF487" s="166"/>
      <c r="AG487" s="166"/>
    </row>
    <row r="488" spans="1:33">
      <c r="A488" s="166"/>
      <c r="B488" s="498"/>
      <c r="C488" s="498"/>
      <c r="D488" s="498"/>
      <c r="E488" s="498"/>
      <c r="F488" s="498"/>
      <c r="G488" s="166"/>
      <c r="H488" s="500"/>
      <c r="I488" s="501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  <c r="AA488" s="166"/>
      <c r="AB488" s="166"/>
      <c r="AC488" s="166"/>
      <c r="AD488" s="166"/>
      <c r="AE488" s="166"/>
      <c r="AF488" s="166"/>
      <c r="AG488" s="166"/>
    </row>
    <row r="489" spans="1:33">
      <c r="A489" s="166"/>
      <c r="B489" s="498"/>
      <c r="C489" s="498"/>
      <c r="D489" s="498"/>
      <c r="E489" s="498"/>
      <c r="F489" s="498"/>
      <c r="G489" s="166"/>
      <c r="H489" s="500"/>
      <c r="I489" s="501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  <c r="AA489" s="166"/>
      <c r="AB489" s="166"/>
      <c r="AC489" s="166"/>
      <c r="AD489" s="166"/>
      <c r="AE489" s="166"/>
      <c r="AF489" s="166"/>
      <c r="AG489" s="166"/>
    </row>
    <row r="490" spans="1:33">
      <c r="A490" s="166"/>
      <c r="B490" s="498"/>
      <c r="C490" s="498"/>
      <c r="D490" s="498"/>
      <c r="E490" s="498"/>
      <c r="F490" s="498"/>
      <c r="G490" s="166"/>
      <c r="H490" s="500"/>
      <c r="I490" s="501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  <c r="AA490" s="166"/>
      <c r="AB490" s="166"/>
      <c r="AC490" s="166"/>
      <c r="AD490" s="166"/>
      <c r="AE490" s="166"/>
      <c r="AF490" s="166"/>
      <c r="AG490" s="166"/>
    </row>
    <row r="491" spans="1:33">
      <c r="A491" s="166"/>
      <c r="B491" s="498"/>
      <c r="C491" s="498"/>
      <c r="D491" s="498"/>
      <c r="E491" s="498"/>
      <c r="F491" s="498"/>
      <c r="G491" s="166"/>
      <c r="H491" s="500"/>
      <c r="I491" s="501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  <c r="AA491" s="166"/>
      <c r="AB491" s="166"/>
      <c r="AC491" s="166"/>
      <c r="AD491" s="166"/>
      <c r="AE491" s="166"/>
      <c r="AF491" s="166"/>
      <c r="AG491" s="166"/>
    </row>
    <row r="492" spans="1:33">
      <c r="A492" s="166"/>
      <c r="B492" s="498"/>
      <c r="C492" s="498"/>
      <c r="D492" s="498"/>
      <c r="E492" s="498"/>
      <c r="F492" s="498"/>
      <c r="G492" s="166"/>
      <c r="H492" s="500"/>
      <c r="I492" s="501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  <c r="AA492" s="166"/>
      <c r="AB492" s="166"/>
      <c r="AC492" s="166"/>
      <c r="AD492" s="166"/>
      <c r="AE492" s="166"/>
      <c r="AF492" s="166"/>
      <c r="AG492" s="166"/>
    </row>
    <row r="493" spans="1:33">
      <c r="A493" s="166"/>
      <c r="B493" s="498"/>
      <c r="C493" s="498"/>
      <c r="D493" s="498"/>
      <c r="E493" s="498"/>
      <c r="F493" s="498"/>
      <c r="G493" s="166"/>
      <c r="H493" s="500"/>
      <c r="I493" s="501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  <c r="AA493" s="166"/>
      <c r="AB493" s="166"/>
      <c r="AC493" s="166"/>
      <c r="AD493" s="166"/>
      <c r="AE493" s="166"/>
      <c r="AF493" s="166"/>
      <c r="AG493" s="166"/>
    </row>
    <row r="494" spans="1:33">
      <c r="A494" s="166"/>
      <c r="B494" s="498"/>
      <c r="C494" s="498"/>
      <c r="D494" s="498"/>
      <c r="E494" s="498"/>
      <c r="F494" s="498"/>
      <c r="G494" s="166"/>
      <c r="H494" s="500"/>
      <c r="I494" s="501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  <c r="AA494" s="166"/>
      <c r="AB494" s="166"/>
      <c r="AC494" s="166"/>
      <c r="AD494" s="166"/>
      <c r="AE494" s="166"/>
      <c r="AF494" s="166"/>
      <c r="AG494" s="166"/>
    </row>
    <row r="495" spans="1:33">
      <c r="A495" s="166"/>
      <c r="B495" s="498"/>
      <c r="C495" s="498"/>
      <c r="D495" s="498"/>
      <c r="E495" s="498"/>
      <c r="F495" s="498"/>
      <c r="G495" s="166"/>
      <c r="H495" s="500"/>
      <c r="I495" s="501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  <c r="AA495" s="166"/>
      <c r="AB495" s="166"/>
      <c r="AC495" s="166"/>
      <c r="AD495" s="166"/>
      <c r="AE495" s="166"/>
      <c r="AF495" s="166"/>
      <c r="AG495" s="166"/>
    </row>
    <row r="496" spans="1:33">
      <c r="A496" s="166"/>
      <c r="B496" s="498"/>
      <c r="C496" s="498"/>
      <c r="D496" s="498"/>
      <c r="E496" s="498"/>
      <c r="F496" s="498"/>
      <c r="G496" s="166"/>
      <c r="H496" s="500"/>
      <c r="I496" s="501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  <c r="AA496" s="166"/>
      <c r="AB496" s="166"/>
      <c r="AC496" s="166"/>
      <c r="AD496" s="166"/>
      <c r="AE496" s="166"/>
      <c r="AF496" s="166"/>
      <c r="AG496" s="166"/>
    </row>
    <row r="497" spans="1:33">
      <c r="A497" s="166"/>
      <c r="B497" s="498"/>
      <c r="C497" s="498"/>
      <c r="D497" s="498"/>
      <c r="E497" s="498"/>
      <c r="F497" s="498"/>
      <c r="G497" s="166"/>
      <c r="H497" s="500"/>
      <c r="I497" s="501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  <c r="AA497" s="166"/>
      <c r="AB497" s="166"/>
      <c r="AC497" s="166"/>
      <c r="AD497" s="166"/>
      <c r="AE497" s="166"/>
      <c r="AF497" s="166"/>
      <c r="AG497" s="166"/>
    </row>
    <row r="498" spans="1:33">
      <c r="A498" s="166"/>
      <c r="B498" s="498"/>
      <c r="C498" s="498"/>
      <c r="D498" s="498"/>
      <c r="E498" s="498"/>
      <c r="F498" s="498"/>
      <c r="G498" s="166"/>
      <c r="H498" s="500"/>
      <c r="I498" s="501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6"/>
    </row>
    <row r="499" spans="1:33">
      <c r="A499" s="166"/>
      <c r="B499" s="498"/>
      <c r="C499" s="498"/>
      <c r="D499" s="498"/>
      <c r="E499" s="498"/>
      <c r="F499" s="498"/>
      <c r="G499" s="166"/>
      <c r="H499" s="500"/>
      <c r="I499" s="501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  <c r="AA499" s="166"/>
      <c r="AB499" s="166"/>
      <c r="AC499" s="166"/>
      <c r="AD499" s="166"/>
      <c r="AE499" s="166"/>
      <c r="AF499" s="166"/>
      <c r="AG499" s="166"/>
    </row>
    <row r="500" spans="1:33">
      <c r="A500" s="166"/>
      <c r="B500" s="498"/>
      <c r="C500" s="498"/>
      <c r="D500" s="498"/>
      <c r="E500" s="498"/>
      <c r="F500" s="498"/>
      <c r="G500" s="166"/>
      <c r="H500" s="500"/>
      <c r="I500" s="501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  <c r="AA500" s="166"/>
      <c r="AB500" s="166"/>
      <c r="AC500" s="166"/>
      <c r="AD500" s="166"/>
      <c r="AE500" s="166"/>
      <c r="AF500" s="166"/>
      <c r="AG500" s="166"/>
    </row>
    <row r="501" spans="1:33">
      <c r="A501" s="166"/>
      <c r="B501" s="498"/>
      <c r="C501" s="498"/>
      <c r="D501" s="498"/>
      <c r="E501" s="498"/>
      <c r="F501" s="498"/>
      <c r="G501" s="166"/>
      <c r="H501" s="500"/>
      <c r="I501" s="501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  <c r="AA501" s="166"/>
      <c r="AB501" s="166"/>
      <c r="AC501" s="166"/>
      <c r="AD501" s="166"/>
      <c r="AE501" s="166"/>
      <c r="AF501" s="166"/>
      <c r="AG501" s="166"/>
    </row>
    <row r="502" spans="1:33">
      <c r="A502" s="166"/>
      <c r="B502" s="498"/>
      <c r="C502" s="498"/>
      <c r="D502" s="498"/>
      <c r="E502" s="498"/>
      <c r="F502" s="498"/>
      <c r="G502" s="166"/>
      <c r="H502" s="500"/>
      <c r="I502" s="501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  <c r="AA502" s="166"/>
      <c r="AB502" s="166"/>
      <c r="AC502" s="166"/>
      <c r="AD502" s="166"/>
      <c r="AE502" s="166"/>
      <c r="AF502" s="166"/>
      <c r="AG502" s="166"/>
    </row>
    <row r="503" spans="1:33">
      <c r="A503" s="166"/>
      <c r="B503" s="498"/>
      <c r="C503" s="498"/>
      <c r="D503" s="498"/>
      <c r="E503" s="498"/>
      <c r="F503" s="498"/>
      <c r="G503" s="166"/>
      <c r="H503" s="500"/>
      <c r="I503" s="501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  <c r="AA503" s="166"/>
      <c r="AB503" s="166"/>
      <c r="AC503" s="166"/>
      <c r="AD503" s="166"/>
      <c r="AE503" s="166"/>
      <c r="AF503" s="166"/>
      <c r="AG503" s="166"/>
    </row>
    <row r="504" spans="1:33">
      <c r="A504" s="166"/>
      <c r="B504" s="498"/>
      <c r="C504" s="498"/>
      <c r="D504" s="498"/>
      <c r="E504" s="498"/>
      <c r="F504" s="498"/>
      <c r="G504" s="166"/>
      <c r="H504" s="500"/>
      <c r="I504" s="501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  <c r="AA504" s="166"/>
      <c r="AB504" s="166"/>
      <c r="AC504" s="166"/>
      <c r="AD504" s="166"/>
      <c r="AE504" s="166"/>
      <c r="AF504" s="166"/>
      <c r="AG504" s="166"/>
    </row>
    <row r="505" spans="1:33">
      <c r="A505" s="166"/>
      <c r="B505" s="498"/>
      <c r="C505" s="498"/>
      <c r="D505" s="498"/>
      <c r="E505" s="498"/>
      <c r="F505" s="498"/>
      <c r="G505" s="166"/>
      <c r="H505" s="500"/>
      <c r="I505" s="501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  <c r="AA505" s="166"/>
      <c r="AB505" s="166"/>
      <c r="AC505" s="166"/>
      <c r="AD505" s="166"/>
      <c r="AE505" s="166"/>
      <c r="AF505" s="166"/>
      <c r="AG505" s="166"/>
    </row>
    <row r="506" spans="1:33">
      <c r="A506" s="166"/>
      <c r="B506" s="498"/>
      <c r="C506" s="498"/>
      <c r="D506" s="498"/>
      <c r="E506" s="498"/>
      <c r="F506" s="498"/>
      <c r="G506" s="166"/>
      <c r="H506" s="500"/>
      <c r="I506" s="501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  <c r="AA506" s="166"/>
      <c r="AB506" s="166"/>
      <c r="AC506" s="166"/>
      <c r="AD506" s="166"/>
      <c r="AE506" s="166"/>
      <c r="AF506" s="166"/>
      <c r="AG506" s="166"/>
    </row>
    <row r="507" spans="1:33">
      <c r="A507" s="166"/>
      <c r="B507" s="498"/>
      <c r="C507" s="498"/>
      <c r="D507" s="498"/>
      <c r="E507" s="498"/>
      <c r="F507" s="498"/>
      <c r="G507" s="166"/>
      <c r="H507" s="500"/>
      <c r="I507" s="501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  <c r="AA507" s="166"/>
      <c r="AB507" s="166"/>
      <c r="AC507" s="166"/>
      <c r="AD507" s="166"/>
      <c r="AE507" s="166"/>
      <c r="AF507" s="166"/>
      <c r="AG507" s="166"/>
    </row>
    <row r="508" spans="1:33">
      <c r="A508" s="166"/>
      <c r="B508" s="498"/>
      <c r="C508" s="498"/>
      <c r="D508" s="498"/>
      <c r="E508" s="498"/>
      <c r="F508" s="498"/>
      <c r="G508" s="166"/>
      <c r="H508" s="500"/>
      <c r="I508" s="501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  <c r="AA508" s="166"/>
      <c r="AB508" s="166"/>
      <c r="AC508" s="166"/>
      <c r="AD508" s="166"/>
      <c r="AE508" s="166"/>
      <c r="AF508" s="166"/>
      <c r="AG508" s="166"/>
    </row>
    <row r="509" spans="1:33">
      <c r="A509" s="166"/>
      <c r="B509" s="498"/>
      <c r="C509" s="498"/>
      <c r="D509" s="498"/>
      <c r="E509" s="498"/>
      <c r="F509" s="498"/>
      <c r="G509" s="166"/>
      <c r="H509" s="500"/>
      <c r="I509" s="501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  <c r="AA509" s="166"/>
      <c r="AB509" s="166"/>
      <c r="AC509" s="166"/>
      <c r="AD509" s="166"/>
      <c r="AE509" s="166"/>
      <c r="AF509" s="166"/>
      <c r="AG509" s="166"/>
    </row>
    <row r="510" spans="1:33">
      <c r="A510" s="166"/>
      <c r="B510" s="498"/>
      <c r="C510" s="498"/>
      <c r="D510" s="498"/>
      <c r="E510" s="498"/>
      <c r="F510" s="498"/>
      <c r="G510" s="166"/>
      <c r="H510" s="500"/>
      <c r="I510" s="501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  <c r="AA510" s="166"/>
      <c r="AB510" s="166"/>
      <c r="AC510" s="166"/>
      <c r="AD510" s="166"/>
      <c r="AE510" s="166"/>
      <c r="AF510" s="166"/>
      <c r="AG510" s="166"/>
    </row>
    <row r="511" spans="1:33">
      <c r="A511" s="166"/>
      <c r="B511" s="498"/>
      <c r="C511" s="498"/>
      <c r="D511" s="498"/>
      <c r="E511" s="498"/>
      <c r="F511" s="498"/>
      <c r="G511" s="166"/>
      <c r="H511" s="500"/>
      <c r="I511" s="501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  <c r="AA511" s="166"/>
      <c r="AB511" s="166"/>
      <c r="AC511" s="166"/>
      <c r="AD511" s="166"/>
      <c r="AE511" s="166"/>
      <c r="AF511" s="166"/>
      <c r="AG511" s="166"/>
    </row>
    <row r="512" spans="1:33">
      <c r="A512" s="166"/>
      <c r="B512" s="498"/>
      <c r="C512" s="498"/>
      <c r="D512" s="498"/>
      <c r="E512" s="498"/>
      <c r="F512" s="498"/>
      <c r="G512" s="166"/>
      <c r="H512" s="500"/>
      <c r="I512" s="501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  <c r="AA512" s="166"/>
      <c r="AB512" s="166"/>
      <c r="AC512" s="166"/>
      <c r="AD512" s="166"/>
      <c r="AE512" s="166"/>
      <c r="AF512" s="166"/>
      <c r="AG512" s="166"/>
    </row>
    <row r="513" spans="1:33">
      <c r="A513" s="166"/>
      <c r="B513" s="498"/>
      <c r="C513" s="498"/>
      <c r="D513" s="498"/>
      <c r="E513" s="498"/>
      <c r="F513" s="498"/>
      <c r="G513" s="166"/>
      <c r="H513" s="500"/>
      <c r="I513" s="501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  <c r="AA513" s="166"/>
      <c r="AB513" s="166"/>
      <c r="AC513" s="166"/>
      <c r="AD513" s="166"/>
      <c r="AE513" s="166"/>
      <c r="AF513" s="166"/>
      <c r="AG513" s="166"/>
    </row>
    <row r="514" spans="1:33">
      <c r="A514" s="166"/>
      <c r="B514" s="498"/>
      <c r="C514" s="498"/>
      <c r="D514" s="498"/>
      <c r="E514" s="498"/>
      <c r="F514" s="498"/>
      <c r="G514" s="166"/>
      <c r="H514" s="500"/>
      <c r="I514" s="501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  <c r="AA514" s="166"/>
      <c r="AB514" s="166"/>
      <c r="AC514" s="166"/>
      <c r="AD514" s="166"/>
      <c r="AE514" s="166"/>
      <c r="AF514" s="166"/>
      <c r="AG514" s="166"/>
    </row>
    <row r="515" spans="1:33">
      <c r="A515" s="166"/>
      <c r="B515" s="498"/>
      <c r="C515" s="498"/>
      <c r="D515" s="498"/>
      <c r="E515" s="498"/>
      <c r="F515" s="498"/>
      <c r="G515" s="166"/>
      <c r="H515" s="500"/>
      <c r="I515" s="501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  <c r="AA515" s="166"/>
      <c r="AB515" s="166"/>
      <c r="AC515" s="166"/>
      <c r="AD515" s="166"/>
      <c r="AE515" s="166"/>
      <c r="AF515" s="166"/>
      <c r="AG515" s="166"/>
    </row>
    <row r="516" spans="1:33">
      <c r="A516" s="166"/>
      <c r="B516" s="498"/>
      <c r="C516" s="498"/>
      <c r="D516" s="498"/>
      <c r="E516" s="498"/>
      <c r="F516" s="498"/>
      <c r="G516" s="166"/>
      <c r="H516" s="500"/>
      <c r="I516" s="501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  <c r="AA516" s="166"/>
      <c r="AB516" s="166"/>
      <c r="AC516" s="166"/>
      <c r="AD516" s="166"/>
      <c r="AE516" s="166"/>
      <c r="AF516" s="166"/>
      <c r="AG516" s="166"/>
    </row>
    <row r="517" spans="1:33">
      <c r="A517" s="166"/>
      <c r="B517" s="498"/>
      <c r="C517" s="498"/>
      <c r="D517" s="498"/>
      <c r="E517" s="498"/>
      <c r="F517" s="498"/>
      <c r="G517" s="166"/>
      <c r="H517" s="500"/>
      <c r="I517" s="501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  <c r="AA517" s="166"/>
      <c r="AB517" s="166"/>
      <c r="AC517" s="166"/>
      <c r="AD517" s="166"/>
      <c r="AE517" s="166"/>
      <c r="AF517" s="166"/>
      <c r="AG517" s="166"/>
    </row>
    <row r="518" spans="1:33">
      <c r="A518" s="166"/>
      <c r="B518" s="498"/>
      <c r="C518" s="498"/>
      <c r="D518" s="498"/>
      <c r="E518" s="498"/>
      <c r="F518" s="498"/>
      <c r="G518" s="166"/>
      <c r="H518" s="500"/>
      <c r="I518" s="501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  <c r="AA518" s="166"/>
      <c r="AB518" s="166"/>
      <c r="AC518" s="166"/>
      <c r="AD518" s="166"/>
      <c r="AE518" s="166"/>
      <c r="AF518" s="166"/>
      <c r="AG518" s="166"/>
    </row>
    <row r="519" spans="1:33">
      <c r="A519" s="166"/>
      <c r="B519" s="498"/>
      <c r="C519" s="498"/>
      <c r="D519" s="498"/>
      <c r="E519" s="498"/>
      <c r="F519" s="498"/>
      <c r="G519" s="166"/>
      <c r="H519" s="500"/>
      <c r="I519" s="501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  <c r="AA519" s="166"/>
      <c r="AB519" s="166"/>
      <c r="AC519" s="166"/>
      <c r="AD519" s="166"/>
      <c r="AE519" s="166"/>
      <c r="AF519" s="166"/>
      <c r="AG519" s="166"/>
    </row>
    <row r="520" spans="1:33">
      <c r="A520" s="166"/>
      <c r="B520" s="498"/>
      <c r="C520" s="498"/>
      <c r="D520" s="498"/>
      <c r="E520" s="498"/>
      <c r="F520" s="498"/>
      <c r="G520" s="166"/>
      <c r="H520" s="500"/>
      <c r="I520" s="501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  <c r="AA520" s="166"/>
      <c r="AB520" s="166"/>
      <c r="AC520" s="166"/>
      <c r="AD520" s="166"/>
      <c r="AE520" s="166"/>
      <c r="AF520" s="166"/>
      <c r="AG520" s="166"/>
    </row>
    <row r="521" spans="1:33">
      <c r="A521" s="166"/>
      <c r="B521" s="498"/>
      <c r="C521" s="498"/>
      <c r="D521" s="498"/>
      <c r="E521" s="498"/>
      <c r="F521" s="498"/>
      <c r="G521" s="166"/>
      <c r="H521" s="500"/>
      <c r="I521" s="501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6"/>
      <c r="AG521" s="166"/>
    </row>
    <row r="522" spans="1:33">
      <c r="A522" s="166"/>
      <c r="B522" s="498"/>
      <c r="C522" s="498"/>
      <c r="D522" s="498"/>
      <c r="E522" s="498"/>
      <c r="F522" s="498"/>
      <c r="G522" s="166"/>
      <c r="H522" s="500"/>
      <c r="I522" s="501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  <c r="AA522" s="166"/>
      <c r="AB522" s="166"/>
      <c r="AC522" s="166"/>
      <c r="AD522" s="166"/>
      <c r="AE522" s="166"/>
      <c r="AF522" s="166"/>
      <c r="AG522" s="166"/>
    </row>
    <row r="523" spans="1:33">
      <c r="A523" s="166"/>
      <c r="B523" s="498"/>
      <c r="C523" s="498"/>
      <c r="D523" s="498"/>
      <c r="E523" s="498"/>
      <c r="F523" s="498"/>
      <c r="G523" s="166"/>
      <c r="H523" s="500"/>
      <c r="I523" s="501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  <c r="AA523" s="166"/>
      <c r="AB523" s="166"/>
      <c r="AC523" s="166"/>
      <c r="AD523" s="166"/>
      <c r="AE523" s="166"/>
      <c r="AF523" s="166"/>
      <c r="AG523" s="166"/>
    </row>
    <row r="524" spans="1:33">
      <c r="A524" s="166"/>
      <c r="B524" s="498"/>
      <c r="C524" s="498"/>
      <c r="D524" s="498"/>
      <c r="E524" s="498"/>
      <c r="F524" s="498"/>
      <c r="G524" s="166"/>
      <c r="H524" s="500"/>
      <c r="I524" s="501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  <c r="AA524" s="166"/>
      <c r="AB524" s="166"/>
      <c r="AC524" s="166"/>
      <c r="AD524" s="166"/>
      <c r="AE524" s="166"/>
      <c r="AF524" s="166"/>
      <c r="AG524" s="166"/>
    </row>
    <row r="525" spans="1:33">
      <c r="A525" s="166"/>
      <c r="B525" s="498"/>
      <c r="C525" s="498"/>
      <c r="D525" s="498"/>
      <c r="E525" s="498"/>
      <c r="F525" s="498"/>
      <c r="G525" s="166"/>
      <c r="H525" s="500"/>
      <c r="I525" s="501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  <c r="AA525" s="166"/>
      <c r="AB525" s="166"/>
      <c r="AC525" s="166"/>
      <c r="AD525" s="166"/>
      <c r="AE525" s="166"/>
      <c r="AF525" s="166"/>
      <c r="AG525" s="166"/>
    </row>
    <row r="526" spans="1:33">
      <c r="A526" s="166"/>
      <c r="B526" s="498"/>
      <c r="C526" s="498"/>
      <c r="D526" s="498"/>
      <c r="E526" s="498"/>
      <c r="F526" s="498"/>
      <c r="G526" s="166"/>
      <c r="H526" s="500"/>
      <c r="I526" s="501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  <c r="AA526" s="166"/>
      <c r="AB526" s="166"/>
      <c r="AC526" s="166"/>
      <c r="AD526" s="166"/>
      <c r="AE526" s="166"/>
      <c r="AF526" s="166"/>
      <c r="AG526" s="166"/>
    </row>
    <row r="527" spans="1:33">
      <c r="A527" s="166"/>
      <c r="B527" s="498"/>
      <c r="C527" s="498"/>
      <c r="D527" s="498"/>
      <c r="E527" s="498"/>
      <c r="F527" s="498"/>
      <c r="G527" s="166"/>
      <c r="H527" s="500"/>
      <c r="I527" s="501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  <c r="AA527" s="166"/>
      <c r="AB527" s="166"/>
      <c r="AC527" s="166"/>
      <c r="AD527" s="166"/>
      <c r="AE527" s="166"/>
      <c r="AF527" s="166"/>
      <c r="AG527" s="166"/>
    </row>
    <row r="528" spans="1:33">
      <c r="A528" s="166"/>
      <c r="B528" s="498"/>
      <c r="C528" s="498"/>
      <c r="D528" s="498"/>
      <c r="E528" s="498"/>
      <c r="F528" s="498"/>
      <c r="G528" s="166"/>
      <c r="H528" s="500"/>
      <c r="I528" s="501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  <c r="AA528" s="166"/>
      <c r="AB528" s="166"/>
      <c r="AC528" s="166"/>
      <c r="AD528" s="166"/>
      <c r="AE528" s="166"/>
      <c r="AF528" s="166"/>
      <c r="AG528" s="166"/>
    </row>
    <row r="529" spans="1:33">
      <c r="A529" s="166"/>
      <c r="B529" s="498"/>
      <c r="C529" s="498"/>
      <c r="D529" s="498"/>
      <c r="E529" s="498"/>
      <c r="F529" s="498"/>
      <c r="G529" s="166"/>
      <c r="H529" s="500"/>
      <c r="I529" s="501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  <c r="AA529" s="166"/>
      <c r="AB529" s="166"/>
      <c r="AC529" s="166"/>
      <c r="AD529" s="166"/>
      <c r="AE529" s="166"/>
      <c r="AF529" s="166"/>
      <c r="AG529" s="166"/>
    </row>
    <row r="530" spans="1:33">
      <c r="A530" s="166"/>
      <c r="B530" s="498"/>
      <c r="C530" s="498"/>
      <c r="D530" s="498"/>
      <c r="E530" s="498"/>
      <c r="F530" s="498"/>
      <c r="G530" s="166"/>
      <c r="H530" s="500"/>
      <c r="I530" s="501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  <c r="AA530" s="166"/>
      <c r="AB530" s="166"/>
      <c r="AC530" s="166"/>
      <c r="AD530" s="166"/>
      <c r="AE530" s="166"/>
      <c r="AF530" s="166"/>
      <c r="AG530" s="166"/>
    </row>
    <row r="531" spans="1:33">
      <c r="A531" s="166"/>
      <c r="B531" s="498"/>
      <c r="C531" s="498"/>
      <c r="D531" s="498"/>
      <c r="E531" s="498"/>
      <c r="F531" s="498"/>
      <c r="G531" s="166"/>
      <c r="H531" s="500"/>
      <c r="I531" s="501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  <c r="AA531" s="166"/>
      <c r="AB531" s="166"/>
      <c r="AC531" s="166"/>
      <c r="AD531" s="166"/>
      <c r="AE531" s="166"/>
      <c r="AF531" s="166"/>
      <c r="AG531" s="166"/>
    </row>
    <row r="532" spans="1:33">
      <c r="A532" s="166"/>
      <c r="B532" s="498"/>
      <c r="C532" s="498"/>
      <c r="D532" s="498"/>
      <c r="E532" s="498"/>
      <c r="F532" s="498"/>
      <c r="G532" s="166"/>
      <c r="H532" s="500"/>
      <c r="I532" s="501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  <c r="AA532" s="166"/>
      <c r="AB532" s="166"/>
      <c r="AC532" s="166"/>
      <c r="AD532" s="166"/>
      <c r="AE532" s="166"/>
      <c r="AF532" s="166"/>
      <c r="AG532" s="166"/>
    </row>
    <row r="533" spans="1:33">
      <c r="A533" s="166"/>
      <c r="B533" s="498"/>
      <c r="C533" s="498"/>
      <c r="D533" s="498"/>
      <c r="E533" s="498"/>
      <c r="F533" s="498"/>
      <c r="G533" s="166"/>
      <c r="H533" s="500"/>
      <c r="I533" s="501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6"/>
    </row>
    <row r="534" spans="1:33">
      <c r="A534" s="166"/>
      <c r="B534" s="498"/>
      <c r="C534" s="498"/>
      <c r="D534" s="498"/>
      <c r="E534" s="498"/>
      <c r="F534" s="498"/>
      <c r="G534" s="166"/>
      <c r="H534" s="500"/>
      <c r="I534" s="501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  <c r="AA534" s="166"/>
      <c r="AB534" s="166"/>
      <c r="AC534" s="166"/>
      <c r="AD534" s="166"/>
      <c r="AE534" s="166"/>
      <c r="AF534" s="166"/>
      <c r="AG534" s="166"/>
    </row>
    <row r="535" spans="1:33">
      <c r="A535" s="166"/>
      <c r="B535" s="498"/>
      <c r="C535" s="498"/>
      <c r="D535" s="498"/>
      <c r="E535" s="498"/>
      <c r="F535" s="498"/>
      <c r="G535" s="166"/>
      <c r="H535" s="500"/>
      <c r="I535" s="501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  <c r="AA535" s="166"/>
      <c r="AB535" s="166"/>
      <c r="AC535" s="166"/>
      <c r="AD535" s="166"/>
      <c r="AE535" s="166"/>
      <c r="AF535" s="166"/>
      <c r="AG535" s="166"/>
    </row>
    <row r="536" spans="1:33">
      <c r="A536" s="166"/>
      <c r="B536" s="498"/>
      <c r="C536" s="498"/>
      <c r="D536" s="498"/>
      <c r="E536" s="498"/>
      <c r="F536" s="498"/>
      <c r="G536" s="166"/>
      <c r="H536" s="500"/>
      <c r="I536" s="501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  <c r="AA536" s="166"/>
      <c r="AB536" s="166"/>
      <c r="AC536" s="166"/>
      <c r="AD536" s="166"/>
      <c r="AE536" s="166"/>
      <c r="AF536" s="166"/>
      <c r="AG536" s="166"/>
    </row>
    <row r="537" spans="1:33">
      <c r="A537" s="166"/>
      <c r="B537" s="498"/>
      <c r="C537" s="498"/>
      <c r="D537" s="498"/>
      <c r="E537" s="498"/>
      <c r="F537" s="498"/>
      <c r="G537" s="166"/>
      <c r="H537" s="500"/>
      <c r="I537" s="501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  <c r="AA537" s="166"/>
      <c r="AB537" s="166"/>
      <c r="AC537" s="166"/>
      <c r="AD537" s="166"/>
      <c r="AE537" s="166"/>
      <c r="AF537" s="166"/>
      <c r="AG537" s="166"/>
    </row>
    <row r="538" spans="1:33">
      <c r="A538" s="166"/>
      <c r="B538" s="498"/>
      <c r="C538" s="498"/>
      <c r="D538" s="498"/>
      <c r="E538" s="498"/>
      <c r="F538" s="498"/>
      <c r="G538" s="166"/>
      <c r="H538" s="500"/>
      <c r="I538" s="501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  <c r="AA538" s="166"/>
      <c r="AB538" s="166"/>
      <c r="AC538" s="166"/>
      <c r="AD538" s="166"/>
      <c r="AE538" s="166"/>
      <c r="AF538" s="166"/>
      <c r="AG538" s="166"/>
    </row>
    <row r="539" spans="1:33">
      <c r="A539" s="166"/>
      <c r="B539" s="498"/>
      <c r="C539" s="498"/>
      <c r="D539" s="498"/>
      <c r="E539" s="498"/>
      <c r="F539" s="498"/>
      <c r="G539" s="166"/>
      <c r="H539" s="500"/>
      <c r="I539" s="501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  <c r="AA539" s="166"/>
      <c r="AB539" s="166"/>
      <c r="AC539" s="166"/>
      <c r="AD539" s="166"/>
      <c r="AE539" s="166"/>
      <c r="AF539" s="166"/>
      <c r="AG539" s="166"/>
    </row>
    <row r="540" spans="1:33">
      <c r="A540" s="166"/>
      <c r="B540" s="498"/>
      <c r="C540" s="498"/>
      <c r="D540" s="498"/>
      <c r="E540" s="498"/>
      <c r="F540" s="498"/>
      <c r="G540" s="166"/>
      <c r="H540" s="500"/>
      <c r="I540" s="501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  <c r="AA540" s="166"/>
      <c r="AB540" s="166"/>
      <c r="AC540" s="166"/>
      <c r="AD540" s="166"/>
      <c r="AE540" s="166"/>
      <c r="AF540" s="166"/>
      <c r="AG540" s="166"/>
    </row>
    <row r="541" spans="1:33">
      <c r="A541" s="166"/>
      <c r="B541" s="498"/>
      <c r="C541" s="498"/>
      <c r="D541" s="498"/>
      <c r="E541" s="498"/>
      <c r="F541" s="498"/>
      <c r="G541" s="166"/>
      <c r="H541" s="500"/>
      <c r="I541" s="501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  <c r="AA541" s="166"/>
      <c r="AB541" s="166"/>
      <c r="AC541" s="166"/>
      <c r="AD541" s="166"/>
      <c r="AE541" s="166"/>
      <c r="AF541" s="166"/>
      <c r="AG541" s="166"/>
    </row>
    <row r="542" spans="1:33">
      <c r="A542" s="166"/>
      <c r="B542" s="498"/>
      <c r="C542" s="498"/>
      <c r="D542" s="498"/>
      <c r="E542" s="498"/>
      <c r="F542" s="498"/>
      <c r="G542" s="166"/>
      <c r="H542" s="500"/>
      <c r="I542" s="501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  <c r="AA542" s="166"/>
      <c r="AB542" s="166"/>
      <c r="AC542" s="166"/>
      <c r="AD542" s="166"/>
      <c r="AE542" s="166"/>
      <c r="AF542" s="166"/>
      <c r="AG542" s="166"/>
    </row>
    <row r="543" spans="1:33">
      <c r="A543" s="166"/>
      <c r="B543" s="498"/>
      <c r="C543" s="498"/>
      <c r="D543" s="498"/>
      <c r="E543" s="498"/>
      <c r="F543" s="498"/>
      <c r="G543" s="166"/>
      <c r="H543" s="500"/>
      <c r="I543" s="501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  <c r="AA543" s="166"/>
      <c r="AB543" s="166"/>
      <c r="AC543" s="166"/>
      <c r="AD543" s="166"/>
      <c r="AE543" s="166"/>
      <c r="AF543" s="166"/>
      <c r="AG543" s="166"/>
    </row>
    <row r="544" spans="1:33">
      <c r="A544" s="166"/>
      <c r="B544" s="498"/>
      <c r="C544" s="498"/>
      <c r="D544" s="498"/>
      <c r="E544" s="498"/>
      <c r="F544" s="498"/>
      <c r="G544" s="166"/>
      <c r="H544" s="500"/>
      <c r="I544" s="501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  <c r="AA544" s="166"/>
      <c r="AB544" s="166"/>
      <c r="AC544" s="166"/>
      <c r="AD544" s="166"/>
      <c r="AE544" s="166"/>
      <c r="AF544" s="166"/>
      <c r="AG544" s="166"/>
    </row>
    <row r="545" spans="1:33">
      <c r="A545" s="166"/>
      <c r="B545" s="498"/>
      <c r="C545" s="498"/>
      <c r="D545" s="498"/>
      <c r="E545" s="498"/>
      <c r="F545" s="498"/>
      <c r="G545" s="166"/>
      <c r="H545" s="500"/>
      <c r="I545" s="501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  <c r="AA545" s="166"/>
      <c r="AB545" s="166"/>
      <c r="AC545" s="166"/>
      <c r="AD545" s="166"/>
      <c r="AE545" s="166"/>
      <c r="AF545" s="166"/>
      <c r="AG545" s="166"/>
    </row>
    <row r="546" spans="1:33">
      <c r="A546" s="166"/>
      <c r="B546" s="498"/>
      <c r="C546" s="498"/>
      <c r="D546" s="498"/>
      <c r="E546" s="498"/>
      <c r="F546" s="498"/>
      <c r="G546" s="166"/>
      <c r="H546" s="500"/>
      <c r="I546" s="501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  <c r="AA546" s="166"/>
      <c r="AB546" s="166"/>
      <c r="AC546" s="166"/>
      <c r="AD546" s="166"/>
      <c r="AE546" s="166"/>
      <c r="AF546" s="166"/>
      <c r="AG546" s="166"/>
    </row>
    <row r="547" spans="1:33">
      <c r="A547" s="166"/>
      <c r="B547" s="498"/>
      <c r="C547" s="498"/>
      <c r="D547" s="498"/>
      <c r="E547" s="498"/>
      <c r="F547" s="498"/>
      <c r="G547" s="166"/>
      <c r="H547" s="500"/>
      <c r="I547" s="501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  <c r="AA547" s="166"/>
      <c r="AB547" s="166"/>
      <c r="AC547" s="166"/>
      <c r="AD547" s="166"/>
      <c r="AE547" s="166"/>
      <c r="AF547" s="166"/>
      <c r="AG547" s="166"/>
    </row>
    <row r="548" spans="1:33">
      <c r="A548" s="166"/>
      <c r="B548" s="498"/>
      <c r="C548" s="498"/>
      <c r="D548" s="498"/>
      <c r="E548" s="498"/>
      <c r="F548" s="498"/>
      <c r="G548" s="166"/>
      <c r="H548" s="500"/>
      <c r="I548" s="501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  <c r="AA548" s="166"/>
      <c r="AB548" s="166"/>
      <c r="AC548" s="166"/>
      <c r="AD548" s="166"/>
      <c r="AE548" s="166"/>
      <c r="AF548" s="166"/>
      <c r="AG548" s="166"/>
    </row>
    <row r="549" spans="1:33">
      <c r="A549" s="166"/>
      <c r="B549" s="498"/>
      <c r="C549" s="498"/>
      <c r="D549" s="498"/>
      <c r="E549" s="498"/>
      <c r="F549" s="498"/>
      <c r="G549" s="166"/>
      <c r="H549" s="500"/>
      <c r="I549" s="501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  <c r="AA549" s="166"/>
      <c r="AB549" s="166"/>
      <c r="AC549" s="166"/>
      <c r="AD549" s="166"/>
      <c r="AE549" s="166"/>
      <c r="AF549" s="166"/>
      <c r="AG549" s="166"/>
    </row>
    <row r="550" spans="1:33">
      <c r="A550" s="166"/>
      <c r="B550" s="498"/>
      <c r="C550" s="498"/>
      <c r="D550" s="498"/>
      <c r="E550" s="498"/>
      <c r="F550" s="498"/>
      <c r="G550" s="166"/>
      <c r="H550" s="500"/>
      <c r="I550" s="501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  <c r="AA550" s="166"/>
      <c r="AB550" s="166"/>
      <c r="AC550" s="166"/>
      <c r="AD550" s="166"/>
      <c r="AE550" s="166"/>
      <c r="AF550" s="166"/>
      <c r="AG550" s="166"/>
    </row>
    <row r="551" spans="1:33">
      <c r="A551" s="166"/>
      <c r="B551" s="498"/>
      <c r="C551" s="498"/>
      <c r="D551" s="498"/>
      <c r="E551" s="498"/>
      <c r="F551" s="498"/>
      <c r="G551" s="166"/>
      <c r="H551" s="500"/>
      <c r="I551" s="501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6"/>
    </row>
    <row r="552" spans="1:33">
      <c r="A552" s="166"/>
      <c r="B552" s="498"/>
      <c r="C552" s="498"/>
      <c r="D552" s="498"/>
      <c r="E552" s="498"/>
      <c r="F552" s="498"/>
      <c r="G552" s="166"/>
      <c r="H552" s="500"/>
      <c r="I552" s="501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  <c r="AA552" s="166"/>
      <c r="AB552" s="166"/>
      <c r="AC552" s="166"/>
      <c r="AD552" s="166"/>
      <c r="AE552" s="166"/>
      <c r="AF552" s="166"/>
      <c r="AG552" s="166"/>
    </row>
    <row r="553" spans="1:33">
      <c r="A553" s="166"/>
      <c r="B553" s="498"/>
      <c r="C553" s="498"/>
      <c r="D553" s="498"/>
      <c r="E553" s="498"/>
      <c r="F553" s="498"/>
      <c r="G553" s="166"/>
      <c r="H553" s="500"/>
      <c r="I553" s="501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  <c r="AA553" s="166"/>
      <c r="AB553" s="166"/>
      <c r="AC553" s="166"/>
      <c r="AD553" s="166"/>
      <c r="AE553" s="166"/>
      <c r="AF553" s="166"/>
      <c r="AG553" s="166"/>
    </row>
    <row r="554" spans="1:33">
      <c r="A554" s="166"/>
      <c r="B554" s="498"/>
      <c r="C554" s="498"/>
      <c r="D554" s="498"/>
      <c r="E554" s="498"/>
      <c r="F554" s="498"/>
      <c r="G554" s="166"/>
      <c r="H554" s="500"/>
      <c r="I554" s="501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  <c r="AA554" s="166"/>
      <c r="AB554" s="166"/>
      <c r="AC554" s="166"/>
      <c r="AD554" s="166"/>
      <c r="AE554" s="166"/>
      <c r="AF554" s="166"/>
      <c r="AG554" s="166"/>
    </row>
    <row r="555" spans="1:33">
      <c r="A555" s="166"/>
      <c r="B555" s="498"/>
      <c r="C555" s="498"/>
      <c r="D555" s="498"/>
      <c r="E555" s="498"/>
      <c r="F555" s="498"/>
      <c r="G555" s="166"/>
      <c r="H555" s="500"/>
      <c r="I555" s="501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  <c r="AA555" s="166"/>
      <c r="AB555" s="166"/>
      <c r="AC555" s="166"/>
      <c r="AD555" s="166"/>
      <c r="AE555" s="166"/>
      <c r="AF555" s="166"/>
      <c r="AG555" s="166"/>
    </row>
    <row r="556" spans="1:33">
      <c r="A556" s="166"/>
      <c r="B556" s="498"/>
      <c r="C556" s="498"/>
      <c r="D556" s="498"/>
      <c r="E556" s="498"/>
      <c r="F556" s="498"/>
      <c r="G556" s="166"/>
      <c r="H556" s="500"/>
      <c r="I556" s="501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  <c r="AA556" s="166"/>
      <c r="AB556" s="166"/>
      <c r="AC556" s="166"/>
      <c r="AD556" s="166"/>
      <c r="AE556" s="166"/>
      <c r="AF556" s="166"/>
      <c r="AG556" s="166"/>
    </row>
    <row r="557" spans="1:33">
      <c r="A557" s="166"/>
      <c r="B557" s="498"/>
      <c r="C557" s="498"/>
      <c r="D557" s="498"/>
      <c r="E557" s="498"/>
      <c r="F557" s="498"/>
      <c r="G557" s="166"/>
      <c r="H557" s="500"/>
      <c r="I557" s="501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  <c r="AA557" s="166"/>
      <c r="AB557" s="166"/>
      <c r="AC557" s="166"/>
      <c r="AD557" s="166"/>
      <c r="AE557" s="166"/>
      <c r="AF557" s="166"/>
      <c r="AG557" s="166"/>
    </row>
    <row r="558" spans="1:33">
      <c r="A558" s="166"/>
      <c r="B558" s="498"/>
      <c r="C558" s="498"/>
      <c r="D558" s="498"/>
      <c r="E558" s="498"/>
      <c r="F558" s="498"/>
      <c r="G558" s="166"/>
      <c r="H558" s="500"/>
      <c r="I558" s="501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  <c r="AA558" s="166"/>
      <c r="AB558" s="166"/>
      <c r="AC558" s="166"/>
      <c r="AD558" s="166"/>
      <c r="AE558" s="166"/>
      <c r="AF558" s="166"/>
      <c r="AG558" s="166"/>
    </row>
    <row r="559" spans="1:33">
      <c r="A559" s="166"/>
      <c r="B559" s="498"/>
      <c r="C559" s="498"/>
      <c r="D559" s="498"/>
      <c r="E559" s="498"/>
      <c r="F559" s="498"/>
      <c r="G559" s="166"/>
      <c r="H559" s="500"/>
      <c r="I559" s="501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  <c r="AA559" s="166"/>
      <c r="AB559" s="166"/>
      <c r="AC559" s="166"/>
      <c r="AD559" s="166"/>
      <c r="AE559" s="166"/>
      <c r="AF559" s="166"/>
      <c r="AG559" s="166"/>
    </row>
    <row r="560" spans="1:33">
      <c r="A560" s="166"/>
      <c r="B560" s="498"/>
      <c r="C560" s="498"/>
      <c r="D560" s="498"/>
      <c r="E560" s="498"/>
      <c r="F560" s="498"/>
      <c r="G560" s="166"/>
      <c r="H560" s="500"/>
      <c r="I560" s="501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  <c r="AA560" s="166"/>
      <c r="AB560" s="166"/>
      <c r="AC560" s="166"/>
      <c r="AD560" s="166"/>
      <c r="AE560" s="166"/>
      <c r="AF560" s="166"/>
      <c r="AG560" s="166"/>
    </row>
    <row r="561" spans="1:33">
      <c r="A561" s="166"/>
      <c r="B561" s="498"/>
      <c r="C561" s="498"/>
      <c r="D561" s="498"/>
      <c r="E561" s="498"/>
      <c r="F561" s="498"/>
      <c r="G561" s="166"/>
      <c r="H561" s="500"/>
      <c r="I561" s="501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  <c r="AA561" s="166"/>
      <c r="AB561" s="166"/>
      <c r="AC561" s="166"/>
      <c r="AD561" s="166"/>
      <c r="AE561" s="166"/>
      <c r="AF561" s="166"/>
      <c r="AG561" s="166"/>
    </row>
    <row r="562" spans="1:33">
      <c r="A562" s="166"/>
      <c r="B562" s="498"/>
      <c r="C562" s="498"/>
      <c r="D562" s="498"/>
      <c r="E562" s="498"/>
      <c r="F562" s="498"/>
      <c r="G562" s="166"/>
      <c r="H562" s="500"/>
      <c r="I562" s="501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  <c r="AA562" s="166"/>
      <c r="AB562" s="166"/>
      <c r="AC562" s="166"/>
      <c r="AD562" s="166"/>
      <c r="AE562" s="166"/>
      <c r="AF562" s="166"/>
      <c r="AG562" s="166"/>
    </row>
    <row r="563" spans="1:33">
      <c r="A563" s="166"/>
      <c r="B563" s="498"/>
      <c r="C563" s="498"/>
      <c r="D563" s="498"/>
      <c r="E563" s="498"/>
      <c r="F563" s="498"/>
      <c r="G563" s="166"/>
      <c r="H563" s="500"/>
      <c r="I563" s="501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  <c r="AA563" s="166"/>
      <c r="AB563" s="166"/>
      <c r="AC563" s="166"/>
      <c r="AD563" s="166"/>
      <c r="AE563" s="166"/>
      <c r="AF563" s="166"/>
      <c r="AG563" s="166"/>
    </row>
    <row r="564" spans="1:33">
      <c r="A564" s="166"/>
      <c r="B564" s="498"/>
      <c r="C564" s="498"/>
      <c r="D564" s="498"/>
      <c r="E564" s="498"/>
      <c r="F564" s="498"/>
      <c r="G564" s="166"/>
      <c r="H564" s="500"/>
      <c r="I564" s="501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  <c r="AA564" s="166"/>
      <c r="AB564" s="166"/>
      <c r="AC564" s="166"/>
      <c r="AD564" s="166"/>
      <c r="AE564" s="166"/>
      <c r="AF564" s="166"/>
      <c r="AG564" s="166"/>
    </row>
    <row r="565" spans="1:33">
      <c r="A565" s="166"/>
      <c r="B565" s="498"/>
      <c r="C565" s="498"/>
      <c r="D565" s="498"/>
      <c r="E565" s="498"/>
      <c r="F565" s="498"/>
      <c r="G565" s="166"/>
      <c r="H565" s="500"/>
      <c r="I565" s="501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  <c r="AA565" s="166"/>
      <c r="AB565" s="166"/>
      <c r="AC565" s="166"/>
      <c r="AD565" s="166"/>
      <c r="AE565" s="166"/>
      <c r="AF565" s="166"/>
      <c r="AG565" s="166"/>
    </row>
    <row r="566" spans="1:33">
      <c r="A566" s="166"/>
      <c r="B566" s="498"/>
      <c r="C566" s="498"/>
      <c r="D566" s="498"/>
      <c r="E566" s="498"/>
      <c r="F566" s="498"/>
      <c r="G566" s="166"/>
      <c r="H566" s="500"/>
      <c r="I566" s="501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  <c r="AA566" s="166"/>
      <c r="AB566" s="166"/>
      <c r="AC566" s="166"/>
      <c r="AD566" s="166"/>
      <c r="AE566" s="166"/>
      <c r="AF566" s="166"/>
      <c r="AG566" s="166"/>
    </row>
    <row r="567" spans="1:33">
      <c r="A567" s="166"/>
      <c r="B567" s="498"/>
      <c r="C567" s="498"/>
      <c r="D567" s="498"/>
      <c r="E567" s="498"/>
      <c r="F567" s="498"/>
      <c r="G567" s="166"/>
      <c r="H567" s="500"/>
      <c r="I567" s="501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  <c r="AA567" s="166"/>
      <c r="AB567" s="166"/>
      <c r="AC567" s="166"/>
      <c r="AD567" s="166"/>
      <c r="AE567" s="166"/>
      <c r="AF567" s="166"/>
      <c r="AG567" s="166"/>
    </row>
    <row r="568" spans="1:33">
      <c r="A568" s="166"/>
      <c r="B568" s="498"/>
      <c r="C568" s="498"/>
      <c r="D568" s="498"/>
      <c r="E568" s="498"/>
      <c r="F568" s="498"/>
      <c r="G568" s="166"/>
      <c r="H568" s="500"/>
      <c r="I568" s="501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  <c r="AA568" s="166"/>
      <c r="AB568" s="166"/>
      <c r="AC568" s="166"/>
      <c r="AD568" s="166"/>
      <c r="AE568" s="166"/>
      <c r="AF568" s="166"/>
      <c r="AG568" s="166"/>
    </row>
    <row r="569" spans="1:33">
      <c r="A569" s="166"/>
      <c r="B569" s="498"/>
      <c r="C569" s="498"/>
      <c r="D569" s="498"/>
      <c r="E569" s="498"/>
      <c r="F569" s="498"/>
      <c r="G569" s="166"/>
      <c r="H569" s="500"/>
      <c r="I569" s="501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  <c r="AA569" s="166"/>
      <c r="AB569" s="166"/>
      <c r="AC569" s="166"/>
      <c r="AD569" s="166"/>
      <c r="AE569" s="166"/>
      <c r="AF569" s="166"/>
      <c r="AG569" s="166"/>
    </row>
    <row r="570" spans="1:33">
      <c r="A570" s="166"/>
      <c r="B570" s="498"/>
      <c r="C570" s="498"/>
      <c r="D570" s="498"/>
      <c r="E570" s="498"/>
      <c r="F570" s="498"/>
      <c r="G570" s="166"/>
      <c r="H570" s="500"/>
      <c r="I570" s="501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  <c r="AA570" s="166"/>
      <c r="AB570" s="166"/>
      <c r="AC570" s="166"/>
      <c r="AD570" s="166"/>
      <c r="AE570" s="166"/>
      <c r="AF570" s="166"/>
      <c r="AG570" s="166"/>
    </row>
    <row r="571" spans="1:33">
      <c r="A571" s="166"/>
      <c r="B571" s="498"/>
      <c r="C571" s="498"/>
      <c r="D571" s="498"/>
      <c r="E571" s="498"/>
      <c r="F571" s="498"/>
      <c r="G571" s="166"/>
      <c r="H571" s="500"/>
      <c r="I571" s="501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  <c r="AA571" s="166"/>
      <c r="AB571" s="166"/>
      <c r="AC571" s="166"/>
      <c r="AD571" s="166"/>
      <c r="AE571" s="166"/>
      <c r="AF571" s="166"/>
      <c r="AG571" s="166"/>
    </row>
    <row r="572" spans="1:33">
      <c r="A572" s="166"/>
      <c r="B572" s="498"/>
      <c r="C572" s="498"/>
      <c r="D572" s="498"/>
      <c r="E572" s="498"/>
      <c r="F572" s="498"/>
      <c r="G572" s="166"/>
      <c r="H572" s="500"/>
      <c r="I572" s="501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  <c r="AA572" s="166"/>
      <c r="AB572" s="166"/>
      <c r="AC572" s="166"/>
      <c r="AD572" s="166"/>
      <c r="AE572" s="166"/>
      <c r="AF572" s="166"/>
      <c r="AG572" s="166"/>
    </row>
    <row r="573" spans="1:33">
      <c r="A573" s="166"/>
      <c r="B573" s="498"/>
      <c r="C573" s="498"/>
      <c r="D573" s="498"/>
      <c r="E573" s="498"/>
      <c r="F573" s="498"/>
      <c r="G573" s="166"/>
      <c r="H573" s="500"/>
      <c r="I573" s="501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  <c r="AA573" s="166"/>
      <c r="AB573" s="166"/>
      <c r="AC573" s="166"/>
      <c r="AD573" s="166"/>
      <c r="AE573" s="166"/>
      <c r="AF573" s="166"/>
      <c r="AG573" s="166"/>
    </row>
    <row r="574" spans="1:33">
      <c r="A574" s="166"/>
      <c r="B574" s="498"/>
      <c r="C574" s="498"/>
      <c r="D574" s="498"/>
      <c r="E574" s="498"/>
      <c r="F574" s="498"/>
      <c r="G574" s="166"/>
      <c r="H574" s="500"/>
      <c r="I574" s="501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  <c r="AA574" s="166"/>
      <c r="AB574" s="166"/>
      <c r="AC574" s="166"/>
      <c r="AD574" s="166"/>
      <c r="AE574" s="166"/>
      <c r="AF574" s="166"/>
      <c r="AG574" s="166"/>
    </row>
    <row r="575" spans="1:33">
      <c r="A575" s="166"/>
      <c r="B575" s="498"/>
      <c r="C575" s="498"/>
      <c r="D575" s="498"/>
      <c r="E575" s="498"/>
      <c r="F575" s="498"/>
      <c r="G575" s="166"/>
      <c r="H575" s="500"/>
      <c r="I575" s="501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  <c r="AA575" s="166"/>
      <c r="AB575" s="166"/>
      <c r="AC575" s="166"/>
      <c r="AD575" s="166"/>
      <c r="AE575" s="166"/>
      <c r="AF575" s="166"/>
      <c r="AG575" s="166"/>
    </row>
    <row r="576" spans="1:33">
      <c r="A576" s="166"/>
      <c r="B576" s="498"/>
      <c r="C576" s="498"/>
      <c r="D576" s="498"/>
      <c r="E576" s="498"/>
      <c r="F576" s="498"/>
      <c r="G576" s="166"/>
      <c r="H576" s="500"/>
      <c r="I576" s="501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  <c r="AA576" s="166"/>
      <c r="AB576" s="166"/>
      <c r="AC576" s="166"/>
      <c r="AD576" s="166"/>
      <c r="AE576" s="166"/>
      <c r="AF576" s="166"/>
      <c r="AG576" s="166"/>
    </row>
    <row r="577" spans="1:33">
      <c r="A577" s="166"/>
      <c r="B577" s="498"/>
      <c r="C577" s="498"/>
      <c r="D577" s="498"/>
      <c r="E577" s="498"/>
      <c r="F577" s="498"/>
      <c r="G577" s="166"/>
      <c r="H577" s="500"/>
      <c r="I577" s="501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  <c r="AA577" s="166"/>
      <c r="AB577" s="166"/>
      <c r="AC577" s="166"/>
      <c r="AD577" s="166"/>
      <c r="AE577" s="166"/>
      <c r="AF577" s="166"/>
      <c r="AG577" s="166"/>
    </row>
    <row r="578" spans="1:33">
      <c r="A578" s="166"/>
      <c r="B578" s="498"/>
      <c r="C578" s="498"/>
      <c r="D578" s="498"/>
      <c r="E578" s="498"/>
      <c r="F578" s="498"/>
      <c r="G578" s="166"/>
      <c r="H578" s="500"/>
      <c r="I578" s="501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  <c r="AA578" s="166"/>
      <c r="AB578" s="166"/>
      <c r="AC578" s="166"/>
      <c r="AD578" s="166"/>
      <c r="AE578" s="166"/>
      <c r="AF578" s="166"/>
      <c r="AG578" s="166"/>
    </row>
    <row r="579" spans="1:33">
      <c r="A579" s="166"/>
      <c r="B579" s="498"/>
      <c r="C579" s="498"/>
      <c r="D579" s="498"/>
      <c r="E579" s="498"/>
      <c r="F579" s="498"/>
      <c r="G579" s="166"/>
      <c r="H579" s="500"/>
      <c r="I579" s="501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  <c r="AA579" s="166"/>
      <c r="AB579" s="166"/>
      <c r="AC579" s="166"/>
      <c r="AD579" s="166"/>
      <c r="AE579" s="166"/>
      <c r="AF579" s="166"/>
      <c r="AG579" s="166"/>
    </row>
    <row r="580" spans="1:33">
      <c r="A580" s="166"/>
      <c r="B580" s="498"/>
      <c r="C580" s="498"/>
      <c r="D580" s="498"/>
      <c r="E580" s="498"/>
      <c r="F580" s="498"/>
      <c r="G580" s="166"/>
      <c r="H580" s="500"/>
      <c r="I580" s="501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  <c r="AA580" s="166"/>
      <c r="AB580" s="166"/>
      <c r="AC580" s="166"/>
      <c r="AD580" s="166"/>
      <c r="AE580" s="166"/>
      <c r="AF580" s="166"/>
      <c r="AG580" s="166"/>
    </row>
    <row r="581" spans="1:33">
      <c r="A581" s="166"/>
      <c r="B581" s="498"/>
      <c r="C581" s="498"/>
      <c r="D581" s="498"/>
      <c r="E581" s="498"/>
      <c r="F581" s="498"/>
      <c r="G581" s="166"/>
      <c r="H581" s="500"/>
      <c r="I581" s="501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  <c r="AA581" s="166"/>
      <c r="AB581" s="166"/>
      <c r="AC581" s="166"/>
      <c r="AD581" s="166"/>
      <c r="AE581" s="166"/>
      <c r="AF581" s="166"/>
      <c r="AG581" s="166"/>
    </row>
    <row r="582" spans="1:33">
      <c r="A582" s="166"/>
      <c r="B582" s="498"/>
      <c r="C582" s="498"/>
      <c r="D582" s="498"/>
      <c r="E582" s="498"/>
      <c r="F582" s="498"/>
      <c r="G582" s="166"/>
      <c r="H582" s="500"/>
      <c r="I582" s="501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  <c r="AA582" s="166"/>
      <c r="AB582" s="166"/>
      <c r="AC582" s="166"/>
      <c r="AD582" s="166"/>
      <c r="AE582" s="166"/>
      <c r="AF582" s="166"/>
      <c r="AG582" s="166"/>
    </row>
    <row r="583" spans="1:33">
      <c r="A583" s="166"/>
      <c r="B583" s="498"/>
      <c r="C583" s="498"/>
      <c r="D583" s="498"/>
      <c r="E583" s="498"/>
      <c r="F583" s="498"/>
      <c r="G583" s="166"/>
      <c r="H583" s="500"/>
      <c r="I583" s="501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  <c r="AA583" s="166"/>
      <c r="AB583" s="166"/>
      <c r="AC583" s="166"/>
      <c r="AD583" s="166"/>
      <c r="AE583" s="166"/>
      <c r="AF583" s="166"/>
      <c r="AG583" s="166"/>
    </row>
    <row r="584" spans="1:33">
      <c r="A584" s="166"/>
      <c r="B584" s="498"/>
      <c r="C584" s="498"/>
      <c r="D584" s="498"/>
      <c r="E584" s="498"/>
      <c r="F584" s="498"/>
      <c r="G584" s="166"/>
      <c r="H584" s="500"/>
      <c r="I584" s="501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  <c r="AA584" s="166"/>
      <c r="AB584" s="166"/>
      <c r="AC584" s="166"/>
      <c r="AD584" s="166"/>
      <c r="AE584" s="166"/>
      <c r="AF584" s="166"/>
      <c r="AG584" s="166"/>
    </row>
    <row r="585" spans="1:33">
      <c r="A585" s="166"/>
      <c r="B585" s="498"/>
      <c r="C585" s="498"/>
      <c r="D585" s="498"/>
      <c r="E585" s="498"/>
      <c r="F585" s="498"/>
      <c r="G585" s="166"/>
      <c r="H585" s="500"/>
      <c r="I585" s="501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  <c r="AA585" s="166"/>
      <c r="AB585" s="166"/>
      <c r="AC585" s="166"/>
      <c r="AD585" s="166"/>
      <c r="AE585" s="166"/>
      <c r="AF585" s="166"/>
      <c r="AG585" s="166"/>
    </row>
    <row r="586" spans="1:33">
      <c r="A586" s="166"/>
      <c r="B586" s="498"/>
      <c r="C586" s="498"/>
      <c r="D586" s="498"/>
      <c r="E586" s="498"/>
      <c r="F586" s="498"/>
      <c r="G586" s="166"/>
      <c r="H586" s="500"/>
      <c r="I586" s="501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  <c r="AA586" s="166"/>
      <c r="AB586" s="166"/>
      <c r="AC586" s="166"/>
      <c r="AD586" s="166"/>
      <c r="AE586" s="166"/>
      <c r="AF586" s="166"/>
      <c r="AG586" s="166"/>
    </row>
    <row r="587" spans="1:33">
      <c r="A587" s="166"/>
      <c r="B587" s="498"/>
      <c r="C587" s="498"/>
      <c r="D587" s="498"/>
      <c r="E587" s="498"/>
      <c r="F587" s="498"/>
      <c r="G587" s="166"/>
      <c r="H587" s="500"/>
      <c r="I587" s="501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  <c r="AA587" s="166"/>
      <c r="AB587" s="166"/>
      <c r="AC587" s="166"/>
      <c r="AD587" s="166"/>
      <c r="AE587" s="166"/>
      <c r="AF587" s="166"/>
      <c r="AG587" s="166"/>
    </row>
    <row r="588" spans="1:33">
      <c r="A588" s="166"/>
      <c r="B588" s="498"/>
      <c r="C588" s="498"/>
      <c r="D588" s="498"/>
      <c r="E588" s="498"/>
      <c r="F588" s="498"/>
      <c r="G588" s="166"/>
      <c r="H588" s="500"/>
      <c r="I588" s="501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  <c r="AA588" s="166"/>
      <c r="AB588" s="166"/>
      <c r="AC588" s="166"/>
      <c r="AD588" s="166"/>
      <c r="AE588" s="166"/>
      <c r="AF588" s="166"/>
      <c r="AG588" s="166"/>
    </row>
    <row r="589" spans="1:33">
      <c r="A589" s="166"/>
      <c r="B589" s="498"/>
      <c r="C589" s="498"/>
      <c r="D589" s="498"/>
      <c r="E589" s="498"/>
      <c r="F589" s="498"/>
      <c r="G589" s="166"/>
      <c r="H589" s="500"/>
      <c r="I589" s="501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  <c r="AA589" s="166"/>
      <c r="AB589" s="166"/>
      <c r="AC589" s="166"/>
      <c r="AD589" s="166"/>
      <c r="AE589" s="166"/>
      <c r="AF589" s="166"/>
      <c r="AG589" s="166"/>
    </row>
    <row r="590" spans="1:33">
      <c r="A590" s="166"/>
      <c r="B590" s="498"/>
      <c r="C590" s="498"/>
      <c r="D590" s="498"/>
      <c r="E590" s="498"/>
      <c r="F590" s="498"/>
      <c r="G590" s="166"/>
      <c r="H590" s="500"/>
      <c r="I590" s="501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  <c r="AA590" s="166"/>
      <c r="AB590" s="166"/>
      <c r="AC590" s="166"/>
      <c r="AD590" s="166"/>
      <c r="AE590" s="166"/>
      <c r="AF590" s="166"/>
      <c r="AG590" s="166"/>
    </row>
    <row r="591" spans="1:33">
      <c r="A591" s="166"/>
      <c r="B591" s="498"/>
      <c r="C591" s="498"/>
      <c r="D591" s="498"/>
      <c r="E591" s="498"/>
      <c r="F591" s="498"/>
      <c r="G591" s="166"/>
      <c r="H591" s="500"/>
      <c r="I591" s="501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  <c r="AA591" s="166"/>
      <c r="AB591" s="166"/>
      <c r="AC591" s="166"/>
      <c r="AD591" s="166"/>
      <c r="AE591" s="166"/>
      <c r="AF591" s="166"/>
      <c r="AG591" s="166"/>
    </row>
    <row r="592" spans="1:33">
      <c r="A592" s="166"/>
      <c r="B592" s="498"/>
      <c r="C592" s="498"/>
      <c r="D592" s="498"/>
      <c r="E592" s="498"/>
      <c r="F592" s="498"/>
      <c r="G592" s="166"/>
      <c r="H592" s="500"/>
      <c r="I592" s="501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  <c r="AA592" s="166"/>
      <c r="AB592" s="166"/>
      <c r="AC592" s="166"/>
      <c r="AD592" s="166"/>
      <c r="AE592" s="166"/>
      <c r="AF592" s="166"/>
      <c r="AG592" s="166"/>
    </row>
    <row r="593" spans="1:33">
      <c r="A593" s="166"/>
      <c r="B593" s="498"/>
      <c r="C593" s="498"/>
      <c r="D593" s="498"/>
      <c r="E593" s="498"/>
      <c r="F593" s="498"/>
      <c r="G593" s="166"/>
      <c r="H593" s="500"/>
      <c r="I593" s="501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  <c r="AA593" s="166"/>
      <c r="AB593" s="166"/>
      <c r="AC593" s="166"/>
      <c r="AD593" s="166"/>
      <c r="AE593" s="166"/>
      <c r="AF593" s="166"/>
      <c r="AG593" s="166"/>
    </row>
    <row r="594" spans="1:33">
      <c r="A594" s="166"/>
      <c r="B594" s="498"/>
      <c r="C594" s="498"/>
      <c r="D594" s="498"/>
      <c r="E594" s="498"/>
      <c r="F594" s="498"/>
      <c r="G594" s="166"/>
      <c r="H594" s="500"/>
      <c r="I594" s="501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  <c r="AA594" s="166"/>
      <c r="AB594" s="166"/>
      <c r="AC594" s="166"/>
      <c r="AD594" s="166"/>
      <c r="AE594" s="166"/>
      <c r="AF594" s="166"/>
      <c r="AG594" s="166"/>
    </row>
    <row r="595" spans="1:33">
      <c r="A595" s="166"/>
      <c r="B595" s="498"/>
      <c r="C595" s="498"/>
      <c r="D595" s="498"/>
      <c r="E595" s="498"/>
      <c r="F595" s="498"/>
      <c r="G595" s="166"/>
      <c r="H595" s="500"/>
      <c r="I595" s="501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  <c r="AA595" s="166"/>
      <c r="AB595" s="166"/>
      <c r="AC595" s="166"/>
      <c r="AD595" s="166"/>
      <c r="AE595" s="166"/>
      <c r="AF595" s="166"/>
      <c r="AG595" s="166"/>
    </row>
    <row r="596" spans="1:33">
      <c r="A596" s="166"/>
      <c r="B596" s="498"/>
      <c r="C596" s="498"/>
      <c r="D596" s="498"/>
      <c r="E596" s="498"/>
      <c r="F596" s="498"/>
      <c r="G596" s="166"/>
      <c r="H596" s="500"/>
      <c r="I596" s="501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  <c r="AA596" s="166"/>
      <c r="AB596" s="166"/>
      <c r="AC596" s="166"/>
      <c r="AD596" s="166"/>
      <c r="AE596" s="166"/>
      <c r="AF596" s="166"/>
      <c r="AG596" s="166"/>
    </row>
    <row r="597" spans="1:33">
      <c r="A597" s="166"/>
      <c r="B597" s="498"/>
      <c r="C597" s="498"/>
      <c r="D597" s="498"/>
      <c r="E597" s="498"/>
      <c r="F597" s="498"/>
      <c r="G597" s="166"/>
      <c r="H597" s="500"/>
      <c r="I597" s="501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  <c r="AA597" s="166"/>
      <c r="AB597" s="166"/>
      <c r="AC597" s="166"/>
      <c r="AD597" s="166"/>
      <c r="AE597" s="166"/>
      <c r="AF597" s="166"/>
      <c r="AG597" s="166"/>
    </row>
    <row r="598" spans="1:33">
      <c r="A598" s="166"/>
      <c r="B598" s="498"/>
      <c r="C598" s="498"/>
      <c r="D598" s="498"/>
      <c r="E598" s="498"/>
      <c r="F598" s="498"/>
      <c r="G598" s="166"/>
      <c r="H598" s="500"/>
      <c r="I598" s="501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  <c r="AA598" s="166"/>
      <c r="AB598" s="166"/>
      <c r="AC598" s="166"/>
      <c r="AD598" s="166"/>
      <c r="AE598" s="166"/>
      <c r="AF598" s="166"/>
      <c r="AG598" s="166"/>
    </row>
    <row r="599" spans="1:33">
      <c r="A599" s="166"/>
      <c r="B599" s="498"/>
      <c r="C599" s="498"/>
      <c r="D599" s="498"/>
      <c r="E599" s="498"/>
      <c r="F599" s="498"/>
      <c r="G599" s="166"/>
      <c r="H599" s="500"/>
      <c r="I599" s="501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  <c r="AA599" s="166"/>
      <c r="AB599" s="166"/>
      <c r="AC599" s="166"/>
      <c r="AD599" s="166"/>
      <c r="AE599" s="166"/>
      <c r="AF599" s="166"/>
      <c r="AG599" s="166"/>
    </row>
    <row r="600" spans="1:33">
      <c r="A600" s="166"/>
      <c r="B600" s="498"/>
      <c r="C600" s="498"/>
      <c r="D600" s="498"/>
      <c r="E600" s="498"/>
      <c r="F600" s="498"/>
      <c r="G600" s="166"/>
      <c r="H600" s="500"/>
      <c r="I600" s="501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  <c r="AA600" s="166"/>
      <c r="AB600" s="166"/>
      <c r="AC600" s="166"/>
      <c r="AD600" s="166"/>
      <c r="AE600" s="166"/>
      <c r="AF600" s="166"/>
      <c r="AG600" s="166"/>
    </row>
    <row r="601" spans="1:33">
      <c r="A601" s="166"/>
      <c r="B601" s="498"/>
      <c r="C601" s="498"/>
      <c r="D601" s="498"/>
      <c r="E601" s="498"/>
      <c r="F601" s="498"/>
      <c r="G601" s="166"/>
      <c r="H601" s="500"/>
      <c r="I601" s="501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  <c r="AA601" s="166"/>
      <c r="AB601" s="166"/>
      <c r="AC601" s="166"/>
      <c r="AD601" s="166"/>
      <c r="AE601" s="166"/>
      <c r="AF601" s="166"/>
      <c r="AG601" s="166"/>
    </row>
    <row r="602" spans="1:33">
      <c r="A602" s="166"/>
      <c r="B602" s="498"/>
      <c r="C602" s="498"/>
      <c r="D602" s="498"/>
      <c r="E602" s="498"/>
      <c r="F602" s="498"/>
      <c r="G602" s="166"/>
      <c r="H602" s="500"/>
      <c r="I602" s="501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  <c r="AA602" s="166"/>
      <c r="AB602" s="166"/>
      <c r="AC602" s="166"/>
      <c r="AD602" s="166"/>
      <c r="AE602" s="166"/>
      <c r="AF602" s="166"/>
      <c r="AG602" s="166"/>
    </row>
    <row r="603" spans="1:33">
      <c r="A603" s="166"/>
      <c r="B603" s="498"/>
      <c r="C603" s="498"/>
      <c r="D603" s="498"/>
      <c r="E603" s="498"/>
      <c r="F603" s="498"/>
      <c r="G603" s="166"/>
      <c r="H603" s="500"/>
      <c r="I603" s="501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  <c r="AA603" s="166"/>
      <c r="AB603" s="166"/>
      <c r="AC603" s="166"/>
      <c r="AD603" s="166"/>
      <c r="AE603" s="166"/>
      <c r="AF603" s="166"/>
      <c r="AG603" s="166"/>
    </row>
    <row r="604" spans="1:33">
      <c r="A604" s="166"/>
      <c r="B604" s="498"/>
      <c r="C604" s="498"/>
      <c r="D604" s="498"/>
      <c r="E604" s="498"/>
      <c r="F604" s="498"/>
      <c r="G604" s="166"/>
      <c r="H604" s="500"/>
      <c r="I604" s="501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6"/>
    </row>
    <row r="605" spans="1:33">
      <c r="A605" s="166"/>
      <c r="B605" s="498"/>
      <c r="C605" s="498"/>
      <c r="D605" s="498"/>
      <c r="E605" s="498"/>
      <c r="F605" s="498"/>
      <c r="G605" s="166"/>
      <c r="H605" s="500"/>
      <c r="I605" s="501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  <c r="AA605" s="166"/>
      <c r="AB605" s="166"/>
      <c r="AC605" s="166"/>
      <c r="AD605" s="166"/>
      <c r="AE605" s="166"/>
      <c r="AF605" s="166"/>
      <c r="AG605" s="166"/>
    </row>
    <row r="606" spans="1:33">
      <c r="A606" s="166"/>
      <c r="B606" s="498"/>
      <c r="C606" s="498"/>
      <c r="D606" s="498"/>
      <c r="E606" s="498"/>
      <c r="F606" s="498"/>
      <c r="G606" s="166"/>
      <c r="H606" s="500"/>
      <c r="I606" s="501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  <c r="AA606" s="166"/>
      <c r="AB606" s="166"/>
      <c r="AC606" s="166"/>
      <c r="AD606" s="166"/>
      <c r="AE606" s="166"/>
      <c r="AF606" s="166"/>
      <c r="AG606" s="166"/>
    </row>
    <row r="607" spans="1:33">
      <c r="A607" s="166"/>
      <c r="B607" s="498"/>
      <c r="C607" s="498"/>
      <c r="D607" s="498"/>
      <c r="E607" s="498"/>
      <c r="F607" s="498"/>
      <c r="G607" s="166"/>
      <c r="H607" s="500"/>
      <c r="I607" s="501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  <c r="AA607" s="166"/>
      <c r="AB607" s="166"/>
      <c r="AC607" s="166"/>
      <c r="AD607" s="166"/>
      <c r="AE607" s="166"/>
      <c r="AF607" s="166"/>
      <c r="AG607" s="166"/>
    </row>
    <row r="608" spans="1:33">
      <c r="A608" s="166"/>
      <c r="B608" s="498"/>
      <c r="C608" s="498"/>
      <c r="D608" s="498"/>
      <c r="E608" s="498"/>
      <c r="F608" s="498"/>
      <c r="G608" s="166"/>
      <c r="H608" s="500"/>
      <c r="I608" s="501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  <c r="AA608" s="166"/>
      <c r="AB608" s="166"/>
      <c r="AC608" s="166"/>
      <c r="AD608" s="166"/>
      <c r="AE608" s="166"/>
      <c r="AF608" s="166"/>
      <c r="AG608" s="166"/>
    </row>
    <row r="609" spans="1:33">
      <c r="A609" s="166"/>
      <c r="B609" s="498"/>
      <c r="C609" s="498"/>
      <c r="D609" s="498"/>
      <c r="E609" s="498"/>
      <c r="F609" s="498"/>
      <c r="G609" s="166"/>
      <c r="H609" s="500"/>
      <c r="I609" s="501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  <c r="AA609" s="166"/>
      <c r="AB609" s="166"/>
      <c r="AC609" s="166"/>
      <c r="AD609" s="166"/>
      <c r="AE609" s="166"/>
      <c r="AF609" s="166"/>
      <c r="AG609" s="166"/>
    </row>
    <row r="610" spans="1:33">
      <c r="A610" s="166"/>
      <c r="B610" s="498"/>
      <c r="C610" s="498"/>
      <c r="D610" s="498"/>
      <c r="E610" s="498"/>
      <c r="F610" s="498"/>
      <c r="G610" s="166"/>
      <c r="H610" s="500"/>
      <c r="I610" s="501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  <c r="AA610" s="166"/>
      <c r="AB610" s="166"/>
      <c r="AC610" s="166"/>
      <c r="AD610" s="166"/>
      <c r="AE610" s="166"/>
      <c r="AF610" s="166"/>
      <c r="AG610" s="166"/>
    </row>
    <row r="611" spans="1:33">
      <c r="A611" s="166"/>
      <c r="B611" s="498"/>
      <c r="C611" s="498"/>
      <c r="D611" s="498"/>
      <c r="E611" s="498"/>
      <c r="F611" s="498"/>
      <c r="G611" s="166"/>
      <c r="H611" s="500"/>
      <c r="I611" s="501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  <c r="AA611" s="166"/>
      <c r="AB611" s="166"/>
      <c r="AC611" s="166"/>
      <c r="AD611" s="166"/>
      <c r="AE611" s="166"/>
      <c r="AF611" s="166"/>
      <c r="AG611" s="166"/>
    </row>
    <row r="612" spans="1:33">
      <c r="A612" s="166"/>
      <c r="B612" s="498"/>
      <c r="C612" s="498"/>
      <c r="D612" s="498"/>
      <c r="E612" s="498"/>
      <c r="F612" s="498"/>
      <c r="G612" s="166"/>
      <c r="H612" s="500"/>
      <c r="I612" s="501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  <c r="AA612" s="166"/>
      <c r="AB612" s="166"/>
      <c r="AC612" s="166"/>
      <c r="AD612" s="166"/>
      <c r="AE612" s="166"/>
      <c r="AF612" s="166"/>
      <c r="AG612" s="166"/>
    </row>
    <row r="613" spans="1:33">
      <c r="A613" s="166"/>
      <c r="B613" s="498"/>
      <c r="C613" s="498"/>
      <c r="D613" s="498"/>
      <c r="E613" s="498"/>
      <c r="F613" s="498"/>
      <c r="G613" s="166"/>
      <c r="H613" s="500"/>
      <c r="I613" s="501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  <c r="AA613" s="166"/>
      <c r="AB613" s="166"/>
      <c r="AC613" s="166"/>
      <c r="AD613" s="166"/>
      <c r="AE613" s="166"/>
      <c r="AF613" s="166"/>
      <c r="AG613" s="166"/>
    </row>
    <row r="614" spans="1:33">
      <c r="A614" s="166"/>
      <c r="B614" s="498"/>
      <c r="C614" s="498"/>
      <c r="D614" s="498"/>
      <c r="E614" s="498"/>
      <c r="F614" s="498"/>
      <c r="G614" s="166"/>
      <c r="H614" s="500"/>
      <c r="I614" s="501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  <c r="AA614" s="166"/>
      <c r="AB614" s="166"/>
      <c r="AC614" s="166"/>
      <c r="AD614" s="166"/>
      <c r="AE614" s="166"/>
      <c r="AF614" s="166"/>
      <c r="AG614" s="166"/>
    </row>
    <row r="615" spans="1:33">
      <c r="A615" s="166"/>
      <c r="B615" s="498"/>
      <c r="C615" s="498"/>
      <c r="D615" s="498"/>
      <c r="E615" s="498"/>
      <c r="F615" s="498"/>
      <c r="G615" s="166"/>
      <c r="H615" s="500"/>
      <c r="I615" s="501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  <c r="AA615" s="166"/>
      <c r="AB615" s="166"/>
      <c r="AC615" s="166"/>
      <c r="AD615" s="166"/>
      <c r="AE615" s="166"/>
      <c r="AF615" s="166"/>
      <c r="AG615" s="166"/>
    </row>
    <row r="616" spans="1:33">
      <c r="A616" s="166"/>
      <c r="B616" s="498"/>
      <c r="C616" s="498"/>
      <c r="D616" s="498"/>
      <c r="E616" s="498"/>
      <c r="F616" s="498"/>
      <c r="G616" s="166"/>
      <c r="H616" s="500"/>
      <c r="I616" s="501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  <c r="AA616" s="166"/>
      <c r="AB616" s="166"/>
      <c r="AC616" s="166"/>
      <c r="AD616" s="166"/>
      <c r="AE616" s="166"/>
      <c r="AF616" s="166"/>
      <c r="AG616" s="166"/>
    </row>
    <row r="617" spans="1:33">
      <c r="A617" s="166"/>
      <c r="B617" s="498"/>
      <c r="C617" s="498"/>
      <c r="D617" s="498"/>
      <c r="E617" s="498"/>
      <c r="F617" s="498"/>
      <c r="G617" s="166"/>
      <c r="H617" s="500"/>
      <c r="I617" s="501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  <c r="AA617" s="166"/>
      <c r="AB617" s="166"/>
      <c r="AC617" s="166"/>
      <c r="AD617" s="166"/>
      <c r="AE617" s="166"/>
      <c r="AF617" s="166"/>
      <c r="AG617" s="166"/>
    </row>
    <row r="618" spans="1:33">
      <c r="A618" s="166"/>
      <c r="B618" s="498"/>
      <c r="C618" s="498"/>
      <c r="D618" s="498"/>
      <c r="E618" s="498"/>
      <c r="F618" s="498"/>
      <c r="G618" s="166"/>
      <c r="H618" s="500"/>
      <c r="I618" s="501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  <c r="AA618" s="166"/>
      <c r="AB618" s="166"/>
      <c r="AC618" s="166"/>
      <c r="AD618" s="166"/>
      <c r="AE618" s="166"/>
      <c r="AF618" s="166"/>
      <c r="AG618" s="166"/>
    </row>
    <row r="619" spans="1:33">
      <c r="A619" s="166"/>
      <c r="B619" s="498"/>
      <c r="C619" s="498"/>
      <c r="D619" s="498"/>
      <c r="E619" s="498"/>
      <c r="F619" s="498"/>
      <c r="G619" s="166"/>
      <c r="H619" s="500"/>
      <c r="I619" s="501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  <c r="AA619" s="166"/>
      <c r="AB619" s="166"/>
      <c r="AC619" s="166"/>
      <c r="AD619" s="166"/>
      <c r="AE619" s="166"/>
      <c r="AF619" s="166"/>
      <c r="AG619" s="166"/>
    </row>
    <row r="620" spans="1:33">
      <c r="A620" s="166"/>
      <c r="B620" s="498"/>
      <c r="C620" s="498"/>
      <c r="D620" s="498"/>
      <c r="E620" s="498"/>
      <c r="F620" s="498"/>
      <c r="G620" s="166"/>
      <c r="H620" s="500"/>
      <c r="I620" s="501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  <c r="AA620" s="166"/>
      <c r="AB620" s="166"/>
      <c r="AC620" s="166"/>
      <c r="AD620" s="166"/>
      <c r="AE620" s="166"/>
      <c r="AF620" s="166"/>
      <c r="AG620" s="166"/>
    </row>
    <row r="621" spans="1:33">
      <c r="A621" s="166"/>
      <c r="B621" s="498"/>
      <c r="C621" s="498"/>
      <c r="D621" s="498"/>
      <c r="E621" s="498"/>
      <c r="F621" s="498"/>
      <c r="G621" s="166"/>
      <c r="H621" s="500"/>
      <c r="I621" s="501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  <c r="AA621" s="166"/>
      <c r="AB621" s="166"/>
      <c r="AC621" s="166"/>
      <c r="AD621" s="166"/>
      <c r="AE621" s="166"/>
      <c r="AF621" s="166"/>
      <c r="AG621" s="166"/>
    </row>
    <row r="622" spans="1:33">
      <c r="A622" s="166"/>
      <c r="B622" s="498"/>
      <c r="C622" s="498"/>
      <c r="D622" s="498"/>
      <c r="E622" s="498"/>
      <c r="F622" s="498"/>
      <c r="G622" s="166"/>
      <c r="H622" s="500"/>
      <c r="I622" s="501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  <c r="AA622" s="166"/>
      <c r="AB622" s="166"/>
      <c r="AC622" s="166"/>
      <c r="AD622" s="166"/>
      <c r="AE622" s="166"/>
      <c r="AF622" s="166"/>
      <c r="AG622" s="166"/>
    </row>
    <row r="623" spans="1:33">
      <c r="A623" s="166"/>
      <c r="B623" s="498"/>
      <c r="C623" s="498"/>
      <c r="D623" s="498"/>
      <c r="E623" s="498"/>
      <c r="F623" s="498"/>
      <c r="G623" s="166"/>
      <c r="H623" s="500"/>
      <c r="I623" s="501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  <c r="AA623" s="166"/>
      <c r="AB623" s="166"/>
      <c r="AC623" s="166"/>
      <c r="AD623" s="166"/>
      <c r="AE623" s="166"/>
      <c r="AF623" s="166"/>
      <c r="AG623" s="166"/>
    </row>
    <row r="624" spans="1:33">
      <c r="A624" s="166"/>
      <c r="B624" s="498"/>
      <c r="C624" s="498"/>
      <c r="D624" s="498"/>
      <c r="E624" s="498"/>
      <c r="F624" s="498"/>
      <c r="G624" s="166"/>
      <c r="H624" s="500"/>
      <c r="I624" s="501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  <c r="AA624" s="166"/>
      <c r="AB624" s="166"/>
      <c r="AC624" s="166"/>
      <c r="AD624" s="166"/>
      <c r="AE624" s="166"/>
      <c r="AF624" s="166"/>
      <c r="AG624" s="166"/>
    </row>
    <row r="625" spans="1:33">
      <c r="A625" s="166"/>
      <c r="B625" s="498"/>
      <c r="C625" s="498"/>
      <c r="D625" s="498"/>
      <c r="E625" s="498"/>
      <c r="F625" s="498"/>
      <c r="G625" s="166"/>
      <c r="H625" s="500"/>
      <c r="I625" s="501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  <c r="AA625" s="166"/>
      <c r="AB625" s="166"/>
      <c r="AC625" s="166"/>
      <c r="AD625" s="166"/>
      <c r="AE625" s="166"/>
      <c r="AF625" s="166"/>
      <c r="AG625" s="166"/>
    </row>
    <row r="626" spans="1:33">
      <c r="A626" s="166"/>
      <c r="B626" s="498"/>
      <c r="C626" s="498"/>
      <c r="D626" s="498"/>
      <c r="E626" s="498"/>
      <c r="F626" s="498"/>
      <c r="G626" s="166"/>
      <c r="H626" s="500"/>
      <c r="I626" s="501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  <c r="AA626" s="166"/>
      <c r="AB626" s="166"/>
      <c r="AC626" s="166"/>
      <c r="AD626" s="166"/>
      <c r="AE626" s="166"/>
      <c r="AF626" s="166"/>
      <c r="AG626" s="166"/>
    </row>
    <row r="627" spans="1:33">
      <c r="A627" s="166"/>
      <c r="B627" s="498"/>
      <c r="C627" s="498"/>
      <c r="D627" s="498"/>
      <c r="E627" s="498"/>
      <c r="F627" s="498"/>
      <c r="G627" s="166"/>
      <c r="H627" s="500"/>
      <c r="I627" s="501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  <c r="AA627" s="166"/>
      <c r="AB627" s="166"/>
      <c r="AC627" s="166"/>
      <c r="AD627" s="166"/>
      <c r="AE627" s="166"/>
      <c r="AF627" s="166"/>
      <c r="AG627" s="166"/>
    </row>
    <row r="628" spans="1:33">
      <c r="A628" s="166"/>
      <c r="B628" s="498"/>
      <c r="C628" s="498"/>
      <c r="D628" s="498"/>
      <c r="E628" s="498"/>
      <c r="F628" s="498"/>
      <c r="G628" s="166"/>
      <c r="H628" s="500"/>
      <c r="I628" s="501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  <c r="AA628" s="166"/>
      <c r="AB628" s="166"/>
      <c r="AC628" s="166"/>
      <c r="AD628" s="166"/>
      <c r="AE628" s="166"/>
      <c r="AF628" s="166"/>
      <c r="AG628" s="166"/>
    </row>
    <row r="629" spans="1:33">
      <c r="A629" s="166"/>
      <c r="B629" s="498"/>
      <c r="C629" s="498"/>
      <c r="D629" s="498"/>
      <c r="E629" s="498"/>
      <c r="F629" s="498"/>
      <c r="G629" s="166"/>
      <c r="H629" s="500"/>
      <c r="I629" s="501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  <c r="AA629" s="166"/>
      <c r="AB629" s="166"/>
      <c r="AC629" s="166"/>
      <c r="AD629" s="166"/>
      <c r="AE629" s="166"/>
      <c r="AF629" s="166"/>
      <c r="AG629" s="166"/>
    </row>
    <row r="630" spans="1:33">
      <c r="A630" s="166"/>
      <c r="B630" s="498"/>
      <c r="C630" s="498"/>
      <c r="D630" s="498"/>
      <c r="E630" s="498"/>
      <c r="F630" s="498"/>
      <c r="G630" s="166"/>
      <c r="H630" s="500"/>
      <c r="I630" s="501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  <c r="AA630" s="166"/>
      <c r="AB630" s="166"/>
      <c r="AC630" s="166"/>
      <c r="AD630" s="166"/>
      <c r="AE630" s="166"/>
      <c r="AF630" s="166"/>
      <c r="AG630" s="166"/>
    </row>
    <row r="631" spans="1:33">
      <c r="A631" s="166"/>
      <c r="B631" s="498"/>
      <c r="C631" s="498"/>
      <c r="D631" s="498"/>
      <c r="E631" s="498"/>
      <c r="F631" s="498"/>
      <c r="G631" s="166"/>
      <c r="H631" s="500"/>
      <c r="I631" s="501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  <c r="AA631" s="166"/>
      <c r="AB631" s="166"/>
      <c r="AC631" s="166"/>
      <c r="AD631" s="166"/>
      <c r="AE631" s="166"/>
      <c r="AF631" s="166"/>
      <c r="AG631" s="166"/>
    </row>
    <row r="632" spans="1:33">
      <c r="A632" s="166"/>
      <c r="B632" s="498"/>
      <c r="C632" s="498"/>
      <c r="D632" s="498"/>
      <c r="E632" s="498"/>
      <c r="F632" s="498"/>
      <c r="G632" s="166"/>
      <c r="H632" s="500"/>
      <c r="I632" s="501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  <c r="AA632" s="166"/>
      <c r="AB632" s="166"/>
      <c r="AC632" s="166"/>
      <c r="AD632" s="166"/>
      <c r="AE632" s="166"/>
      <c r="AF632" s="166"/>
      <c r="AG632" s="166"/>
    </row>
    <row r="633" spans="1:33">
      <c r="A633" s="166"/>
      <c r="B633" s="498"/>
      <c r="C633" s="498"/>
      <c r="D633" s="498"/>
      <c r="E633" s="498"/>
      <c r="F633" s="498"/>
      <c r="G633" s="166"/>
      <c r="H633" s="500"/>
      <c r="I633" s="501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  <c r="AA633" s="166"/>
      <c r="AB633" s="166"/>
      <c r="AC633" s="166"/>
      <c r="AD633" s="166"/>
      <c r="AE633" s="166"/>
      <c r="AF633" s="166"/>
      <c r="AG633" s="166"/>
    </row>
    <row r="634" spans="1:33">
      <c r="A634" s="166"/>
      <c r="B634" s="498"/>
      <c r="C634" s="498"/>
      <c r="D634" s="498"/>
      <c r="E634" s="498"/>
      <c r="F634" s="498"/>
      <c r="G634" s="166"/>
      <c r="H634" s="500"/>
      <c r="I634" s="501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  <c r="AA634" s="166"/>
      <c r="AB634" s="166"/>
      <c r="AC634" s="166"/>
      <c r="AD634" s="166"/>
      <c r="AE634" s="166"/>
      <c r="AF634" s="166"/>
      <c r="AG634" s="166"/>
    </row>
    <row r="635" spans="1:33">
      <c r="A635" s="166"/>
      <c r="B635" s="498"/>
      <c r="C635" s="498"/>
      <c r="D635" s="498"/>
      <c r="E635" s="498"/>
      <c r="F635" s="498"/>
      <c r="G635" s="166"/>
      <c r="H635" s="500"/>
      <c r="I635" s="501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  <c r="AA635" s="166"/>
      <c r="AB635" s="166"/>
      <c r="AC635" s="166"/>
      <c r="AD635" s="166"/>
      <c r="AE635" s="166"/>
      <c r="AF635" s="166"/>
      <c r="AG635" s="166"/>
    </row>
    <row r="636" spans="1:33">
      <c r="A636" s="166"/>
      <c r="B636" s="498"/>
      <c r="C636" s="498"/>
      <c r="D636" s="498"/>
      <c r="E636" s="498"/>
      <c r="F636" s="498"/>
      <c r="G636" s="166"/>
      <c r="H636" s="500"/>
      <c r="I636" s="501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  <c r="AA636" s="166"/>
      <c r="AB636" s="166"/>
      <c r="AC636" s="166"/>
      <c r="AD636" s="166"/>
      <c r="AE636" s="166"/>
      <c r="AF636" s="166"/>
      <c r="AG636" s="166"/>
    </row>
    <row r="637" spans="1:33">
      <c r="A637" s="166"/>
      <c r="B637" s="498"/>
      <c r="C637" s="498"/>
      <c r="D637" s="498"/>
      <c r="E637" s="498"/>
      <c r="F637" s="498"/>
      <c r="G637" s="166"/>
      <c r="H637" s="500"/>
      <c r="I637" s="501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  <c r="AA637" s="166"/>
      <c r="AB637" s="166"/>
      <c r="AC637" s="166"/>
      <c r="AD637" s="166"/>
      <c r="AE637" s="166"/>
      <c r="AF637" s="166"/>
      <c r="AG637" s="166"/>
    </row>
    <row r="638" spans="1:33">
      <c r="A638" s="166"/>
      <c r="B638" s="498"/>
      <c r="C638" s="498"/>
      <c r="D638" s="498"/>
      <c r="E638" s="498"/>
      <c r="F638" s="498"/>
      <c r="G638" s="166"/>
      <c r="H638" s="500"/>
      <c r="I638" s="501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  <c r="AA638" s="166"/>
      <c r="AB638" s="166"/>
      <c r="AC638" s="166"/>
      <c r="AD638" s="166"/>
      <c r="AE638" s="166"/>
      <c r="AF638" s="166"/>
      <c r="AG638" s="166"/>
    </row>
    <row r="639" spans="1:33">
      <c r="A639" s="166"/>
      <c r="B639" s="498"/>
      <c r="C639" s="498"/>
      <c r="D639" s="498"/>
      <c r="E639" s="498"/>
      <c r="F639" s="498"/>
      <c r="G639" s="166"/>
      <c r="H639" s="500"/>
      <c r="I639" s="501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  <c r="AA639" s="166"/>
      <c r="AB639" s="166"/>
      <c r="AC639" s="166"/>
      <c r="AD639" s="166"/>
      <c r="AE639" s="166"/>
      <c r="AF639" s="166"/>
      <c r="AG639" s="166"/>
    </row>
    <row r="640" spans="1:33">
      <c r="A640" s="166"/>
      <c r="B640" s="498"/>
      <c r="C640" s="498"/>
      <c r="D640" s="498"/>
      <c r="E640" s="498"/>
      <c r="F640" s="498"/>
      <c r="G640" s="166"/>
      <c r="H640" s="500"/>
      <c r="I640" s="501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  <c r="AA640" s="166"/>
      <c r="AB640" s="166"/>
      <c r="AC640" s="166"/>
      <c r="AD640" s="166"/>
      <c r="AE640" s="166"/>
      <c r="AF640" s="166"/>
      <c r="AG640" s="166"/>
    </row>
    <row r="641" spans="1:33">
      <c r="A641" s="166"/>
      <c r="B641" s="498"/>
      <c r="C641" s="498"/>
      <c r="D641" s="498"/>
      <c r="E641" s="498"/>
      <c r="F641" s="498"/>
      <c r="G641" s="166"/>
      <c r="H641" s="500"/>
      <c r="I641" s="501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  <c r="AA641" s="166"/>
      <c r="AB641" s="166"/>
      <c r="AC641" s="166"/>
      <c r="AD641" s="166"/>
      <c r="AE641" s="166"/>
      <c r="AF641" s="166"/>
      <c r="AG641" s="166"/>
    </row>
    <row r="642" spans="1:33">
      <c r="A642" s="166"/>
      <c r="B642" s="498"/>
      <c r="C642" s="498"/>
      <c r="D642" s="498"/>
      <c r="E642" s="498"/>
      <c r="F642" s="498"/>
      <c r="G642" s="166"/>
      <c r="H642" s="500"/>
      <c r="I642" s="501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  <c r="AA642" s="166"/>
      <c r="AB642" s="166"/>
      <c r="AC642" s="166"/>
      <c r="AD642" s="166"/>
      <c r="AE642" s="166"/>
      <c r="AF642" s="166"/>
      <c r="AG642" s="166"/>
    </row>
    <row r="643" spans="1:33">
      <c r="A643" s="166"/>
      <c r="B643" s="498"/>
      <c r="C643" s="498"/>
      <c r="D643" s="498"/>
      <c r="E643" s="498"/>
      <c r="F643" s="498"/>
      <c r="G643" s="166"/>
      <c r="H643" s="500"/>
      <c r="I643" s="501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  <c r="AA643" s="166"/>
      <c r="AB643" s="166"/>
      <c r="AC643" s="166"/>
      <c r="AD643" s="166"/>
      <c r="AE643" s="166"/>
      <c r="AF643" s="166"/>
      <c r="AG643" s="166"/>
    </row>
    <row r="644" spans="1:33">
      <c r="A644" s="166"/>
      <c r="B644" s="498"/>
      <c r="C644" s="498"/>
      <c r="D644" s="498"/>
      <c r="E644" s="498"/>
      <c r="F644" s="498"/>
      <c r="G644" s="166"/>
      <c r="H644" s="500"/>
      <c r="I644" s="501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  <c r="AA644" s="166"/>
      <c r="AB644" s="166"/>
      <c r="AC644" s="166"/>
      <c r="AD644" s="166"/>
      <c r="AE644" s="166"/>
      <c r="AF644" s="166"/>
      <c r="AG644" s="166"/>
    </row>
    <row r="645" spans="1:33">
      <c r="A645" s="166"/>
      <c r="B645" s="498"/>
      <c r="C645" s="498"/>
      <c r="D645" s="498"/>
      <c r="E645" s="498"/>
      <c r="F645" s="498"/>
      <c r="G645" s="166"/>
      <c r="H645" s="500"/>
      <c r="I645" s="501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  <c r="AA645" s="166"/>
      <c r="AB645" s="166"/>
      <c r="AC645" s="166"/>
      <c r="AD645" s="166"/>
      <c r="AE645" s="166"/>
      <c r="AF645" s="166"/>
      <c r="AG645" s="166"/>
    </row>
    <row r="646" spans="1:33">
      <c r="A646" s="166"/>
      <c r="B646" s="498"/>
      <c r="C646" s="498"/>
      <c r="D646" s="498"/>
      <c r="E646" s="498"/>
      <c r="F646" s="498"/>
      <c r="G646" s="166"/>
      <c r="H646" s="500"/>
      <c r="I646" s="501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  <c r="AA646" s="166"/>
      <c r="AB646" s="166"/>
      <c r="AC646" s="166"/>
      <c r="AD646" s="166"/>
      <c r="AE646" s="166"/>
      <c r="AF646" s="166"/>
      <c r="AG646" s="166"/>
    </row>
    <row r="647" spans="1:33">
      <c r="A647" s="166"/>
      <c r="B647" s="498"/>
      <c r="C647" s="498"/>
      <c r="D647" s="498"/>
      <c r="E647" s="498"/>
      <c r="F647" s="498"/>
      <c r="G647" s="166"/>
      <c r="H647" s="500"/>
      <c r="I647" s="501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  <c r="AA647" s="166"/>
      <c r="AB647" s="166"/>
      <c r="AC647" s="166"/>
      <c r="AD647" s="166"/>
      <c r="AE647" s="166"/>
      <c r="AF647" s="166"/>
      <c r="AG647" s="166"/>
    </row>
    <row r="648" spans="1:33">
      <c r="A648" s="166"/>
      <c r="B648" s="498"/>
      <c r="C648" s="498"/>
      <c r="D648" s="498"/>
      <c r="E648" s="498"/>
      <c r="F648" s="498"/>
      <c r="G648" s="166"/>
      <c r="H648" s="500"/>
      <c r="I648" s="501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  <c r="AA648" s="166"/>
      <c r="AB648" s="166"/>
      <c r="AC648" s="166"/>
      <c r="AD648" s="166"/>
      <c r="AE648" s="166"/>
      <c r="AF648" s="166"/>
      <c r="AG648" s="166"/>
    </row>
    <row r="649" spans="1:33">
      <c r="A649" s="166"/>
      <c r="B649" s="498"/>
      <c r="C649" s="498"/>
      <c r="D649" s="498"/>
      <c r="E649" s="498"/>
      <c r="F649" s="498"/>
      <c r="G649" s="166"/>
      <c r="H649" s="500"/>
      <c r="I649" s="501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  <c r="AA649" s="166"/>
      <c r="AB649" s="166"/>
      <c r="AC649" s="166"/>
      <c r="AD649" s="166"/>
      <c r="AE649" s="166"/>
      <c r="AF649" s="166"/>
      <c r="AG649" s="166"/>
    </row>
    <row r="650" spans="1:33">
      <c r="A650" s="166"/>
      <c r="B650" s="498"/>
      <c r="C650" s="498"/>
      <c r="D650" s="498"/>
      <c r="E650" s="498"/>
      <c r="F650" s="498"/>
      <c r="G650" s="166"/>
      <c r="H650" s="500"/>
      <c r="I650" s="501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  <c r="AA650" s="166"/>
      <c r="AB650" s="166"/>
      <c r="AC650" s="166"/>
      <c r="AD650" s="166"/>
      <c r="AE650" s="166"/>
      <c r="AF650" s="166"/>
      <c r="AG650" s="166"/>
    </row>
    <row r="651" spans="1:33">
      <c r="A651" s="166"/>
      <c r="B651" s="498"/>
      <c r="C651" s="498"/>
      <c r="D651" s="498"/>
      <c r="E651" s="498"/>
      <c r="F651" s="498"/>
      <c r="G651" s="166"/>
      <c r="H651" s="500"/>
      <c r="I651" s="501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  <c r="AA651" s="166"/>
      <c r="AB651" s="166"/>
      <c r="AC651" s="166"/>
      <c r="AD651" s="166"/>
      <c r="AE651" s="166"/>
      <c r="AF651" s="166"/>
      <c r="AG651" s="166"/>
    </row>
    <row r="652" spans="1:33">
      <c r="A652" s="166"/>
      <c r="B652" s="498"/>
      <c r="C652" s="498"/>
      <c r="D652" s="498"/>
      <c r="E652" s="498"/>
      <c r="F652" s="498"/>
      <c r="G652" s="166"/>
      <c r="H652" s="500"/>
      <c r="I652" s="501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  <c r="AA652" s="166"/>
      <c r="AB652" s="166"/>
      <c r="AC652" s="166"/>
      <c r="AD652" s="166"/>
      <c r="AE652" s="166"/>
      <c r="AF652" s="166"/>
      <c r="AG652" s="166"/>
    </row>
    <row r="653" spans="1:33">
      <c r="A653" s="166"/>
      <c r="B653" s="498"/>
      <c r="C653" s="498"/>
      <c r="D653" s="498"/>
      <c r="E653" s="498"/>
      <c r="F653" s="498"/>
      <c r="G653" s="166"/>
      <c r="H653" s="500"/>
      <c r="I653" s="501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  <c r="AA653" s="166"/>
      <c r="AB653" s="166"/>
      <c r="AC653" s="166"/>
      <c r="AD653" s="166"/>
      <c r="AE653" s="166"/>
      <c r="AF653" s="166"/>
      <c r="AG653" s="166"/>
    </row>
    <row r="654" spans="1:33">
      <c r="A654" s="166"/>
      <c r="B654" s="498"/>
      <c r="C654" s="498"/>
      <c r="D654" s="498"/>
      <c r="E654" s="498"/>
      <c r="F654" s="498"/>
      <c r="G654" s="166"/>
      <c r="H654" s="500"/>
      <c r="I654" s="501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  <c r="AA654" s="166"/>
      <c r="AB654" s="166"/>
      <c r="AC654" s="166"/>
      <c r="AD654" s="166"/>
      <c r="AE654" s="166"/>
      <c r="AF654" s="166"/>
      <c r="AG654" s="166"/>
    </row>
    <row r="655" spans="1:33">
      <c r="A655" s="166"/>
      <c r="B655" s="498"/>
      <c r="C655" s="498"/>
      <c r="D655" s="498"/>
      <c r="E655" s="498"/>
      <c r="F655" s="498"/>
      <c r="G655" s="166"/>
      <c r="H655" s="500"/>
      <c r="I655" s="501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  <c r="AA655" s="166"/>
      <c r="AB655" s="166"/>
      <c r="AC655" s="166"/>
      <c r="AD655" s="166"/>
      <c r="AE655" s="166"/>
      <c r="AF655" s="166"/>
      <c r="AG655" s="166"/>
    </row>
    <row r="656" spans="1:33">
      <c r="A656" s="166"/>
      <c r="B656" s="498"/>
      <c r="C656" s="498"/>
      <c r="D656" s="498"/>
      <c r="E656" s="498"/>
      <c r="F656" s="498"/>
      <c r="G656" s="166"/>
      <c r="H656" s="500"/>
      <c r="I656" s="501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  <c r="AA656" s="166"/>
      <c r="AB656" s="166"/>
      <c r="AC656" s="166"/>
      <c r="AD656" s="166"/>
      <c r="AE656" s="166"/>
      <c r="AF656" s="166"/>
      <c r="AG656" s="166"/>
    </row>
    <row r="657" spans="1:33">
      <c r="A657" s="166"/>
      <c r="B657" s="498"/>
      <c r="C657" s="498"/>
      <c r="D657" s="498"/>
      <c r="E657" s="498"/>
      <c r="F657" s="498"/>
      <c r="G657" s="166"/>
      <c r="H657" s="500"/>
      <c r="I657" s="501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  <c r="AA657" s="166"/>
      <c r="AB657" s="166"/>
      <c r="AC657" s="166"/>
      <c r="AD657" s="166"/>
      <c r="AE657" s="166"/>
      <c r="AF657" s="166"/>
      <c r="AG657" s="166"/>
    </row>
    <row r="658" spans="1:33">
      <c r="A658" s="166"/>
      <c r="B658" s="498"/>
      <c r="C658" s="498"/>
      <c r="D658" s="498"/>
      <c r="E658" s="498"/>
      <c r="F658" s="498"/>
      <c r="G658" s="166"/>
      <c r="H658" s="500"/>
      <c r="I658" s="501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  <c r="AA658" s="166"/>
      <c r="AB658" s="166"/>
      <c r="AC658" s="166"/>
      <c r="AD658" s="166"/>
      <c r="AE658" s="166"/>
      <c r="AF658" s="166"/>
      <c r="AG658" s="166"/>
    </row>
    <row r="659" spans="1:33">
      <c r="A659" s="166"/>
      <c r="B659" s="498"/>
      <c r="C659" s="498"/>
      <c r="D659" s="498"/>
      <c r="E659" s="498"/>
      <c r="F659" s="498"/>
      <c r="G659" s="166"/>
      <c r="H659" s="500"/>
      <c r="I659" s="501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  <c r="AA659" s="166"/>
      <c r="AB659" s="166"/>
      <c r="AC659" s="166"/>
      <c r="AD659" s="166"/>
      <c r="AE659" s="166"/>
      <c r="AF659" s="166"/>
      <c r="AG659" s="166"/>
    </row>
    <row r="660" spans="1:33">
      <c r="A660" s="166"/>
      <c r="B660" s="498"/>
      <c r="C660" s="498"/>
      <c r="D660" s="498"/>
      <c r="E660" s="498"/>
      <c r="F660" s="498"/>
      <c r="G660" s="166"/>
      <c r="H660" s="500"/>
      <c r="I660" s="501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  <c r="AA660" s="166"/>
      <c r="AB660" s="166"/>
      <c r="AC660" s="166"/>
      <c r="AD660" s="166"/>
      <c r="AE660" s="166"/>
      <c r="AF660" s="166"/>
      <c r="AG660" s="166"/>
    </row>
    <row r="661" spans="1:33">
      <c r="A661" s="166"/>
      <c r="B661" s="498"/>
      <c r="C661" s="498"/>
      <c r="D661" s="498"/>
      <c r="E661" s="498"/>
      <c r="F661" s="498"/>
      <c r="G661" s="166"/>
      <c r="H661" s="500"/>
      <c r="I661" s="501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  <c r="AA661" s="166"/>
      <c r="AB661" s="166"/>
      <c r="AC661" s="166"/>
      <c r="AD661" s="166"/>
      <c r="AE661" s="166"/>
      <c r="AF661" s="166"/>
      <c r="AG661" s="166"/>
    </row>
    <row r="662" spans="1:33">
      <c r="A662" s="166"/>
      <c r="B662" s="498"/>
      <c r="C662" s="498"/>
      <c r="D662" s="498"/>
      <c r="E662" s="498"/>
      <c r="F662" s="498"/>
      <c r="G662" s="166"/>
      <c r="H662" s="500"/>
      <c r="I662" s="501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  <c r="AA662" s="166"/>
      <c r="AB662" s="166"/>
      <c r="AC662" s="166"/>
      <c r="AD662" s="166"/>
      <c r="AE662" s="166"/>
      <c r="AF662" s="166"/>
      <c r="AG662" s="166"/>
    </row>
    <row r="663" spans="1:33">
      <c r="A663" s="166"/>
      <c r="B663" s="498"/>
      <c r="C663" s="498"/>
      <c r="D663" s="498"/>
      <c r="E663" s="498"/>
      <c r="F663" s="498"/>
      <c r="G663" s="166"/>
      <c r="H663" s="500"/>
      <c r="I663" s="501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  <c r="AA663" s="166"/>
      <c r="AB663" s="166"/>
      <c r="AC663" s="166"/>
      <c r="AD663" s="166"/>
      <c r="AE663" s="166"/>
      <c r="AF663" s="166"/>
      <c r="AG663" s="166"/>
    </row>
    <row r="664" spans="1:33">
      <c r="A664" s="166"/>
      <c r="B664" s="498"/>
      <c r="C664" s="498"/>
      <c r="D664" s="498"/>
      <c r="E664" s="498"/>
      <c r="F664" s="498"/>
      <c r="G664" s="166"/>
      <c r="H664" s="500"/>
      <c r="I664" s="501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  <c r="AA664" s="166"/>
      <c r="AB664" s="166"/>
      <c r="AC664" s="166"/>
      <c r="AD664" s="166"/>
      <c r="AE664" s="166"/>
      <c r="AF664" s="166"/>
      <c r="AG664" s="166"/>
    </row>
    <row r="665" spans="1:33">
      <c r="A665" s="166"/>
      <c r="B665" s="498"/>
      <c r="C665" s="498"/>
      <c r="D665" s="498"/>
      <c r="E665" s="498"/>
      <c r="F665" s="498"/>
      <c r="G665" s="166"/>
      <c r="H665" s="500"/>
      <c r="I665" s="501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  <c r="AA665" s="166"/>
      <c r="AB665" s="166"/>
      <c r="AC665" s="166"/>
      <c r="AD665" s="166"/>
      <c r="AE665" s="166"/>
      <c r="AF665" s="166"/>
      <c r="AG665" s="166"/>
    </row>
    <row r="666" spans="1:33">
      <c r="A666" s="166"/>
      <c r="B666" s="498"/>
      <c r="C666" s="498"/>
      <c r="D666" s="498"/>
      <c r="E666" s="498"/>
      <c r="F666" s="498"/>
      <c r="G666" s="166"/>
      <c r="H666" s="500"/>
      <c r="I666" s="501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  <c r="AA666" s="166"/>
      <c r="AB666" s="166"/>
      <c r="AC666" s="166"/>
      <c r="AD666" s="166"/>
      <c r="AE666" s="166"/>
      <c r="AF666" s="166"/>
      <c r="AG666" s="166"/>
    </row>
    <row r="667" spans="1:33">
      <c r="A667" s="166"/>
      <c r="B667" s="498"/>
      <c r="C667" s="498"/>
      <c r="D667" s="498"/>
      <c r="E667" s="498"/>
      <c r="F667" s="498"/>
      <c r="G667" s="166"/>
      <c r="H667" s="500"/>
      <c r="I667" s="501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  <c r="AA667" s="166"/>
      <c r="AB667" s="166"/>
      <c r="AC667" s="166"/>
      <c r="AD667" s="166"/>
      <c r="AE667" s="166"/>
      <c r="AF667" s="166"/>
      <c r="AG667" s="166"/>
    </row>
    <row r="668" spans="1:33">
      <c r="A668" s="166"/>
      <c r="B668" s="498"/>
      <c r="C668" s="498"/>
      <c r="D668" s="498"/>
      <c r="E668" s="498"/>
      <c r="F668" s="498"/>
      <c r="G668" s="166"/>
      <c r="H668" s="500"/>
      <c r="I668" s="501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  <c r="AA668" s="166"/>
      <c r="AB668" s="166"/>
      <c r="AC668" s="166"/>
      <c r="AD668" s="166"/>
      <c r="AE668" s="166"/>
      <c r="AF668" s="166"/>
      <c r="AG668" s="166"/>
    </row>
    <row r="669" spans="1:33">
      <c r="A669" s="166"/>
      <c r="B669" s="498"/>
      <c r="C669" s="498"/>
      <c r="D669" s="498"/>
      <c r="E669" s="498"/>
      <c r="F669" s="498"/>
      <c r="G669" s="166"/>
      <c r="H669" s="500"/>
      <c r="I669" s="501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  <c r="AA669" s="166"/>
      <c r="AB669" s="166"/>
      <c r="AC669" s="166"/>
      <c r="AD669" s="166"/>
      <c r="AE669" s="166"/>
      <c r="AF669" s="166"/>
      <c r="AG669" s="166"/>
    </row>
    <row r="670" spans="1:33">
      <c r="A670" s="166"/>
      <c r="B670" s="498"/>
      <c r="C670" s="498"/>
      <c r="D670" s="498"/>
      <c r="E670" s="498"/>
      <c r="F670" s="498"/>
      <c r="G670" s="166"/>
      <c r="H670" s="500"/>
      <c r="I670" s="501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  <c r="AA670" s="166"/>
      <c r="AB670" s="166"/>
      <c r="AC670" s="166"/>
      <c r="AD670" s="166"/>
      <c r="AE670" s="166"/>
      <c r="AF670" s="166"/>
      <c r="AG670" s="166"/>
    </row>
    <row r="671" spans="1:33">
      <c r="A671" s="166"/>
      <c r="B671" s="498"/>
      <c r="C671" s="498"/>
      <c r="D671" s="498"/>
      <c r="E671" s="498"/>
      <c r="F671" s="498"/>
      <c r="G671" s="166"/>
      <c r="H671" s="500"/>
      <c r="I671" s="501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  <c r="AA671" s="166"/>
      <c r="AB671" s="166"/>
      <c r="AC671" s="166"/>
      <c r="AD671" s="166"/>
      <c r="AE671" s="166"/>
      <c r="AF671" s="166"/>
      <c r="AG671" s="166"/>
    </row>
    <row r="672" spans="1:33">
      <c r="A672" s="166"/>
      <c r="B672" s="498"/>
      <c r="C672" s="498"/>
      <c r="D672" s="498"/>
      <c r="E672" s="498"/>
      <c r="F672" s="498"/>
      <c r="G672" s="166"/>
      <c r="H672" s="500"/>
      <c r="I672" s="501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  <c r="AA672" s="166"/>
      <c r="AB672" s="166"/>
      <c r="AC672" s="166"/>
      <c r="AD672" s="166"/>
      <c r="AE672" s="166"/>
      <c r="AF672" s="166"/>
      <c r="AG672" s="166"/>
    </row>
    <row r="673" spans="1:33">
      <c r="A673" s="166"/>
      <c r="B673" s="498"/>
      <c r="C673" s="498"/>
      <c r="D673" s="498"/>
      <c r="E673" s="498"/>
      <c r="F673" s="498"/>
      <c r="G673" s="166"/>
      <c r="H673" s="500"/>
      <c r="I673" s="501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  <c r="AA673" s="166"/>
      <c r="AB673" s="166"/>
      <c r="AC673" s="166"/>
      <c r="AD673" s="166"/>
      <c r="AE673" s="166"/>
      <c r="AF673" s="166"/>
      <c r="AG673" s="166"/>
    </row>
    <row r="674" spans="1:33">
      <c r="A674" s="166"/>
      <c r="B674" s="498"/>
      <c r="C674" s="498"/>
      <c r="D674" s="498"/>
      <c r="E674" s="498"/>
      <c r="F674" s="498"/>
      <c r="G674" s="166"/>
      <c r="H674" s="500"/>
      <c r="I674" s="501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  <c r="AA674" s="166"/>
      <c r="AB674" s="166"/>
      <c r="AC674" s="166"/>
      <c r="AD674" s="166"/>
      <c r="AE674" s="166"/>
      <c r="AF674" s="166"/>
      <c r="AG674" s="166"/>
    </row>
    <row r="675" spans="1:33">
      <c r="A675" s="166"/>
      <c r="B675" s="498"/>
      <c r="C675" s="498"/>
      <c r="D675" s="498"/>
      <c r="E675" s="498"/>
      <c r="F675" s="498"/>
      <c r="G675" s="166"/>
      <c r="H675" s="500"/>
      <c r="I675" s="501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  <c r="AA675" s="166"/>
      <c r="AB675" s="166"/>
      <c r="AC675" s="166"/>
      <c r="AD675" s="166"/>
      <c r="AE675" s="166"/>
      <c r="AF675" s="166"/>
      <c r="AG675" s="166"/>
    </row>
    <row r="676" spans="1:33">
      <c r="A676" s="166"/>
      <c r="B676" s="498"/>
      <c r="C676" s="498"/>
      <c r="D676" s="498"/>
      <c r="E676" s="498"/>
      <c r="F676" s="498"/>
      <c r="G676" s="166"/>
      <c r="H676" s="500"/>
      <c r="I676" s="501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  <c r="AA676" s="166"/>
      <c r="AB676" s="166"/>
      <c r="AC676" s="166"/>
      <c r="AD676" s="166"/>
      <c r="AE676" s="166"/>
      <c r="AF676" s="166"/>
      <c r="AG676" s="166"/>
    </row>
    <row r="677" spans="1:33">
      <c r="A677" s="166"/>
      <c r="B677" s="498"/>
      <c r="C677" s="498"/>
      <c r="D677" s="498"/>
      <c r="E677" s="498"/>
      <c r="F677" s="498"/>
      <c r="G677" s="166"/>
      <c r="H677" s="500"/>
      <c r="I677" s="501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  <c r="AA677" s="166"/>
      <c r="AB677" s="166"/>
      <c r="AC677" s="166"/>
      <c r="AD677" s="166"/>
      <c r="AE677" s="166"/>
      <c r="AF677" s="166"/>
      <c r="AG677" s="166"/>
    </row>
    <row r="678" spans="1:33">
      <c r="A678" s="166"/>
      <c r="B678" s="498"/>
      <c r="C678" s="498"/>
      <c r="D678" s="498"/>
      <c r="E678" s="498"/>
      <c r="F678" s="498"/>
      <c r="G678" s="166"/>
      <c r="H678" s="500"/>
      <c r="I678" s="501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  <c r="AA678" s="166"/>
      <c r="AB678" s="166"/>
      <c r="AC678" s="166"/>
      <c r="AD678" s="166"/>
      <c r="AE678" s="166"/>
      <c r="AF678" s="166"/>
      <c r="AG678" s="166"/>
    </row>
    <row r="679" spans="1:33">
      <c r="A679" s="166"/>
      <c r="B679" s="498"/>
      <c r="C679" s="498"/>
      <c r="D679" s="498"/>
      <c r="E679" s="498"/>
      <c r="F679" s="498"/>
      <c r="G679" s="166"/>
      <c r="H679" s="500"/>
      <c r="I679" s="501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  <c r="AA679" s="166"/>
      <c r="AB679" s="166"/>
      <c r="AC679" s="166"/>
      <c r="AD679" s="166"/>
      <c r="AE679" s="166"/>
      <c r="AF679" s="166"/>
      <c r="AG679" s="166"/>
    </row>
    <row r="680" spans="1:33">
      <c r="A680" s="166"/>
      <c r="B680" s="498"/>
      <c r="C680" s="498"/>
      <c r="D680" s="498"/>
      <c r="E680" s="498"/>
      <c r="F680" s="498"/>
      <c r="G680" s="166"/>
      <c r="H680" s="500"/>
      <c r="I680" s="501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  <c r="AA680" s="166"/>
      <c r="AB680" s="166"/>
      <c r="AC680" s="166"/>
      <c r="AD680" s="166"/>
      <c r="AE680" s="166"/>
      <c r="AF680" s="166"/>
      <c r="AG680" s="166"/>
    </row>
    <row r="681" spans="1:33">
      <c r="A681" s="166"/>
      <c r="B681" s="498"/>
      <c r="C681" s="498"/>
      <c r="D681" s="498"/>
      <c r="E681" s="498"/>
      <c r="F681" s="498"/>
      <c r="G681" s="166"/>
      <c r="H681" s="500"/>
      <c r="I681" s="501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  <c r="AA681" s="166"/>
      <c r="AB681" s="166"/>
      <c r="AC681" s="166"/>
      <c r="AD681" s="166"/>
      <c r="AE681" s="166"/>
      <c r="AF681" s="166"/>
      <c r="AG681" s="166"/>
    </row>
    <row r="682" spans="1:33">
      <c r="A682" s="166"/>
      <c r="B682" s="498"/>
      <c r="C682" s="498"/>
      <c r="D682" s="498"/>
      <c r="E682" s="498"/>
      <c r="F682" s="498"/>
      <c r="G682" s="166"/>
      <c r="H682" s="500"/>
      <c r="I682" s="501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  <c r="AA682" s="166"/>
      <c r="AB682" s="166"/>
      <c r="AC682" s="166"/>
      <c r="AD682" s="166"/>
      <c r="AE682" s="166"/>
      <c r="AF682" s="166"/>
      <c r="AG682" s="166"/>
    </row>
    <row r="683" spans="1:33">
      <c r="A683" s="166"/>
      <c r="B683" s="498"/>
      <c r="C683" s="498"/>
      <c r="D683" s="498"/>
      <c r="E683" s="498"/>
      <c r="F683" s="498"/>
      <c r="G683" s="166"/>
      <c r="H683" s="500"/>
      <c r="I683" s="501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  <c r="AA683" s="166"/>
      <c r="AB683" s="166"/>
      <c r="AC683" s="166"/>
      <c r="AD683" s="166"/>
      <c r="AE683" s="166"/>
      <c r="AF683" s="166"/>
      <c r="AG683" s="166"/>
    </row>
    <row r="684" spans="1:33">
      <c r="A684" s="166"/>
      <c r="B684" s="498"/>
      <c r="C684" s="498"/>
      <c r="D684" s="498"/>
      <c r="E684" s="498"/>
      <c r="F684" s="498"/>
      <c r="G684" s="166"/>
      <c r="H684" s="500"/>
      <c r="I684" s="501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  <c r="AA684" s="166"/>
      <c r="AB684" s="166"/>
      <c r="AC684" s="166"/>
      <c r="AD684" s="166"/>
      <c r="AE684" s="166"/>
      <c r="AF684" s="166"/>
      <c r="AG684" s="166"/>
    </row>
    <row r="685" spans="1:33">
      <c r="A685" s="166"/>
      <c r="B685" s="498"/>
      <c r="C685" s="498"/>
      <c r="D685" s="498"/>
      <c r="E685" s="498"/>
      <c r="F685" s="498"/>
      <c r="G685" s="166"/>
      <c r="H685" s="500"/>
      <c r="I685" s="501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  <c r="AA685" s="166"/>
      <c r="AB685" s="166"/>
      <c r="AC685" s="166"/>
      <c r="AD685" s="166"/>
      <c r="AE685" s="166"/>
      <c r="AF685" s="166"/>
      <c r="AG685" s="166"/>
    </row>
    <row r="686" spans="1:33">
      <c r="A686" s="166"/>
      <c r="B686" s="498"/>
      <c r="C686" s="498"/>
      <c r="D686" s="498"/>
      <c r="E686" s="498"/>
      <c r="F686" s="498"/>
      <c r="G686" s="166"/>
      <c r="H686" s="500"/>
      <c r="I686" s="501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  <c r="AA686" s="166"/>
      <c r="AB686" s="166"/>
      <c r="AC686" s="166"/>
      <c r="AD686" s="166"/>
      <c r="AE686" s="166"/>
      <c r="AF686" s="166"/>
      <c r="AG686" s="166"/>
    </row>
    <row r="687" spans="1:33">
      <c r="A687" s="166"/>
      <c r="B687" s="498"/>
      <c r="C687" s="498"/>
      <c r="D687" s="498"/>
      <c r="E687" s="498"/>
      <c r="F687" s="498"/>
      <c r="G687" s="166"/>
      <c r="H687" s="500"/>
      <c r="I687" s="501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  <c r="AA687" s="166"/>
      <c r="AB687" s="166"/>
      <c r="AC687" s="166"/>
      <c r="AD687" s="166"/>
      <c r="AE687" s="166"/>
      <c r="AF687" s="166"/>
      <c r="AG687" s="166"/>
    </row>
    <row r="688" spans="1:33">
      <c r="A688" s="166"/>
      <c r="B688" s="498"/>
      <c r="C688" s="498"/>
      <c r="D688" s="498"/>
      <c r="E688" s="498"/>
      <c r="F688" s="498"/>
      <c r="G688" s="166"/>
      <c r="H688" s="500"/>
      <c r="I688" s="501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  <c r="AA688" s="166"/>
      <c r="AB688" s="166"/>
      <c r="AC688" s="166"/>
      <c r="AD688" s="166"/>
      <c r="AE688" s="166"/>
      <c r="AF688" s="166"/>
      <c r="AG688" s="166"/>
    </row>
    <row r="689" spans="1:33">
      <c r="A689" s="166"/>
      <c r="B689" s="498"/>
      <c r="C689" s="498"/>
      <c r="D689" s="498"/>
      <c r="E689" s="498"/>
      <c r="F689" s="498"/>
      <c r="G689" s="166"/>
      <c r="H689" s="500"/>
      <c r="I689" s="501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  <c r="AA689" s="166"/>
      <c r="AB689" s="166"/>
      <c r="AC689" s="166"/>
      <c r="AD689" s="166"/>
      <c r="AE689" s="166"/>
      <c r="AF689" s="166"/>
      <c r="AG689" s="166"/>
    </row>
    <row r="690" spans="1:33">
      <c r="A690" s="166"/>
      <c r="B690" s="498"/>
      <c r="C690" s="498"/>
      <c r="D690" s="498"/>
      <c r="E690" s="498"/>
      <c r="F690" s="498"/>
      <c r="G690" s="166"/>
      <c r="H690" s="500"/>
      <c r="I690" s="501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  <c r="AA690" s="166"/>
      <c r="AB690" s="166"/>
      <c r="AC690" s="166"/>
      <c r="AD690" s="166"/>
      <c r="AE690" s="166"/>
      <c r="AF690" s="166"/>
      <c r="AG690" s="166"/>
    </row>
    <row r="691" spans="1:33">
      <c r="A691" s="166"/>
      <c r="B691" s="498"/>
      <c r="C691" s="498"/>
      <c r="D691" s="498"/>
      <c r="E691" s="498"/>
      <c r="F691" s="498"/>
      <c r="G691" s="166"/>
      <c r="H691" s="500"/>
      <c r="I691" s="501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  <c r="AA691" s="166"/>
      <c r="AB691" s="166"/>
      <c r="AC691" s="166"/>
      <c r="AD691" s="166"/>
      <c r="AE691" s="166"/>
      <c r="AF691" s="166"/>
      <c r="AG691" s="166"/>
    </row>
    <row r="692" spans="1:33">
      <c r="A692" s="166"/>
      <c r="B692" s="498"/>
      <c r="C692" s="498"/>
      <c r="D692" s="498"/>
      <c r="E692" s="498"/>
      <c r="F692" s="498"/>
      <c r="G692" s="166"/>
      <c r="H692" s="500"/>
      <c r="I692" s="501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  <c r="AA692" s="166"/>
      <c r="AB692" s="166"/>
      <c r="AC692" s="166"/>
      <c r="AD692" s="166"/>
      <c r="AE692" s="166"/>
      <c r="AF692" s="166"/>
      <c r="AG692" s="166"/>
    </row>
    <row r="693" spans="1:33">
      <c r="A693" s="166"/>
      <c r="B693" s="498"/>
      <c r="C693" s="498"/>
      <c r="D693" s="498"/>
      <c r="E693" s="498"/>
      <c r="F693" s="498"/>
      <c r="G693" s="166"/>
      <c r="H693" s="500"/>
      <c r="I693" s="501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  <c r="AA693" s="166"/>
      <c r="AB693" s="166"/>
      <c r="AC693" s="166"/>
      <c r="AD693" s="166"/>
      <c r="AE693" s="166"/>
      <c r="AF693" s="166"/>
      <c r="AG693" s="166"/>
    </row>
    <row r="694" spans="1:33">
      <c r="A694" s="166"/>
      <c r="B694" s="498"/>
      <c r="C694" s="498"/>
      <c r="D694" s="498"/>
      <c r="E694" s="498"/>
      <c r="F694" s="498"/>
      <c r="G694" s="166"/>
      <c r="H694" s="500"/>
      <c r="I694" s="501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  <c r="AA694" s="166"/>
      <c r="AB694" s="166"/>
      <c r="AC694" s="166"/>
      <c r="AD694" s="166"/>
      <c r="AE694" s="166"/>
      <c r="AF694" s="166"/>
      <c r="AG694" s="166"/>
    </row>
    <row r="695" spans="1:33">
      <c r="A695" s="166"/>
      <c r="B695" s="498"/>
      <c r="C695" s="498"/>
      <c r="D695" s="498"/>
      <c r="E695" s="498"/>
      <c r="F695" s="498"/>
      <c r="G695" s="166"/>
      <c r="H695" s="500"/>
      <c r="I695" s="501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  <c r="AA695" s="166"/>
      <c r="AB695" s="166"/>
      <c r="AC695" s="166"/>
      <c r="AD695" s="166"/>
      <c r="AE695" s="166"/>
      <c r="AF695" s="166"/>
      <c r="AG695" s="166"/>
    </row>
    <row r="696" spans="1:33">
      <c r="A696" s="166"/>
      <c r="B696" s="498"/>
      <c r="C696" s="498"/>
      <c r="D696" s="498"/>
      <c r="E696" s="498"/>
      <c r="F696" s="498"/>
      <c r="G696" s="166"/>
      <c r="H696" s="500"/>
      <c r="I696" s="501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  <c r="AA696" s="166"/>
      <c r="AB696" s="166"/>
      <c r="AC696" s="166"/>
      <c r="AD696" s="166"/>
      <c r="AE696" s="166"/>
      <c r="AF696" s="166"/>
      <c r="AG696" s="166"/>
    </row>
    <row r="697" spans="1:33">
      <c r="A697" s="166"/>
      <c r="B697" s="498"/>
      <c r="C697" s="498"/>
      <c r="D697" s="498"/>
      <c r="E697" s="498"/>
      <c r="F697" s="498"/>
      <c r="G697" s="166"/>
      <c r="H697" s="500"/>
      <c r="I697" s="501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  <c r="AA697" s="166"/>
      <c r="AB697" s="166"/>
      <c r="AC697" s="166"/>
      <c r="AD697" s="166"/>
      <c r="AE697" s="166"/>
      <c r="AF697" s="166"/>
      <c r="AG697" s="166"/>
    </row>
    <row r="698" spans="1:33">
      <c r="A698" s="166"/>
      <c r="B698" s="498"/>
      <c r="C698" s="498"/>
      <c r="D698" s="498"/>
      <c r="E698" s="498"/>
      <c r="F698" s="498"/>
      <c r="G698" s="166"/>
      <c r="H698" s="500"/>
      <c r="I698" s="501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  <c r="AA698" s="166"/>
      <c r="AB698" s="166"/>
      <c r="AC698" s="166"/>
      <c r="AD698" s="166"/>
      <c r="AE698" s="166"/>
      <c r="AF698" s="166"/>
      <c r="AG698" s="166"/>
    </row>
    <row r="699" spans="1:33">
      <c r="A699" s="166"/>
      <c r="B699" s="498"/>
      <c r="C699" s="498"/>
      <c r="D699" s="498"/>
      <c r="E699" s="498"/>
      <c r="F699" s="498"/>
      <c r="G699" s="166"/>
      <c r="H699" s="500"/>
      <c r="I699" s="501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  <c r="AA699" s="166"/>
      <c r="AB699" s="166"/>
      <c r="AC699" s="166"/>
      <c r="AD699" s="166"/>
      <c r="AE699" s="166"/>
      <c r="AF699" s="166"/>
      <c r="AG699" s="166"/>
    </row>
    <row r="700" spans="1:33">
      <c r="A700" s="166"/>
      <c r="B700" s="498"/>
      <c r="C700" s="498"/>
      <c r="D700" s="498"/>
      <c r="E700" s="498"/>
      <c r="F700" s="498"/>
      <c r="G700" s="166"/>
      <c r="H700" s="500"/>
      <c r="I700" s="501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  <c r="AA700" s="166"/>
      <c r="AB700" s="166"/>
      <c r="AC700" s="166"/>
      <c r="AD700" s="166"/>
      <c r="AE700" s="166"/>
      <c r="AF700" s="166"/>
      <c r="AG700" s="166"/>
    </row>
    <row r="701" spans="1:33">
      <c r="A701" s="166"/>
      <c r="B701" s="498"/>
      <c r="C701" s="498"/>
      <c r="D701" s="498"/>
      <c r="E701" s="498"/>
      <c r="F701" s="498"/>
      <c r="G701" s="166"/>
      <c r="H701" s="500"/>
      <c r="I701" s="501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  <c r="AA701" s="166"/>
      <c r="AB701" s="166"/>
      <c r="AC701" s="166"/>
      <c r="AD701" s="166"/>
      <c r="AE701" s="166"/>
      <c r="AF701" s="166"/>
      <c r="AG701" s="166"/>
    </row>
    <row r="702" spans="1:33">
      <c r="A702" s="166"/>
      <c r="B702" s="498"/>
      <c r="C702" s="498"/>
      <c r="D702" s="498"/>
      <c r="E702" s="498"/>
      <c r="F702" s="498"/>
      <c r="G702" s="166"/>
      <c r="H702" s="500"/>
      <c r="I702" s="501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  <c r="AA702" s="166"/>
      <c r="AB702" s="166"/>
      <c r="AC702" s="166"/>
      <c r="AD702" s="166"/>
      <c r="AE702" s="166"/>
      <c r="AF702" s="166"/>
      <c r="AG702" s="166"/>
    </row>
    <row r="703" spans="1:33">
      <c r="A703" s="166"/>
      <c r="B703" s="498"/>
      <c r="C703" s="498"/>
      <c r="D703" s="498"/>
      <c r="E703" s="498"/>
      <c r="F703" s="498"/>
      <c r="G703" s="166"/>
      <c r="H703" s="500"/>
      <c r="I703" s="501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  <c r="AA703" s="166"/>
      <c r="AB703" s="166"/>
      <c r="AC703" s="166"/>
      <c r="AD703" s="166"/>
      <c r="AE703" s="166"/>
      <c r="AF703" s="166"/>
      <c r="AG703" s="166"/>
    </row>
    <row r="704" spans="1:33">
      <c r="A704" s="166"/>
      <c r="B704" s="498"/>
      <c r="C704" s="498"/>
      <c r="D704" s="498"/>
      <c r="E704" s="498"/>
      <c r="F704" s="498"/>
      <c r="G704" s="166"/>
      <c r="H704" s="500"/>
      <c r="I704" s="501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  <c r="AA704" s="166"/>
      <c r="AB704" s="166"/>
      <c r="AC704" s="166"/>
      <c r="AD704" s="166"/>
      <c r="AE704" s="166"/>
      <c r="AF704" s="166"/>
      <c r="AG704" s="166"/>
    </row>
    <row r="705" spans="1:33">
      <c r="A705" s="166"/>
      <c r="B705" s="498"/>
      <c r="C705" s="498"/>
      <c r="D705" s="498"/>
      <c r="E705" s="498"/>
      <c r="F705" s="498"/>
      <c r="G705" s="166"/>
      <c r="H705" s="500"/>
      <c r="I705" s="501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  <c r="AA705" s="166"/>
      <c r="AB705" s="166"/>
      <c r="AC705" s="166"/>
      <c r="AD705" s="166"/>
      <c r="AE705" s="166"/>
      <c r="AF705" s="166"/>
      <c r="AG705" s="166"/>
    </row>
    <row r="706" spans="1:33">
      <c r="A706" s="166"/>
      <c r="B706" s="498"/>
      <c r="C706" s="498"/>
      <c r="D706" s="498"/>
      <c r="E706" s="498"/>
      <c r="F706" s="498"/>
      <c r="G706" s="166"/>
      <c r="H706" s="500"/>
      <c r="I706" s="501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  <c r="AA706" s="166"/>
      <c r="AB706" s="166"/>
      <c r="AC706" s="166"/>
      <c r="AD706" s="166"/>
      <c r="AE706" s="166"/>
      <c r="AF706" s="166"/>
      <c r="AG706" s="166"/>
    </row>
    <row r="707" spans="1:33">
      <c r="A707" s="166"/>
      <c r="B707" s="498"/>
      <c r="C707" s="498"/>
      <c r="D707" s="498"/>
      <c r="E707" s="498"/>
      <c r="F707" s="498"/>
      <c r="G707" s="166"/>
      <c r="H707" s="500"/>
      <c r="I707" s="501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  <c r="AA707" s="166"/>
      <c r="AB707" s="166"/>
      <c r="AC707" s="166"/>
      <c r="AD707" s="166"/>
      <c r="AE707" s="166"/>
      <c r="AF707" s="166"/>
      <c r="AG707" s="166"/>
    </row>
    <row r="708" spans="1:33">
      <c r="A708" s="166"/>
      <c r="B708" s="498"/>
      <c r="C708" s="498"/>
      <c r="D708" s="498"/>
      <c r="E708" s="498"/>
      <c r="F708" s="498"/>
      <c r="G708" s="166"/>
      <c r="H708" s="500"/>
      <c r="I708" s="501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  <c r="AA708" s="166"/>
      <c r="AB708" s="166"/>
      <c r="AC708" s="166"/>
      <c r="AD708" s="166"/>
      <c r="AE708" s="166"/>
      <c r="AF708" s="166"/>
      <c r="AG708" s="166"/>
    </row>
    <row r="709" spans="1:33">
      <c r="A709" s="166"/>
      <c r="B709" s="498"/>
      <c r="C709" s="498"/>
      <c r="D709" s="498"/>
      <c r="E709" s="498"/>
      <c r="F709" s="498"/>
      <c r="G709" s="166"/>
      <c r="H709" s="500"/>
      <c r="I709" s="501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  <c r="AA709" s="166"/>
      <c r="AB709" s="166"/>
      <c r="AC709" s="166"/>
      <c r="AD709" s="166"/>
      <c r="AE709" s="166"/>
      <c r="AF709" s="166"/>
      <c r="AG709" s="166"/>
    </row>
    <row r="710" spans="1:33">
      <c r="A710" s="166"/>
      <c r="B710" s="498"/>
      <c r="C710" s="498"/>
      <c r="D710" s="498"/>
      <c r="E710" s="498"/>
      <c r="F710" s="498"/>
      <c r="G710" s="166"/>
      <c r="H710" s="500"/>
      <c r="I710" s="501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  <c r="AA710" s="166"/>
      <c r="AB710" s="166"/>
      <c r="AC710" s="166"/>
      <c r="AD710" s="166"/>
      <c r="AE710" s="166"/>
      <c r="AF710" s="166"/>
      <c r="AG710" s="166"/>
    </row>
    <row r="711" spans="1:33">
      <c r="A711" s="166"/>
      <c r="B711" s="498"/>
      <c r="C711" s="498"/>
      <c r="D711" s="498"/>
      <c r="E711" s="498"/>
      <c r="F711" s="498"/>
      <c r="G711" s="166"/>
      <c r="H711" s="500"/>
      <c r="I711" s="501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  <c r="AA711" s="166"/>
      <c r="AB711" s="166"/>
      <c r="AC711" s="166"/>
      <c r="AD711" s="166"/>
      <c r="AE711" s="166"/>
      <c r="AF711" s="166"/>
      <c r="AG711" s="166"/>
    </row>
    <row r="712" spans="1:33">
      <c r="A712" s="166"/>
      <c r="B712" s="498"/>
      <c r="C712" s="498"/>
      <c r="D712" s="498"/>
      <c r="E712" s="498"/>
      <c r="F712" s="498"/>
      <c r="G712" s="166"/>
      <c r="H712" s="500"/>
      <c r="I712" s="501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  <c r="AA712" s="166"/>
      <c r="AB712" s="166"/>
      <c r="AC712" s="166"/>
      <c r="AD712" s="166"/>
      <c r="AE712" s="166"/>
      <c r="AF712" s="166"/>
      <c r="AG712" s="166"/>
    </row>
    <row r="713" spans="1:33">
      <c r="A713" s="166"/>
      <c r="B713" s="498"/>
      <c r="C713" s="498"/>
      <c r="D713" s="498"/>
      <c r="E713" s="498"/>
      <c r="F713" s="498"/>
      <c r="G713" s="166"/>
      <c r="H713" s="500"/>
      <c r="I713" s="501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  <c r="AA713" s="166"/>
      <c r="AB713" s="166"/>
      <c r="AC713" s="166"/>
      <c r="AD713" s="166"/>
      <c r="AE713" s="166"/>
      <c r="AF713" s="166"/>
      <c r="AG713" s="166"/>
    </row>
    <row r="714" spans="1:33">
      <c r="A714" s="166"/>
      <c r="B714" s="498"/>
      <c r="C714" s="498"/>
      <c r="D714" s="498"/>
      <c r="E714" s="498"/>
      <c r="F714" s="498"/>
      <c r="G714" s="166"/>
      <c r="H714" s="500"/>
      <c r="I714" s="501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  <c r="AA714" s="166"/>
      <c r="AB714" s="166"/>
      <c r="AC714" s="166"/>
      <c r="AD714" s="166"/>
      <c r="AE714" s="166"/>
      <c r="AF714" s="166"/>
      <c r="AG714" s="166"/>
    </row>
    <row r="715" spans="1:33">
      <c r="A715" s="166"/>
      <c r="B715" s="498"/>
      <c r="C715" s="498"/>
      <c r="D715" s="498"/>
      <c r="E715" s="498"/>
      <c r="F715" s="498"/>
      <c r="G715" s="166"/>
      <c r="H715" s="500"/>
      <c r="I715" s="501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  <c r="AA715" s="166"/>
      <c r="AB715" s="166"/>
      <c r="AC715" s="166"/>
      <c r="AD715" s="166"/>
      <c r="AE715" s="166"/>
      <c r="AF715" s="166"/>
      <c r="AG715" s="166"/>
    </row>
    <row r="716" spans="1:33">
      <c r="A716" s="166"/>
      <c r="B716" s="498"/>
      <c r="C716" s="498"/>
      <c r="D716" s="498"/>
      <c r="E716" s="498"/>
      <c r="F716" s="498"/>
      <c r="G716" s="166"/>
      <c r="H716" s="500"/>
      <c r="I716" s="501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  <c r="AA716" s="166"/>
      <c r="AB716" s="166"/>
      <c r="AC716" s="166"/>
      <c r="AD716" s="166"/>
      <c r="AE716" s="166"/>
      <c r="AF716" s="166"/>
      <c r="AG716" s="166"/>
    </row>
    <row r="717" spans="1:33">
      <c r="A717" s="166"/>
      <c r="B717" s="498"/>
      <c r="C717" s="498"/>
      <c r="D717" s="498"/>
      <c r="E717" s="498"/>
      <c r="F717" s="498"/>
      <c r="G717" s="166"/>
      <c r="H717" s="500"/>
      <c r="I717" s="501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  <c r="AA717" s="166"/>
      <c r="AB717" s="166"/>
      <c r="AC717" s="166"/>
      <c r="AD717" s="166"/>
      <c r="AE717" s="166"/>
      <c r="AF717" s="166"/>
      <c r="AG717" s="166"/>
    </row>
    <row r="718" spans="1:33">
      <c r="A718" s="166"/>
      <c r="B718" s="498"/>
      <c r="C718" s="498"/>
      <c r="D718" s="498"/>
      <c r="E718" s="498"/>
      <c r="F718" s="498"/>
      <c r="G718" s="166"/>
      <c r="H718" s="500"/>
      <c r="I718" s="501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  <c r="AA718" s="166"/>
      <c r="AB718" s="166"/>
      <c r="AC718" s="166"/>
      <c r="AD718" s="166"/>
      <c r="AE718" s="166"/>
      <c r="AF718" s="166"/>
      <c r="AG718" s="166"/>
    </row>
    <row r="719" spans="1:33">
      <c r="A719" s="166"/>
      <c r="B719" s="498"/>
      <c r="C719" s="498"/>
      <c r="D719" s="498"/>
      <c r="E719" s="498"/>
      <c r="F719" s="498"/>
      <c r="G719" s="166"/>
      <c r="H719" s="500"/>
      <c r="I719" s="501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  <c r="AA719" s="166"/>
      <c r="AB719" s="166"/>
      <c r="AC719" s="166"/>
      <c r="AD719" s="166"/>
      <c r="AE719" s="166"/>
      <c r="AF719" s="166"/>
      <c r="AG719" s="166"/>
    </row>
    <row r="720" spans="1:33">
      <c r="A720" s="166"/>
      <c r="B720" s="498"/>
      <c r="C720" s="498"/>
      <c r="D720" s="498"/>
      <c r="E720" s="498"/>
      <c r="F720" s="498"/>
      <c r="G720" s="166"/>
      <c r="H720" s="500"/>
      <c r="I720" s="501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  <c r="AA720" s="166"/>
      <c r="AB720" s="166"/>
      <c r="AC720" s="166"/>
      <c r="AD720" s="166"/>
      <c r="AE720" s="166"/>
      <c r="AF720" s="166"/>
      <c r="AG720" s="166"/>
    </row>
    <row r="721" spans="1:33">
      <c r="A721" s="166"/>
      <c r="B721" s="498"/>
      <c r="C721" s="498"/>
      <c r="D721" s="498"/>
      <c r="E721" s="498"/>
      <c r="F721" s="498"/>
      <c r="G721" s="166"/>
      <c r="H721" s="500"/>
      <c r="I721" s="501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  <c r="AA721" s="166"/>
      <c r="AB721" s="166"/>
      <c r="AC721" s="166"/>
      <c r="AD721" s="166"/>
      <c r="AE721" s="166"/>
      <c r="AF721" s="166"/>
      <c r="AG721" s="166"/>
    </row>
    <row r="722" spans="1:33">
      <c r="A722" s="166"/>
      <c r="B722" s="498"/>
      <c r="C722" s="498"/>
      <c r="D722" s="498"/>
      <c r="E722" s="498"/>
      <c r="F722" s="498"/>
      <c r="G722" s="166"/>
      <c r="H722" s="500"/>
      <c r="I722" s="501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  <c r="AA722" s="166"/>
      <c r="AB722" s="166"/>
      <c r="AC722" s="166"/>
      <c r="AD722" s="166"/>
      <c r="AE722" s="166"/>
      <c r="AF722" s="166"/>
      <c r="AG722" s="166"/>
    </row>
    <row r="723" spans="1:33">
      <c r="A723" s="166"/>
      <c r="B723" s="498"/>
      <c r="C723" s="498"/>
      <c r="D723" s="498"/>
      <c r="E723" s="498"/>
      <c r="F723" s="498"/>
      <c r="G723" s="166"/>
      <c r="H723" s="500"/>
      <c r="I723" s="501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  <c r="AA723" s="166"/>
      <c r="AB723" s="166"/>
      <c r="AC723" s="166"/>
      <c r="AD723" s="166"/>
      <c r="AE723" s="166"/>
      <c r="AF723" s="166"/>
      <c r="AG723" s="166"/>
    </row>
    <row r="724" spans="1:33">
      <c r="A724" s="166"/>
      <c r="B724" s="498"/>
      <c r="C724" s="498"/>
      <c r="D724" s="498"/>
      <c r="E724" s="498"/>
      <c r="F724" s="498"/>
      <c r="G724" s="166"/>
      <c r="H724" s="500"/>
      <c r="I724" s="501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  <c r="AA724" s="166"/>
      <c r="AB724" s="166"/>
      <c r="AC724" s="166"/>
      <c r="AD724" s="166"/>
      <c r="AE724" s="166"/>
      <c r="AF724" s="166"/>
      <c r="AG724" s="166"/>
    </row>
    <row r="725" spans="1:33">
      <c r="A725" s="166"/>
      <c r="B725" s="498"/>
      <c r="C725" s="498"/>
      <c r="D725" s="498"/>
      <c r="E725" s="498"/>
      <c r="F725" s="498"/>
      <c r="G725" s="166"/>
      <c r="H725" s="500"/>
      <c r="I725" s="501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  <c r="AA725" s="166"/>
      <c r="AB725" s="166"/>
      <c r="AC725" s="166"/>
      <c r="AD725" s="166"/>
      <c r="AE725" s="166"/>
      <c r="AF725" s="166"/>
      <c r="AG725" s="166"/>
    </row>
    <row r="726" spans="1:33">
      <c r="A726" s="166"/>
      <c r="B726" s="498"/>
      <c r="C726" s="498"/>
      <c r="D726" s="498"/>
      <c r="E726" s="498"/>
      <c r="F726" s="498"/>
      <c r="G726" s="166"/>
      <c r="H726" s="500"/>
      <c r="I726" s="501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  <c r="AA726" s="166"/>
      <c r="AB726" s="166"/>
      <c r="AC726" s="166"/>
      <c r="AD726" s="166"/>
      <c r="AE726" s="166"/>
      <c r="AF726" s="166"/>
      <c r="AG726" s="166"/>
    </row>
    <row r="727" spans="1:33">
      <c r="A727" s="166"/>
      <c r="B727" s="498"/>
      <c r="C727" s="498"/>
      <c r="D727" s="498"/>
      <c r="E727" s="498"/>
      <c r="F727" s="498"/>
      <c r="G727" s="166"/>
      <c r="H727" s="500"/>
      <c r="I727" s="501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  <c r="AA727" s="166"/>
      <c r="AB727" s="166"/>
      <c r="AC727" s="166"/>
      <c r="AD727" s="166"/>
      <c r="AE727" s="166"/>
      <c r="AF727" s="166"/>
      <c r="AG727" s="166"/>
    </row>
    <row r="728" spans="1:33">
      <c r="A728" s="166"/>
      <c r="B728" s="498"/>
      <c r="C728" s="498"/>
      <c r="D728" s="498"/>
      <c r="E728" s="498"/>
      <c r="F728" s="498"/>
      <c r="G728" s="166"/>
      <c r="H728" s="500"/>
      <c r="I728" s="501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  <c r="AA728" s="166"/>
      <c r="AB728" s="166"/>
      <c r="AC728" s="166"/>
      <c r="AD728" s="166"/>
      <c r="AE728" s="166"/>
      <c r="AF728" s="166"/>
      <c r="AG728" s="166"/>
    </row>
    <row r="729" spans="1:33">
      <c r="A729" s="166"/>
      <c r="B729" s="498"/>
      <c r="C729" s="498"/>
      <c r="D729" s="498"/>
      <c r="E729" s="498"/>
      <c r="F729" s="498"/>
      <c r="G729" s="166"/>
      <c r="H729" s="500"/>
      <c r="I729" s="501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  <c r="AA729" s="166"/>
      <c r="AB729" s="166"/>
      <c r="AC729" s="166"/>
      <c r="AD729" s="166"/>
      <c r="AE729" s="166"/>
      <c r="AF729" s="166"/>
      <c r="AG729" s="166"/>
    </row>
    <row r="730" spans="1:33">
      <c r="A730" s="166"/>
      <c r="B730" s="498"/>
      <c r="C730" s="498"/>
      <c r="D730" s="498"/>
      <c r="E730" s="498"/>
      <c r="F730" s="498"/>
      <c r="G730" s="166"/>
      <c r="H730" s="500"/>
      <c r="I730" s="501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  <c r="AA730" s="166"/>
      <c r="AB730" s="166"/>
      <c r="AC730" s="166"/>
      <c r="AD730" s="166"/>
      <c r="AE730" s="166"/>
      <c r="AF730" s="166"/>
      <c r="AG730" s="166"/>
    </row>
    <row r="731" spans="1:33">
      <c r="A731" s="166"/>
      <c r="B731" s="498"/>
      <c r="C731" s="498"/>
      <c r="D731" s="498"/>
      <c r="E731" s="498"/>
      <c r="F731" s="498"/>
      <c r="G731" s="166"/>
      <c r="H731" s="500"/>
      <c r="I731" s="501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  <c r="AA731" s="166"/>
      <c r="AB731" s="166"/>
      <c r="AC731" s="166"/>
      <c r="AD731" s="166"/>
      <c r="AE731" s="166"/>
      <c r="AF731" s="166"/>
      <c r="AG731" s="166"/>
    </row>
    <row r="732" spans="1:33">
      <c r="A732" s="166"/>
      <c r="B732" s="498"/>
      <c r="C732" s="498"/>
      <c r="D732" s="498"/>
      <c r="E732" s="498"/>
      <c r="F732" s="498"/>
      <c r="G732" s="166"/>
      <c r="H732" s="500"/>
      <c r="I732" s="501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  <c r="AA732" s="166"/>
      <c r="AB732" s="166"/>
      <c r="AC732" s="166"/>
      <c r="AD732" s="166"/>
      <c r="AE732" s="166"/>
      <c r="AF732" s="166"/>
      <c r="AG732" s="166"/>
    </row>
    <row r="733" spans="1:33">
      <c r="A733" s="166"/>
      <c r="B733" s="498"/>
      <c r="C733" s="498"/>
      <c r="D733" s="498"/>
      <c r="E733" s="498"/>
      <c r="F733" s="498"/>
      <c r="G733" s="166"/>
      <c r="H733" s="500"/>
      <c r="I733" s="501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  <c r="AA733" s="166"/>
      <c r="AB733" s="166"/>
      <c r="AC733" s="166"/>
      <c r="AD733" s="166"/>
      <c r="AE733" s="166"/>
      <c r="AF733" s="166"/>
      <c r="AG733" s="166"/>
    </row>
    <row r="734" spans="1:33">
      <c r="A734" s="166"/>
      <c r="B734" s="498"/>
      <c r="C734" s="498"/>
      <c r="D734" s="498"/>
      <c r="E734" s="498"/>
      <c r="F734" s="498"/>
      <c r="G734" s="166"/>
      <c r="H734" s="500"/>
      <c r="I734" s="501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  <c r="AA734" s="166"/>
      <c r="AB734" s="166"/>
      <c r="AC734" s="166"/>
      <c r="AD734" s="166"/>
      <c r="AE734" s="166"/>
      <c r="AF734" s="166"/>
      <c r="AG734" s="166"/>
    </row>
    <row r="735" spans="1:33">
      <c r="A735" s="166"/>
      <c r="B735" s="498"/>
      <c r="C735" s="498"/>
      <c r="D735" s="498"/>
      <c r="E735" s="498"/>
      <c r="F735" s="498"/>
      <c r="G735" s="166"/>
      <c r="H735" s="500"/>
      <c r="I735" s="501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  <c r="AA735" s="166"/>
      <c r="AB735" s="166"/>
      <c r="AC735" s="166"/>
      <c r="AD735" s="166"/>
      <c r="AE735" s="166"/>
      <c r="AF735" s="166"/>
      <c r="AG735" s="166"/>
    </row>
    <row r="736" spans="1:33">
      <c r="A736" s="166"/>
      <c r="B736" s="498"/>
      <c r="C736" s="498"/>
      <c r="D736" s="498"/>
      <c r="E736" s="498"/>
      <c r="F736" s="498"/>
      <c r="G736" s="166"/>
      <c r="H736" s="500"/>
      <c r="I736" s="501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  <c r="AA736" s="166"/>
      <c r="AB736" s="166"/>
      <c r="AC736" s="166"/>
      <c r="AD736" s="166"/>
      <c r="AE736" s="166"/>
      <c r="AF736" s="166"/>
      <c r="AG736" s="166"/>
    </row>
    <row r="737" spans="1:33">
      <c r="A737" s="166"/>
      <c r="B737" s="498"/>
      <c r="C737" s="498"/>
      <c r="D737" s="498"/>
      <c r="E737" s="498"/>
      <c r="F737" s="498"/>
      <c r="G737" s="166"/>
      <c r="H737" s="500"/>
      <c r="I737" s="501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  <c r="AA737" s="166"/>
      <c r="AB737" s="166"/>
      <c r="AC737" s="166"/>
      <c r="AD737" s="166"/>
      <c r="AE737" s="166"/>
      <c r="AF737" s="166"/>
      <c r="AG737" s="166"/>
    </row>
    <row r="738" spans="1:33">
      <c r="A738" s="166"/>
      <c r="B738" s="498"/>
      <c r="C738" s="498"/>
      <c r="D738" s="498"/>
      <c r="E738" s="498"/>
      <c r="F738" s="498"/>
      <c r="G738" s="166"/>
      <c r="H738" s="500"/>
      <c r="I738" s="501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  <c r="AA738" s="166"/>
      <c r="AB738" s="166"/>
      <c r="AC738" s="166"/>
      <c r="AD738" s="166"/>
      <c r="AE738" s="166"/>
      <c r="AF738" s="166"/>
      <c r="AG738" s="166"/>
    </row>
    <row r="739" spans="1:33">
      <c r="A739" s="166"/>
      <c r="B739" s="498"/>
      <c r="C739" s="498"/>
      <c r="D739" s="498"/>
      <c r="E739" s="498"/>
      <c r="F739" s="498"/>
      <c r="G739" s="166"/>
      <c r="H739" s="500"/>
      <c r="I739" s="501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  <c r="AA739" s="166"/>
      <c r="AB739" s="166"/>
      <c r="AC739" s="166"/>
      <c r="AD739" s="166"/>
      <c r="AE739" s="166"/>
      <c r="AF739" s="166"/>
      <c r="AG739" s="166"/>
    </row>
    <row r="740" spans="1:33">
      <c r="A740" s="166"/>
      <c r="B740" s="498"/>
      <c r="C740" s="498"/>
      <c r="D740" s="498"/>
      <c r="E740" s="498"/>
      <c r="F740" s="498"/>
      <c r="G740" s="166"/>
      <c r="H740" s="500"/>
      <c r="I740" s="501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  <c r="AA740" s="166"/>
      <c r="AB740" s="166"/>
      <c r="AC740" s="166"/>
      <c r="AD740" s="166"/>
      <c r="AE740" s="166"/>
      <c r="AF740" s="166"/>
      <c r="AG740" s="166"/>
    </row>
    <row r="741" spans="1:33">
      <c r="A741" s="166"/>
      <c r="B741" s="498"/>
      <c r="C741" s="498"/>
      <c r="D741" s="498"/>
      <c r="E741" s="498"/>
      <c r="F741" s="498"/>
      <c r="G741" s="166"/>
      <c r="H741" s="500"/>
      <c r="I741" s="501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  <c r="AA741" s="166"/>
      <c r="AB741" s="166"/>
      <c r="AC741" s="166"/>
      <c r="AD741" s="166"/>
      <c r="AE741" s="166"/>
      <c r="AF741" s="166"/>
      <c r="AG741" s="166"/>
    </row>
    <row r="742" spans="1:33">
      <c r="A742" s="166"/>
      <c r="B742" s="498"/>
      <c r="C742" s="498"/>
      <c r="D742" s="498"/>
      <c r="E742" s="498"/>
      <c r="F742" s="498"/>
      <c r="G742" s="166"/>
      <c r="H742" s="500"/>
      <c r="I742" s="501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  <c r="AA742" s="166"/>
      <c r="AB742" s="166"/>
      <c r="AC742" s="166"/>
      <c r="AD742" s="166"/>
      <c r="AE742" s="166"/>
      <c r="AF742" s="166"/>
      <c r="AG742" s="166"/>
    </row>
    <row r="743" spans="1:33">
      <c r="A743" s="166"/>
      <c r="B743" s="498"/>
      <c r="C743" s="498"/>
      <c r="D743" s="498"/>
      <c r="E743" s="498"/>
      <c r="F743" s="498"/>
      <c r="G743" s="166"/>
      <c r="H743" s="500"/>
      <c r="I743" s="501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  <c r="AA743" s="166"/>
      <c r="AB743" s="166"/>
      <c r="AC743" s="166"/>
      <c r="AD743" s="166"/>
      <c r="AE743" s="166"/>
      <c r="AF743" s="166"/>
      <c r="AG743" s="166"/>
    </row>
    <row r="744" spans="1:33">
      <c r="A744" s="166"/>
      <c r="B744" s="498"/>
      <c r="C744" s="498"/>
      <c r="D744" s="498"/>
      <c r="E744" s="498"/>
      <c r="F744" s="498"/>
      <c r="G744" s="166"/>
      <c r="H744" s="500"/>
      <c r="I744" s="501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  <c r="AA744" s="166"/>
      <c r="AB744" s="166"/>
      <c r="AC744" s="166"/>
      <c r="AD744" s="166"/>
      <c r="AE744" s="166"/>
      <c r="AF744" s="166"/>
      <c r="AG744" s="166"/>
    </row>
    <row r="745" spans="1:33">
      <c r="A745" s="166"/>
      <c r="B745" s="498"/>
      <c r="C745" s="498"/>
      <c r="D745" s="498"/>
      <c r="E745" s="498"/>
      <c r="F745" s="498"/>
      <c r="G745" s="166"/>
      <c r="H745" s="500"/>
      <c r="I745" s="501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  <c r="AA745" s="166"/>
      <c r="AB745" s="166"/>
      <c r="AC745" s="166"/>
      <c r="AD745" s="166"/>
      <c r="AE745" s="166"/>
      <c r="AF745" s="166"/>
      <c r="AG745" s="166"/>
    </row>
    <row r="746" spans="1:33">
      <c r="A746" s="166"/>
      <c r="B746" s="498"/>
      <c r="C746" s="498"/>
      <c r="D746" s="498"/>
      <c r="E746" s="498"/>
      <c r="F746" s="498"/>
      <c r="G746" s="166"/>
      <c r="H746" s="500"/>
      <c r="I746" s="501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  <c r="AA746" s="166"/>
      <c r="AB746" s="166"/>
      <c r="AC746" s="166"/>
      <c r="AD746" s="166"/>
      <c r="AE746" s="166"/>
      <c r="AF746" s="166"/>
      <c r="AG746" s="166"/>
    </row>
    <row r="747" spans="1:33">
      <c r="A747" s="166"/>
      <c r="B747" s="498"/>
      <c r="C747" s="498"/>
      <c r="D747" s="498"/>
      <c r="E747" s="498"/>
      <c r="F747" s="498"/>
      <c r="G747" s="166"/>
      <c r="H747" s="500"/>
      <c r="I747" s="501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  <c r="AA747" s="166"/>
      <c r="AB747" s="166"/>
      <c r="AC747" s="166"/>
      <c r="AD747" s="166"/>
      <c r="AE747" s="166"/>
      <c r="AF747" s="166"/>
      <c r="AG747" s="166"/>
    </row>
    <row r="748" spans="1:33">
      <c r="A748" s="166"/>
      <c r="B748" s="498"/>
      <c r="C748" s="498"/>
      <c r="D748" s="498"/>
      <c r="E748" s="498"/>
      <c r="F748" s="498"/>
      <c r="G748" s="166"/>
      <c r="H748" s="500"/>
      <c r="I748" s="501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  <c r="AA748" s="166"/>
      <c r="AB748" s="166"/>
      <c r="AC748" s="166"/>
      <c r="AD748" s="166"/>
      <c r="AE748" s="166"/>
      <c r="AF748" s="166"/>
      <c r="AG748" s="166"/>
    </row>
    <row r="749" spans="1:33">
      <c r="A749" s="166"/>
      <c r="B749" s="498"/>
      <c r="C749" s="498"/>
      <c r="D749" s="498"/>
      <c r="E749" s="498"/>
      <c r="F749" s="498"/>
      <c r="G749" s="166"/>
      <c r="H749" s="500"/>
      <c r="I749" s="501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  <c r="AA749" s="166"/>
      <c r="AB749" s="166"/>
      <c r="AC749" s="166"/>
      <c r="AD749" s="166"/>
      <c r="AE749" s="166"/>
      <c r="AF749" s="166"/>
      <c r="AG749" s="166"/>
    </row>
    <row r="750" spans="1:33">
      <c r="A750" s="166"/>
      <c r="B750" s="498"/>
      <c r="C750" s="498"/>
      <c r="D750" s="498"/>
      <c r="E750" s="498"/>
      <c r="F750" s="498"/>
      <c r="G750" s="166"/>
      <c r="H750" s="500"/>
      <c r="I750" s="501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  <c r="AA750" s="166"/>
      <c r="AB750" s="166"/>
      <c r="AC750" s="166"/>
      <c r="AD750" s="166"/>
      <c r="AE750" s="166"/>
      <c r="AF750" s="166"/>
      <c r="AG750" s="166"/>
    </row>
    <row r="751" spans="1:33">
      <c r="A751" s="166"/>
      <c r="B751" s="498"/>
      <c r="C751" s="498"/>
      <c r="D751" s="498"/>
      <c r="E751" s="498"/>
      <c r="F751" s="498"/>
      <c r="G751" s="166"/>
      <c r="H751" s="500"/>
      <c r="I751" s="501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  <c r="AA751" s="166"/>
      <c r="AB751" s="166"/>
      <c r="AC751" s="166"/>
      <c r="AD751" s="166"/>
      <c r="AE751" s="166"/>
      <c r="AF751" s="166"/>
      <c r="AG751" s="166"/>
    </row>
    <row r="752" spans="1:33">
      <c r="A752" s="166"/>
      <c r="B752" s="498"/>
      <c r="C752" s="498"/>
      <c r="D752" s="498"/>
      <c r="E752" s="498"/>
      <c r="F752" s="498"/>
      <c r="G752" s="166"/>
      <c r="H752" s="500"/>
      <c r="I752" s="501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  <c r="AA752" s="166"/>
      <c r="AB752" s="166"/>
      <c r="AC752" s="166"/>
      <c r="AD752" s="166"/>
      <c r="AE752" s="166"/>
      <c r="AF752" s="166"/>
      <c r="AG752" s="166"/>
    </row>
    <row r="753" spans="1:33">
      <c r="A753" s="166"/>
      <c r="B753" s="498"/>
      <c r="C753" s="498"/>
      <c r="D753" s="498"/>
      <c r="E753" s="498"/>
      <c r="F753" s="498"/>
      <c r="G753" s="166"/>
      <c r="H753" s="500"/>
      <c r="I753" s="501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  <c r="AA753" s="166"/>
      <c r="AB753" s="166"/>
      <c r="AC753" s="166"/>
      <c r="AD753" s="166"/>
      <c r="AE753" s="166"/>
      <c r="AF753" s="166"/>
      <c r="AG753" s="166"/>
    </row>
    <row r="754" spans="1:33">
      <c r="A754" s="166"/>
      <c r="B754" s="498"/>
      <c r="C754" s="498"/>
      <c r="D754" s="498"/>
      <c r="E754" s="498"/>
      <c r="F754" s="498"/>
      <c r="G754" s="166"/>
      <c r="H754" s="500"/>
      <c r="I754" s="501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  <c r="AA754" s="166"/>
      <c r="AB754" s="166"/>
      <c r="AC754" s="166"/>
      <c r="AD754" s="166"/>
      <c r="AE754" s="166"/>
      <c r="AF754" s="166"/>
      <c r="AG754" s="166"/>
    </row>
    <row r="755" spans="1:33">
      <c r="A755" s="166"/>
      <c r="B755" s="498"/>
      <c r="C755" s="498"/>
      <c r="D755" s="498"/>
      <c r="E755" s="498"/>
      <c r="F755" s="498"/>
      <c r="G755" s="166"/>
      <c r="H755" s="500"/>
      <c r="I755" s="501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  <c r="AA755" s="166"/>
      <c r="AB755" s="166"/>
      <c r="AC755" s="166"/>
      <c r="AD755" s="166"/>
      <c r="AE755" s="166"/>
      <c r="AF755" s="166"/>
      <c r="AG755" s="166"/>
    </row>
    <row r="756" spans="1:33">
      <c r="A756" s="166"/>
      <c r="B756" s="498"/>
      <c r="C756" s="498"/>
      <c r="D756" s="498"/>
      <c r="E756" s="498"/>
      <c r="F756" s="498"/>
      <c r="G756" s="166"/>
      <c r="H756" s="500"/>
      <c r="I756" s="501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  <c r="AA756" s="166"/>
      <c r="AB756" s="166"/>
      <c r="AC756" s="166"/>
      <c r="AD756" s="166"/>
      <c r="AE756" s="166"/>
      <c r="AF756" s="166"/>
      <c r="AG756" s="166"/>
    </row>
    <row r="757" spans="1:33">
      <c r="A757" s="166"/>
      <c r="B757" s="498"/>
      <c r="C757" s="498"/>
      <c r="D757" s="498"/>
      <c r="E757" s="498"/>
      <c r="F757" s="498"/>
      <c r="G757" s="166"/>
      <c r="H757" s="500"/>
      <c r="I757" s="501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  <c r="AA757" s="166"/>
      <c r="AB757" s="166"/>
      <c r="AC757" s="166"/>
      <c r="AD757" s="166"/>
      <c r="AE757" s="166"/>
      <c r="AF757" s="166"/>
      <c r="AG757" s="166"/>
    </row>
    <row r="758" spans="1:33">
      <c r="A758" s="166"/>
      <c r="B758" s="498"/>
      <c r="C758" s="498"/>
      <c r="D758" s="498"/>
      <c r="E758" s="498"/>
      <c r="F758" s="498"/>
      <c r="G758" s="166"/>
      <c r="H758" s="500"/>
      <c r="I758" s="501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  <c r="AA758" s="166"/>
      <c r="AB758" s="166"/>
      <c r="AC758" s="166"/>
      <c r="AD758" s="166"/>
      <c r="AE758" s="166"/>
      <c r="AF758" s="166"/>
      <c r="AG758" s="166"/>
    </row>
    <row r="759" spans="1:33">
      <c r="A759" s="166"/>
      <c r="B759" s="498"/>
      <c r="C759" s="498"/>
      <c r="D759" s="498"/>
      <c r="E759" s="498"/>
      <c r="F759" s="498"/>
      <c r="G759" s="166"/>
      <c r="H759" s="500"/>
      <c r="I759" s="501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  <c r="AA759" s="166"/>
      <c r="AB759" s="166"/>
      <c r="AC759" s="166"/>
      <c r="AD759" s="166"/>
      <c r="AE759" s="166"/>
      <c r="AF759" s="166"/>
      <c r="AG759" s="166"/>
    </row>
    <row r="760" spans="1:33">
      <c r="A760" s="166"/>
      <c r="B760" s="498"/>
      <c r="C760" s="498"/>
      <c r="D760" s="498"/>
      <c r="E760" s="498"/>
      <c r="F760" s="498"/>
      <c r="G760" s="166"/>
      <c r="H760" s="500"/>
      <c r="I760" s="501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  <c r="AA760" s="166"/>
      <c r="AB760" s="166"/>
      <c r="AC760" s="166"/>
      <c r="AD760" s="166"/>
      <c r="AE760" s="166"/>
      <c r="AF760" s="166"/>
      <c r="AG760" s="166"/>
    </row>
    <row r="761" spans="1:33">
      <c r="A761" s="166"/>
      <c r="B761" s="498"/>
      <c r="C761" s="498"/>
      <c r="D761" s="498"/>
      <c r="E761" s="498"/>
      <c r="F761" s="498"/>
      <c r="G761" s="166"/>
      <c r="H761" s="500"/>
      <c r="I761" s="501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  <c r="AA761" s="166"/>
      <c r="AB761" s="166"/>
      <c r="AC761" s="166"/>
      <c r="AD761" s="166"/>
      <c r="AE761" s="166"/>
      <c r="AF761" s="166"/>
      <c r="AG761" s="166"/>
    </row>
    <row r="762" spans="1:33">
      <c r="A762" s="166"/>
      <c r="B762" s="498"/>
      <c r="C762" s="498"/>
      <c r="D762" s="498"/>
      <c r="E762" s="498"/>
      <c r="F762" s="498"/>
      <c r="G762" s="166"/>
      <c r="H762" s="500"/>
      <c r="I762" s="501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  <c r="AA762" s="166"/>
      <c r="AB762" s="166"/>
      <c r="AC762" s="166"/>
      <c r="AD762" s="166"/>
      <c r="AE762" s="166"/>
      <c r="AF762" s="166"/>
      <c r="AG762" s="166"/>
    </row>
    <row r="763" spans="1:33">
      <c r="A763" s="166"/>
      <c r="B763" s="498"/>
      <c r="C763" s="498"/>
      <c r="D763" s="498"/>
      <c r="E763" s="498"/>
      <c r="F763" s="498"/>
      <c r="G763" s="166"/>
      <c r="H763" s="500"/>
      <c r="I763" s="501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  <c r="AA763" s="166"/>
      <c r="AB763" s="166"/>
      <c r="AC763" s="166"/>
      <c r="AD763" s="166"/>
      <c r="AE763" s="166"/>
      <c r="AF763" s="166"/>
      <c r="AG763" s="166"/>
    </row>
    <row r="764" spans="1:33">
      <c r="A764" s="166"/>
      <c r="B764" s="498"/>
      <c r="C764" s="498"/>
      <c r="D764" s="498"/>
      <c r="E764" s="498"/>
      <c r="F764" s="498"/>
      <c r="G764" s="166"/>
      <c r="H764" s="500"/>
      <c r="I764" s="501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  <c r="AA764" s="166"/>
      <c r="AB764" s="166"/>
      <c r="AC764" s="166"/>
      <c r="AD764" s="166"/>
      <c r="AE764" s="166"/>
      <c r="AF764" s="166"/>
      <c r="AG764" s="166"/>
    </row>
    <row r="765" spans="1:33">
      <c r="A765" s="166"/>
      <c r="B765" s="498"/>
      <c r="C765" s="498"/>
      <c r="D765" s="498"/>
      <c r="E765" s="498"/>
      <c r="F765" s="498"/>
      <c r="G765" s="166"/>
      <c r="H765" s="500"/>
      <c r="I765" s="501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  <c r="AA765" s="166"/>
      <c r="AB765" s="166"/>
      <c r="AC765" s="166"/>
      <c r="AD765" s="166"/>
      <c r="AE765" s="166"/>
      <c r="AF765" s="166"/>
      <c r="AG765" s="166"/>
    </row>
    <row r="766" spans="1:33">
      <c r="A766" s="166"/>
      <c r="B766" s="498"/>
      <c r="C766" s="498"/>
      <c r="D766" s="498"/>
      <c r="E766" s="498"/>
      <c r="F766" s="498"/>
      <c r="G766" s="166"/>
      <c r="H766" s="500"/>
      <c r="I766" s="501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  <c r="AA766" s="166"/>
      <c r="AB766" s="166"/>
      <c r="AC766" s="166"/>
      <c r="AD766" s="166"/>
      <c r="AE766" s="166"/>
      <c r="AF766" s="166"/>
      <c r="AG766" s="166"/>
    </row>
    <row r="767" spans="1:33">
      <c r="A767" s="166"/>
      <c r="B767" s="498"/>
      <c r="C767" s="498"/>
      <c r="D767" s="498"/>
      <c r="E767" s="498"/>
      <c r="F767" s="498"/>
      <c r="G767" s="166"/>
      <c r="H767" s="500"/>
      <c r="I767" s="501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  <c r="AA767" s="166"/>
      <c r="AB767" s="166"/>
      <c r="AC767" s="166"/>
      <c r="AD767" s="166"/>
      <c r="AE767" s="166"/>
      <c r="AF767" s="166"/>
      <c r="AG767" s="166"/>
    </row>
    <row r="768" spans="1:33">
      <c r="A768" s="166"/>
      <c r="B768" s="498"/>
      <c r="C768" s="498"/>
      <c r="D768" s="498"/>
      <c r="E768" s="498"/>
      <c r="F768" s="498"/>
      <c r="G768" s="166"/>
      <c r="H768" s="500"/>
      <c r="I768" s="501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  <c r="AA768" s="166"/>
      <c r="AB768" s="166"/>
      <c r="AC768" s="166"/>
      <c r="AD768" s="166"/>
      <c r="AE768" s="166"/>
      <c r="AF768" s="166"/>
      <c r="AG768" s="166"/>
    </row>
    <row r="769" spans="1:33">
      <c r="A769" s="166"/>
      <c r="B769" s="498"/>
      <c r="C769" s="498"/>
      <c r="D769" s="498"/>
      <c r="E769" s="498"/>
      <c r="F769" s="498"/>
      <c r="G769" s="166"/>
      <c r="H769" s="500"/>
      <c r="I769" s="501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  <c r="AA769" s="166"/>
      <c r="AB769" s="166"/>
      <c r="AC769" s="166"/>
      <c r="AD769" s="166"/>
      <c r="AE769" s="166"/>
      <c r="AF769" s="166"/>
      <c r="AG769" s="166"/>
    </row>
    <row r="770" spans="1:33">
      <c r="A770" s="166"/>
      <c r="B770" s="498"/>
      <c r="C770" s="498"/>
      <c r="D770" s="498"/>
      <c r="E770" s="498"/>
      <c r="F770" s="498"/>
      <c r="G770" s="166"/>
      <c r="H770" s="500"/>
      <c r="I770" s="501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  <c r="AA770" s="166"/>
      <c r="AB770" s="166"/>
      <c r="AC770" s="166"/>
      <c r="AD770" s="166"/>
      <c r="AE770" s="166"/>
      <c r="AF770" s="166"/>
      <c r="AG770" s="166"/>
    </row>
    <row r="771" spans="1:33">
      <c r="A771" s="166"/>
      <c r="B771" s="498"/>
      <c r="C771" s="498"/>
      <c r="D771" s="498"/>
      <c r="E771" s="498"/>
      <c r="F771" s="498"/>
      <c r="G771" s="166"/>
      <c r="H771" s="500"/>
      <c r="I771" s="501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  <c r="AA771" s="166"/>
      <c r="AB771" s="166"/>
      <c r="AC771" s="166"/>
      <c r="AD771" s="166"/>
      <c r="AE771" s="166"/>
      <c r="AF771" s="166"/>
      <c r="AG771" s="166"/>
    </row>
    <row r="772" spans="1:33">
      <c r="A772" s="166"/>
      <c r="B772" s="498"/>
      <c r="C772" s="498"/>
      <c r="D772" s="498"/>
      <c r="E772" s="498"/>
      <c r="F772" s="498"/>
      <c r="G772" s="166"/>
      <c r="H772" s="500"/>
      <c r="I772" s="501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  <c r="AA772" s="166"/>
      <c r="AB772" s="166"/>
      <c r="AC772" s="166"/>
      <c r="AD772" s="166"/>
      <c r="AE772" s="166"/>
      <c r="AF772" s="166"/>
      <c r="AG772" s="166"/>
    </row>
    <row r="773" spans="1:33">
      <c r="A773" s="166"/>
      <c r="B773" s="498"/>
      <c r="C773" s="498"/>
      <c r="D773" s="498"/>
      <c r="E773" s="498"/>
      <c r="F773" s="498"/>
      <c r="G773" s="166"/>
      <c r="H773" s="500"/>
      <c r="I773" s="501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  <c r="AA773" s="166"/>
      <c r="AB773" s="166"/>
      <c r="AC773" s="166"/>
      <c r="AD773" s="166"/>
      <c r="AE773" s="166"/>
      <c r="AF773" s="166"/>
      <c r="AG773" s="166"/>
    </row>
    <row r="774" spans="1:33">
      <c r="A774" s="166"/>
      <c r="B774" s="498"/>
      <c r="C774" s="498"/>
      <c r="D774" s="498"/>
      <c r="E774" s="498"/>
      <c r="F774" s="498"/>
      <c r="G774" s="166"/>
      <c r="H774" s="500"/>
      <c r="I774" s="501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  <c r="AA774" s="166"/>
      <c r="AB774" s="166"/>
      <c r="AC774" s="166"/>
      <c r="AD774" s="166"/>
      <c r="AE774" s="166"/>
      <c r="AF774" s="166"/>
      <c r="AG774" s="166"/>
    </row>
    <row r="775" spans="1:33">
      <c r="A775" s="166"/>
      <c r="B775" s="498"/>
      <c r="C775" s="498"/>
      <c r="D775" s="498"/>
      <c r="E775" s="498"/>
      <c r="F775" s="498"/>
      <c r="G775" s="166"/>
      <c r="H775" s="500"/>
      <c r="I775" s="501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  <c r="AA775" s="166"/>
      <c r="AB775" s="166"/>
      <c r="AC775" s="166"/>
      <c r="AD775" s="166"/>
      <c r="AE775" s="166"/>
      <c r="AF775" s="166"/>
      <c r="AG775" s="166"/>
    </row>
    <row r="776" spans="1:33">
      <c r="A776" s="166"/>
      <c r="B776" s="498"/>
      <c r="C776" s="498"/>
      <c r="D776" s="498"/>
      <c r="E776" s="498"/>
      <c r="F776" s="498"/>
      <c r="G776" s="166"/>
      <c r="H776" s="500"/>
      <c r="I776" s="501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  <c r="AA776" s="166"/>
      <c r="AB776" s="166"/>
      <c r="AC776" s="166"/>
      <c r="AD776" s="166"/>
      <c r="AE776" s="166"/>
      <c r="AF776" s="166"/>
      <c r="AG776" s="166"/>
    </row>
    <row r="777" spans="1:33">
      <c r="A777" s="166"/>
      <c r="B777" s="498"/>
      <c r="C777" s="498"/>
      <c r="D777" s="498"/>
      <c r="E777" s="498"/>
      <c r="F777" s="498"/>
      <c r="G777" s="166"/>
      <c r="H777" s="500"/>
      <c r="I777" s="501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  <c r="AA777" s="166"/>
      <c r="AB777" s="166"/>
      <c r="AC777" s="166"/>
      <c r="AD777" s="166"/>
      <c r="AE777" s="166"/>
      <c r="AF777" s="166"/>
      <c r="AG777" s="166"/>
    </row>
    <row r="778" spans="1:33">
      <c r="A778" s="166"/>
      <c r="B778" s="498"/>
      <c r="C778" s="498"/>
      <c r="D778" s="498"/>
      <c r="E778" s="498"/>
      <c r="F778" s="498"/>
      <c r="G778" s="166"/>
      <c r="H778" s="500"/>
      <c r="I778" s="501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  <c r="AA778" s="166"/>
      <c r="AB778" s="166"/>
      <c r="AC778" s="166"/>
      <c r="AD778" s="166"/>
      <c r="AE778" s="166"/>
      <c r="AF778" s="166"/>
      <c r="AG778" s="166"/>
    </row>
    <row r="779" spans="1:33">
      <c r="A779" s="166"/>
      <c r="B779" s="498"/>
      <c r="C779" s="498"/>
      <c r="D779" s="498"/>
      <c r="E779" s="498"/>
      <c r="F779" s="498"/>
      <c r="G779" s="166"/>
      <c r="H779" s="500"/>
      <c r="I779" s="501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  <c r="AA779" s="166"/>
      <c r="AB779" s="166"/>
      <c r="AC779" s="166"/>
      <c r="AD779" s="166"/>
      <c r="AE779" s="166"/>
      <c r="AF779" s="166"/>
      <c r="AG779" s="166"/>
    </row>
    <row r="780" spans="1:33">
      <c r="A780" s="166"/>
      <c r="B780" s="498"/>
      <c r="C780" s="498"/>
      <c r="D780" s="498"/>
      <c r="E780" s="498"/>
      <c r="F780" s="498"/>
      <c r="G780" s="166"/>
      <c r="H780" s="500"/>
      <c r="I780" s="501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  <c r="AA780" s="166"/>
      <c r="AB780" s="166"/>
      <c r="AC780" s="166"/>
      <c r="AD780" s="166"/>
      <c r="AE780" s="166"/>
      <c r="AF780" s="166"/>
      <c r="AG780" s="166"/>
    </row>
    <row r="781" spans="1:33">
      <c r="A781" s="166"/>
      <c r="B781" s="498"/>
      <c r="C781" s="498"/>
      <c r="D781" s="498"/>
      <c r="E781" s="498"/>
      <c r="F781" s="498"/>
      <c r="G781" s="166"/>
      <c r="H781" s="500"/>
      <c r="I781" s="501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  <c r="AA781" s="166"/>
      <c r="AB781" s="166"/>
      <c r="AC781" s="166"/>
      <c r="AD781" s="166"/>
      <c r="AE781" s="166"/>
      <c r="AF781" s="166"/>
      <c r="AG781" s="166"/>
    </row>
    <row r="782" spans="1:33">
      <c r="A782" s="166"/>
      <c r="B782" s="498"/>
      <c r="C782" s="498"/>
      <c r="D782" s="498"/>
      <c r="E782" s="498"/>
      <c r="F782" s="498"/>
      <c r="G782" s="166"/>
      <c r="H782" s="500"/>
      <c r="I782" s="501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  <c r="AA782" s="166"/>
      <c r="AB782" s="166"/>
      <c r="AC782" s="166"/>
      <c r="AD782" s="166"/>
      <c r="AE782" s="166"/>
      <c r="AF782" s="166"/>
      <c r="AG782" s="166"/>
    </row>
    <row r="783" spans="1:33">
      <c r="A783" s="166"/>
      <c r="B783" s="498"/>
      <c r="C783" s="498"/>
      <c r="D783" s="498"/>
      <c r="E783" s="498"/>
      <c r="F783" s="498"/>
      <c r="G783" s="166"/>
      <c r="H783" s="500"/>
      <c r="I783" s="501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  <c r="AA783" s="166"/>
      <c r="AB783" s="166"/>
      <c r="AC783" s="166"/>
      <c r="AD783" s="166"/>
      <c r="AE783" s="166"/>
      <c r="AF783" s="166"/>
      <c r="AG783" s="166"/>
    </row>
    <row r="784" spans="1:33">
      <c r="A784" s="166"/>
      <c r="B784" s="498"/>
      <c r="C784" s="498"/>
      <c r="D784" s="498"/>
      <c r="E784" s="498"/>
      <c r="F784" s="498"/>
      <c r="G784" s="166"/>
      <c r="H784" s="500"/>
      <c r="I784" s="501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  <c r="AA784" s="166"/>
      <c r="AB784" s="166"/>
      <c r="AC784" s="166"/>
      <c r="AD784" s="166"/>
      <c r="AE784" s="166"/>
      <c r="AF784" s="166"/>
      <c r="AG784" s="166"/>
    </row>
    <row r="785" spans="1:33">
      <c r="A785" s="166"/>
      <c r="B785" s="498"/>
      <c r="C785" s="498"/>
      <c r="D785" s="498"/>
      <c r="E785" s="498"/>
      <c r="F785" s="498"/>
      <c r="G785" s="166"/>
      <c r="H785" s="500"/>
      <c r="I785" s="501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  <c r="AA785" s="166"/>
      <c r="AB785" s="166"/>
      <c r="AC785" s="166"/>
      <c r="AD785" s="166"/>
      <c r="AE785" s="166"/>
      <c r="AF785" s="166"/>
      <c r="AG785" s="166"/>
    </row>
    <row r="786" spans="1:33">
      <c r="A786" s="166"/>
      <c r="B786" s="498"/>
      <c r="C786" s="498"/>
      <c r="D786" s="498"/>
      <c r="E786" s="498"/>
      <c r="F786" s="498"/>
      <c r="G786" s="166"/>
      <c r="H786" s="500"/>
      <c r="I786" s="501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  <c r="AA786" s="166"/>
      <c r="AB786" s="166"/>
      <c r="AC786" s="166"/>
      <c r="AD786" s="166"/>
      <c r="AE786" s="166"/>
      <c r="AF786" s="166"/>
      <c r="AG786" s="166"/>
    </row>
    <row r="787" spans="1:33">
      <c r="A787" s="166"/>
      <c r="B787" s="498"/>
      <c r="C787" s="498"/>
      <c r="D787" s="498"/>
      <c r="E787" s="498"/>
      <c r="F787" s="498"/>
      <c r="G787" s="166"/>
      <c r="H787" s="500"/>
      <c r="I787" s="501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  <c r="AA787" s="166"/>
      <c r="AB787" s="166"/>
      <c r="AC787" s="166"/>
      <c r="AD787" s="166"/>
      <c r="AE787" s="166"/>
      <c r="AF787" s="166"/>
      <c r="AG787" s="166"/>
    </row>
    <row r="788" spans="1:33">
      <c r="A788" s="166"/>
      <c r="B788" s="498"/>
      <c r="C788" s="498"/>
      <c r="D788" s="498"/>
      <c r="E788" s="498"/>
      <c r="F788" s="498"/>
      <c r="G788" s="166"/>
      <c r="H788" s="500"/>
      <c r="I788" s="501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  <c r="AA788" s="166"/>
      <c r="AB788" s="166"/>
      <c r="AC788" s="166"/>
      <c r="AD788" s="166"/>
      <c r="AE788" s="166"/>
      <c r="AF788" s="166"/>
      <c r="AG788" s="166"/>
    </row>
    <row r="789" spans="1:33">
      <c r="A789" s="166"/>
      <c r="B789" s="498"/>
      <c r="C789" s="498"/>
      <c r="D789" s="498"/>
      <c r="E789" s="498"/>
      <c r="F789" s="498"/>
      <c r="G789" s="166"/>
      <c r="H789" s="500"/>
      <c r="I789" s="501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  <c r="AA789" s="166"/>
      <c r="AB789" s="166"/>
      <c r="AC789" s="166"/>
      <c r="AD789" s="166"/>
      <c r="AE789" s="166"/>
      <c r="AF789" s="166"/>
      <c r="AG789" s="166"/>
    </row>
    <row r="790" spans="1:33">
      <c r="A790" s="166"/>
      <c r="B790" s="498"/>
      <c r="C790" s="498"/>
      <c r="D790" s="498"/>
      <c r="E790" s="498"/>
      <c r="F790" s="498"/>
      <c r="G790" s="166"/>
      <c r="H790" s="500"/>
      <c r="I790" s="501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  <c r="AA790" s="166"/>
      <c r="AB790" s="166"/>
      <c r="AC790" s="166"/>
      <c r="AD790" s="166"/>
      <c r="AE790" s="166"/>
      <c r="AF790" s="166"/>
      <c r="AG790" s="166"/>
    </row>
    <row r="791" spans="1:33">
      <c r="A791" s="166"/>
      <c r="B791" s="498"/>
      <c r="C791" s="498"/>
      <c r="D791" s="498"/>
      <c r="E791" s="498"/>
      <c r="F791" s="498"/>
      <c r="G791" s="166"/>
      <c r="H791" s="500"/>
      <c r="I791" s="501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  <c r="AA791" s="166"/>
      <c r="AB791" s="166"/>
      <c r="AC791" s="166"/>
      <c r="AD791" s="166"/>
      <c r="AE791" s="166"/>
      <c r="AF791" s="166"/>
      <c r="AG791" s="166"/>
    </row>
    <row r="792" spans="1:33">
      <c r="A792" s="166"/>
      <c r="B792" s="498"/>
      <c r="C792" s="498"/>
      <c r="D792" s="498"/>
      <c r="E792" s="498"/>
      <c r="F792" s="498"/>
      <c r="G792" s="166"/>
      <c r="H792" s="500"/>
      <c r="I792" s="501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  <c r="AA792" s="166"/>
      <c r="AB792" s="166"/>
      <c r="AC792" s="166"/>
      <c r="AD792" s="166"/>
      <c r="AE792" s="166"/>
      <c r="AF792" s="166"/>
      <c r="AG792" s="166"/>
    </row>
    <row r="793" spans="1:33">
      <c r="A793" s="166"/>
      <c r="B793" s="498"/>
      <c r="C793" s="498"/>
      <c r="D793" s="498"/>
      <c r="E793" s="498"/>
      <c r="F793" s="498"/>
      <c r="G793" s="166"/>
      <c r="H793" s="500"/>
      <c r="I793" s="501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  <c r="AA793" s="166"/>
      <c r="AB793" s="166"/>
      <c r="AC793" s="166"/>
      <c r="AD793" s="166"/>
      <c r="AE793" s="166"/>
      <c r="AF793" s="166"/>
      <c r="AG793" s="166"/>
    </row>
    <row r="794" spans="1:33">
      <c r="A794" s="166"/>
      <c r="B794" s="498"/>
      <c r="C794" s="498"/>
      <c r="D794" s="498"/>
      <c r="E794" s="498"/>
      <c r="F794" s="498"/>
      <c r="G794" s="166"/>
      <c r="H794" s="500"/>
      <c r="I794" s="501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  <c r="AA794" s="166"/>
      <c r="AB794" s="166"/>
      <c r="AC794" s="166"/>
      <c r="AD794" s="166"/>
      <c r="AE794" s="166"/>
      <c r="AF794" s="166"/>
      <c r="AG794" s="166"/>
    </row>
    <row r="795" spans="1:33">
      <c r="A795" s="166"/>
      <c r="B795" s="498"/>
      <c r="C795" s="498"/>
      <c r="D795" s="498"/>
      <c r="E795" s="498"/>
      <c r="F795" s="498"/>
      <c r="G795" s="166"/>
      <c r="H795" s="500"/>
      <c r="I795" s="501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  <c r="AA795" s="166"/>
      <c r="AB795" s="166"/>
      <c r="AC795" s="166"/>
      <c r="AD795" s="166"/>
      <c r="AE795" s="166"/>
      <c r="AF795" s="166"/>
      <c r="AG795" s="166"/>
    </row>
    <row r="796" spans="1:33">
      <c r="A796" s="166"/>
      <c r="B796" s="498"/>
      <c r="C796" s="498"/>
      <c r="D796" s="498"/>
      <c r="E796" s="498"/>
      <c r="F796" s="498"/>
      <c r="G796" s="166"/>
      <c r="H796" s="500"/>
      <c r="I796" s="501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  <c r="AA796" s="166"/>
      <c r="AB796" s="166"/>
      <c r="AC796" s="166"/>
      <c r="AD796" s="166"/>
      <c r="AE796" s="166"/>
      <c r="AF796" s="166"/>
      <c r="AG796" s="166"/>
    </row>
    <row r="797" spans="1:33">
      <c r="A797" s="166"/>
      <c r="B797" s="498"/>
      <c r="C797" s="498"/>
      <c r="D797" s="498"/>
      <c r="E797" s="498"/>
      <c r="F797" s="498"/>
      <c r="G797" s="166"/>
      <c r="H797" s="500"/>
      <c r="I797" s="501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  <c r="AA797" s="166"/>
      <c r="AB797" s="166"/>
      <c r="AC797" s="166"/>
      <c r="AD797" s="166"/>
      <c r="AE797" s="166"/>
      <c r="AF797" s="166"/>
      <c r="AG797" s="166"/>
    </row>
    <row r="798" spans="1:33">
      <c r="A798" s="166"/>
      <c r="B798" s="498"/>
      <c r="C798" s="498"/>
      <c r="D798" s="498"/>
      <c r="E798" s="498"/>
      <c r="F798" s="498"/>
      <c r="G798" s="166"/>
      <c r="H798" s="500"/>
      <c r="I798" s="501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  <c r="AA798" s="166"/>
      <c r="AB798" s="166"/>
      <c r="AC798" s="166"/>
      <c r="AD798" s="166"/>
      <c r="AE798" s="166"/>
      <c r="AF798" s="166"/>
      <c r="AG798" s="166"/>
    </row>
    <row r="799" spans="1:33">
      <c r="A799" s="166"/>
      <c r="B799" s="498"/>
      <c r="C799" s="498"/>
      <c r="D799" s="498"/>
      <c r="E799" s="498"/>
      <c r="F799" s="498"/>
      <c r="G799" s="166"/>
      <c r="H799" s="500"/>
      <c r="I799" s="501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  <c r="AA799" s="166"/>
      <c r="AB799" s="166"/>
      <c r="AC799" s="166"/>
      <c r="AD799" s="166"/>
      <c r="AE799" s="166"/>
      <c r="AF799" s="166"/>
      <c r="AG799" s="166"/>
    </row>
    <row r="800" spans="1:33">
      <c r="A800" s="166"/>
      <c r="B800" s="498"/>
      <c r="C800" s="498"/>
      <c r="D800" s="498"/>
      <c r="E800" s="498"/>
      <c r="F800" s="498"/>
      <c r="G800" s="166"/>
      <c r="H800" s="500"/>
      <c r="I800" s="501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  <c r="AA800" s="166"/>
      <c r="AB800" s="166"/>
      <c r="AC800" s="166"/>
      <c r="AD800" s="166"/>
      <c r="AE800" s="166"/>
      <c r="AF800" s="166"/>
      <c r="AG800" s="166"/>
    </row>
    <row r="801" spans="1:33">
      <c r="A801" s="166"/>
      <c r="B801" s="498"/>
      <c r="C801" s="498"/>
      <c r="D801" s="498"/>
      <c r="E801" s="498"/>
      <c r="F801" s="498"/>
      <c r="G801" s="166"/>
      <c r="H801" s="500"/>
      <c r="I801" s="501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  <c r="AA801" s="166"/>
      <c r="AB801" s="166"/>
      <c r="AC801" s="166"/>
      <c r="AD801" s="166"/>
      <c r="AE801" s="166"/>
      <c r="AF801" s="166"/>
      <c r="AG801" s="166"/>
    </row>
    <row r="802" spans="1:33">
      <c r="A802" s="166"/>
      <c r="B802" s="498"/>
      <c r="C802" s="498"/>
      <c r="D802" s="498"/>
      <c r="E802" s="498"/>
      <c r="F802" s="498"/>
      <c r="G802" s="166"/>
      <c r="H802" s="500"/>
      <c r="I802" s="501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  <c r="AA802" s="166"/>
      <c r="AB802" s="166"/>
      <c r="AC802" s="166"/>
      <c r="AD802" s="166"/>
      <c r="AE802" s="166"/>
      <c r="AF802" s="166"/>
      <c r="AG802" s="166"/>
    </row>
    <row r="803" spans="1:33">
      <c r="A803" s="166"/>
      <c r="B803" s="498"/>
      <c r="C803" s="498"/>
      <c r="D803" s="498"/>
      <c r="E803" s="498"/>
      <c r="F803" s="498"/>
      <c r="G803" s="166"/>
      <c r="H803" s="500"/>
      <c r="I803" s="501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  <c r="AA803" s="166"/>
      <c r="AB803" s="166"/>
      <c r="AC803" s="166"/>
      <c r="AD803" s="166"/>
      <c r="AE803" s="166"/>
      <c r="AF803" s="166"/>
      <c r="AG803" s="166"/>
    </row>
    <row r="804" spans="1:33">
      <c r="A804" s="166"/>
      <c r="B804" s="498"/>
      <c r="C804" s="498"/>
      <c r="D804" s="498"/>
      <c r="E804" s="498"/>
      <c r="F804" s="498"/>
      <c r="G804" s="166"/>
      <c r="H804" s="500"/>
      <c r="I804" s="501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  <c r="AA804" s="166"/>
      <c r="AB804" s="166"/>
      <c r="AC804" s="166"/>
      <c r="AD804" s="166"/>
      <c r="AE804" s="166"/>
      <c r="AF804" s="166"/>
      <c r="AG804" s="166"/>
    </row>
    <row r="805" spans="1:33">
      <c r="A805" s="166"/>
      <c r="B805" s="498"/>
      <c r="C805" s="498"/>
      <c r="D805" s="498"/>
      <c r="E805" s="498"/>
      <c r="F805" s="498"/>
      <c r="G805" s="166"/>
      <c r="H805" s="500"/>
      <c r="I805" s="501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  <c r="AA805" s="166"/>
      <c r="AB805" s="166"/>
      <c r="AC805" s="166"/>
      <c r="AD805" s="166"/>
      <c r="AE805" s="166"/>
      <c r="AF805" s="166"/>
      <c r="AG805" s="166"/>
    </row>
    <row r="806" spans="1:33">
      <c r="A806" s="166"/>
      <c r="B806" s="498"/>
      <c r="C806" s="498"/>
      <c r="D806" s="498"/>
      <c r="E806" s="498"/>
      <c r="F806" s="498"/>
      <c r="G806" s="166"/>
      <c r="H806" s="500"/>
      <c r="I806" s="501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  <c r="AA806" s="166"/>
      <c r="AB806" s="166"/>
      <c r="AC806" s="166"/>
      <c r="AD806" s="166"/>
      <c r="AE806" s="166"/>
      <c r="AF806" s="166"/>
      <c r="AG806" s="166"/>
    </row>
    <row r="807" spans="1:33">
      <c r="A807" s="166"/>
      <c r="B807" s="498"/>
      <c r="C807" s="498"/>
      <c r="D807" s="498"/>
      <c r="E807" s="498"/>
      <c r="F807" s="498"/>
      <c r="G807" s="166"/>
      <c r="H807" s="500"/>
      <c r="I807" s="501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  <c r="AA807" s="166"/>
      <c r="AB807" s="166"/>
      <c r="AC807" s="166"/>
      <c r="AD807" s="166"/>
      <c r="AE807" s="166"/>
      <c r="AF807" s="166"/>
      <c r="AG807" s="166"/>
    </row>
    <row r="808" spans="1:33">
      <c r="A808" s="166"/>
      <c r="B808" s="498"/>
      <c r="C808" s="498"/>
      <c r="D808" s="498"/>
      <c r="E808" s="498"/>
      <c r="F808" s="498"/>
      <c r="G808" s="166"/>
      <c r="H808" s="500"/>
      <c r="I808" s="501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  <c r="AA808" s="166"/>
      <c r="AB808" s="166"/>
      <c r="AC808" s="166"/>
      <c r="AD808" s="166"/>
      <c r="AE808" s="166"/>
      <c r="AF808" s="166"/>
      <c r="AG808" s="166"/>
    </row>
    <row r="809" spans="1:33">
      <c r="A809" s="166"/>
      <c r="B809" s="498"/>
      <c r="C809" s="498"/>
      <c r="D809" s="498"/>
      <c r="E809" s="498"/>
      <c r="F809" s="498"/>
      <c r="G809" s="166"/>
      <c r="H809" s="500"/>
      <c r="I809" s="501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  <c r="AA809" s="166"/>
      <c r="AB809" s="166"/>
      <c r="AC809" s="166"/>
      <c r="AD809" s="166"/>
      <c r="AE809" s="166"/>
      <c r="AF809" s="166"/>
      <c r="AG809" s="166"/>
    </row>
    <row r="810" spans="1:33">
      <c r="A810" s="166"/>
      <c r="B810" s="498"/>
      <c r="C810" s="498"/>
      <c r="D810" s="498"/>
      <c r="E810" s="498"/>
      <c r="F810" s="498"/>
      <c r="G810" s="166"/>
      <c r="H810" s="500"/>
      <c r="I810" s="501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  <c r="AA810" s="166"/>
      <c r="AB810" s="166"/>
      <c r="AC810" s="166"/>
      <c r="AD810" s="166"/>
      <c r="AE810" s="166"/>
      <c r="AF810" s="166"/>
      <c r="AG810" s="166"/>
    </row>
    <row r="811" spans="1:33">
      <c r="A811" s="166"/>
      <c r="B811" s="498"/>
      <c r="C811" s="498"/>
      <c r="D811" s="498"/>
      <c r="E811" s="498"/>
      <c r="F811" s="498"/>
      <c r="G811" s="166"/>
      <c r="H811" s="500"/>
      <c r="I811" s="501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  <c r="AA811" s="166"/>
      <c r="AB811" s="166"/>
      <c r="AC811" s="166"/>
      <c r="AD811" s="166"/>
      <c r="AE811" s="166"/>
      <c r="AF811" s="166"/>
      <c r="AG811" s="166"/>
    </row>
    <row r="812" spans="1:33">
      <c r="A812" s="166"/>
      <c r="B812" s="498"/>
      <c r="C812" s="498"/>
      <c r="D812" s="498"/>
      <c r="E812" s="498"/>
      <c r="F812" s="498"/>
      <c r="G812" s="166"/>
      <c r="H812" s="500"/>
      <c r="I812" s="501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  <c r="AA812" s="166"/>
      <c r="AB812" s="166"/>
      <c r="AC812" s="166"/>
      <c r="AD812" s="166"/>
      <c r="AE812" s="166"/>
      <c r="AF812" s="166"/>
      <c r="AG812" s="166"/>
    </row>
    <row r="813" spans="1:33">
      <c r="A813" s="166"/>
      <c r="B813" s="498"/>
      <c r="C813" s="498"/>
      <c r="D813" s="498"/>
      <c r="E813" s="498"/>
      <c r="F813" s="498"/>
      <c r="G813" s="166"/>
      <c r="H813" s="500"/>
      <c r="I813" s="501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  <c r="AA813" s="166"/>
      <c r="AB813" s="166"/>
      <c r="AC813" s="166"/>
      <c r="AD813" s="166"/>
      <c r="AE813" s="166"/>
      <c r="AF813" s="166"/>
      <c r="AG813" s="166"/>
    </row>
    <row r="814" spans="1:33">
      <c r="A814" s="166"/>
      <c r="B814" s="498"/>
      <c r="C814" s="498"/>
      <c r="D814" s="498"/>
      <c r="E814" s="498"/>
      <c r="F814" s="498"/>
      <c r="G814" s="166"/>
      <c r="H814" s="500"/>
      <c r="I814" s="501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  <c r="AA814" s="166"/>
      <c r="AB814" s="166"/>
      <c r="AC814" s="166"/>
      <c r="AD814" s="166"/>
      <c r="AE814" s="166"/>
      <c r="AF814" s="166"/>
      <c r="AG814" s="166"/>
    </row>
    <row r="815" spans="1:33">
      <c r="A815" s="166"/>
      <c r="B815" s="498"/>
      <c r="C815" s="498"/>
      <c r="D815" s="498"/>
      <c r="E815" s="498"/>
      <c r="F815" s="498"/>
      <c r="G815" s="166"/>
      <c r="H815" s="500"/>
      <c r="I815" s="501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  <c r="AA815" s="166"/>
      <c r="AB815" s="166"/>
      <c r="AC815" s="166"/>
      <c r="AD815" s="166"/>
      <c r="AE815" s="166"/>
      <c r="AF815" s="166"/>
      <c r="AG815" s="166"/>
    </row>
    <row r="816" spans="1:33">
      <c r="A816" s="166"/>
      <c r="B816" s="498"/>
      <c r="C816" s="498"/>
      <c r="D816" s="498"/>
      <c r="E816" s="498"/>
      <c r="F816" s="498"/>
      <c r="G816" s="166"/>
      <c r="H816" s="500"/>
      <c r="I816" s="501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  <c r="AA816" s="166"/>
      <c r="AB816" s="166"/>
      <c r="AC816" s="166"/>
      <c r="AD816" s="166"/>
      <c r="AE816" s="166"/>
      <c r="AF816" s="166"/>
      <c r="AG816" s="166"/>
    </row>
    <row r="817" spans="1:33">
      <c r="A817" s="166"/>
      <c r="B817" s="498"/>
      <c r="C817" s="498"/>
      <c r="D817" s="498"/>
      <c r="E817" s="498"/>
      <c r="F817" s="498"/>
      <c r="G817" s="166"/>
      <c r="H817" s="500"/>
      <c r="I817" s="501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  <c r="AA817" s="166"/>
      <c r="AB817" s="166"/>
      <c r="AC817" s="166"/>
      <c r="AD817" s="166"/>
      <c r="AE817" s="166"/>
      <c r="AF817" s="166"/>
      <c r="AG817" s="166"/>
    </row>
    <row r="818" spans="1:33">
      <c r="A818" s="166"/>
      <c r="B818" s="498"/>
      <c r="C818" s="498"/>
      <c r="D818" s="498"/>
      <c r="E818" s="498"/>
      <c r="F818" s="498"/>
      <c r="G818" s="166"/>
      <c r="H818" s="500"/>
      <c r="I818" s="501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  <c r="AA818" s="166"/>
      <c r="AB818" s="166"/>
      <c r="AC818" s="166"/>
      <c r="AD818" s="166"/>
      <c r="AE818" s="166"/>
      <c r="AF818" s="166"/>
      <c r="AG818" s="166"/>
    </row>
    <row r="819" spans="1:33">
      <c r="A819" s="166"/>
      <c r="B819" s="498"/>
      <c r="C819" s="498"/>
      <c r="D819" s="498"/>
      <c r="E819" s="498"/>
      <c r="F819" s="498"/>
      <c r="G819" s="166"/>
      <c r="H819" s="500"/>
      <c r="I819" s="501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  <c r="AA819" s="166"/>
      <c r="AB819" s="166"/>
      <c r="AC819" s="166"/>
      <c r="AD819" s="166"/>
      <c r="AE819" s="166"/>
      <c r="AF819" s="166"/>
      <c r="AG819" s="166"/>
    </row>
    <row r="820" spans="1:33">
      <c r="A820" s="166"/>
      <c r="B820" s="498"/>
      <c r="C820" s="498"/>
      <c r="D820" s="498"/>
      <c r="E820" s="498"/>
      <c r="F820" s="498"/>
      <c r="G820" s="166"/>
      <c r="H820" s="500"/>
      <c r="I820" s="501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  <c r="AA820" s="166"/>
      <c r="AB820" s="166"/>
      <c r="AC820" s="166"/>
      <c r="AD820" s="166"/>
      <c r="AE820" s="166"/>
      <c r="AF820" s="166"/>
      <c r="AG820" s="166"/>
    </row>
    <row r="821" spans="1:33">
      <c r="A821" s="166"/>
      <c r="B821" s="498"/>
      <c r="C821" s="498"/>
      <c r="D821" s="498"/>
      <c r="E821" s="498"/>
      <c r="F821" s="498"/>
      <c r="G821" s="166"/>
      <c r="H821" s="500"/>
      <c r="I821" s="501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  <c r="AA821" s="166"/>
      <c r="AB821" s="166"/>
      <c r="AC821" s="166"/>
      <c r="AD821" s="166"/>
      <c r="AE821" s="166"/>
      <c r="AF821" s="166"/>
      <c r="AG821" s="166"/>
    </row>
    <row r="822" spans="1:33">
      <c r="A822" s="166"/>
      <c r="B822" s="498"/>
      <c r="C822" s="498"/>
      <c r="D822" s="498"/>
      <c r="E822" s="498"/>
      <c r="F822" s="498"/>
      <c r="G822" s="166"/>
      <c r="H822" s="500"/>
      <c r="I822" s="501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  <c r="AA822" s="166"/>
      <c r="AB822" s="166"/>
      <c r="AC822" s="166"/>
      <c r="AD822" s="166"/>
      <c r="AE822" s="166"/>
      <c r="AF822" s="166"/>
      <c r="AG822" s="166"/>
    </row>
    <row r="823" spans="1:33">
      <c r="A823" s="166"/>
      <c r="B823" s="498"/>
      <c r="C823" s="498"/>
      <c r="D823" s="498"/>
      <c r="E823" s="498"/>
      <c r="F823" s="498"/>
      <c r="G823" s="166"/>
      <c r="H823" s="500"/>
      <c r="I823" s="501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  <c r="AA823" s="166"/>
      <c r="AB823" s="166"/>
      <c r="AC823" s="166"/>
      <c r="AD823" s="166"/>
      <c r="AE823" s="166"/>
      <c r="AF823" s="166"/>
      <c r="AG823" s="166"/>
    </row>
    <row r="824" spans="1:33">
      <c r="A824" s="166"/>
      <c r="B824" s="498"/>
      <c r="C824" s="498"/>
      <c r="D824" s="498"/>
      <c r="E824" s="498"/>
      <c r="F824" s="498"/>
      <c r="G824" s="166"/>
      <c r="H824" s="500"/>
      <c r="I824" s="501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  <c r="AA824" s="166"/>
      <c r="AB824" s="166"/>
      <c r="AC824" s="166"/>
      <c r="AD824" s="166"/>
      <c r="AE824" s="166"/>
      <c r="AF824" s="166"/>
      <c r="AG824" s="166"/>
    </row>
    <row r="825" spans="1:33">
      <c r="A825" s="166"/>
      <c r="B825" s="498"/>
      <c r="C825" s="498"/>
      <c r="D825" s="498"/>
      <c r="E825" s="498"/>
      <c r="F825" s="498"/>
      <c r="G825" s="166"/>
      <c r="H825" s="500"/>
      <c r="I825" s="501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  <c r="AA825" s="166"/>
      <c r="AB825" s="166"/>
      <c r="AC825" s="166"/>
      <c r="AD825" s="166"/>
      <c r="AE825" s="166"/>
      <c r="AF825" s="166"/>
      <c r="AG825" s="166"/>
    </row>
    <row r="826" spans="1:33">
      <c r="A826" s="166"/>
      <c r="B826" s="498"/>
      <c r="C826" s="498"/>
      <c r="D826" s="498"/>
      <c r="E826" s="498"/>
      <c r="F826" s="498"/>
      <c r="G826" s="166"/>
      <c r="H826" s="500"/>
      <c r="I826" s="501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  <c r="AA826" s="166"/>
      <c r="AB826" s="166"/>
      <c r="AC826" s="166"/>
      <c r="AD826" s="166"/>
      <c r="AE826" s="166"/>
      <c r="AF826" s="166"/>
      <c r="AG826" s="166"/>
    </row>
    <row r="827" spans="1:33">
      <c r="A827" s="166"/>
      <c r="B827" s="498"/>
      <c r="C827" s="498"/>
      <c r="D827" s="498"/>
      <c r="E827" s="498"/>
      <c r="F827" s="498"/>
      <c r="G827" s="166"/>
      <c r="H827" s="500"/>
      <c r="I827" s="501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  <c r="AA827" s="166"/>
      <c r="AB827" s="166"/>
      <c r="AC827" s="166"/>
      <c r="AD827" s="166"/>
      <c r="AE827" s="166"/>
      <c r="AF827" s="166"/>
      <c r="AG827" s="166"/>
    </row>
    <row r="828" spans="1:33">
      <c r="A828" s="166"/>
      <c r="B828" s="498"/>
      <c r="C828" s="498"/>
      <c r="D828" s="498"/>
      <c r="E828" s="498"/>
      <c r="F828" s="498"/>
      <c r="G828" s="166"/>
      <c r="H828" s="500"/>
      <c r="I828" s="501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  <c r="AA828" s="166"/>
      <c r="AB828" s="166"/>
      <c r="AC828" s="166"/>
      <c r="AD828" s="166"/>
      <c r="AE828" s="166"/>
      <c r="AF828" s="166"/>
      <c r="AG828" s="166"/>
    </row>
    <row r="829" spans="1:33">
      <c r="A829" s="166"/>
      <c r="B829" s="498"/>
      <c r="C829" s="498"/>
      <c r="D829" s="498"/>
      <c r="E829" s="498"/>
      <c r="F829" s="498"/>
      <c r="G829" s="166"/>
      <c r="H829" s="500"/>
      <c r="I829" s="501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  <c r="AA829" s="166"/>
      <c r="AB829" s="166"/>
      <c r="AC829" s="166"/>
      <c r="AD829" s="166"/>
      <c r="AE829" s="166"/>
      <c r="AF829" s="166"/>
      <c r="AG829" s="166"/>
    </row>
    <row r="830" spans="1:33">
      <c r="A830" s="166"/>
      <c r="B830" s="498"/>
      <c r="C830" s="498"/>
      <c r="D830" s="498"/>
      <c r="E830" s="498"/>
      <c r="F830" s="498"/>
      <c r="G830" s="166"/>
      <c r="H830" s="500"/>
      <c r="I830" s="501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  <c r="AA830" s="166"/>
      <c r="AB830" s="166"/>
      <c r="AC830" s="166"/>
      <c r="AD830" s="166"/>
      <c r="AE830" s="166"/>
      <c r="AF830" s="166"/>
      <c r="AG830" s="166"/>
    </row>
    <row r="831" spans="1:33">
      <c r="A831" s="166"/>
      <c r="B831" s="498"/>
      <c r="C831" s="498"/>
      <c r="D831" s="498"/>
      <c r="E831" s="498"/>
      <c r="F831" s="498"/>
      <c r="G831" s="166"/>
      <c r="H831" s="500"/>
      <c r="I831" s="501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  <c r="AA831" s="166"/>
      <c r="AB831" s="166"/>
      <c r="AC831" s="166"/>
      <c r="AD831" s="166"/>
      <c r="AE831" s="166"/>
      <c r="AF831" s="166"/>
      <c r="AG831" s="166"/>
    </row>
    <row r="832" spans="1:33">
      <c r="A832" s="166"/>
      <c r="B832" s="498"/>
      <c r="C832" s="498"/>
      <c r="D832" s="498"/>
      <c r="E832" s="498"/>
      <c r="F832" s="498"/>
      <c r="G832" s="166"/>
      <c r="H832" s="500"/>
      <c r="I832" s="501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  <c r="AA832" s="166"/>
      <c r="AB832" s="166"/>
      <c r="AC832" s="166"/>
      <c r="AD832" s="166"/>
      <c r="AE832" s="166"/>
      <c r="AF832" s="166"/>
      <c r="AG832" s="166"/>
    </row>
    <row r="833" spans="1:33">
      <c r="A833" s="166"/>
      <c r="B833" s="498"/>
      <c r="C833" s="498"/>
      <c r="D833" s="498"/>
      <c r="E833" s="498"/>
      <c r="F833" s="498"/>
      <c r="G833" s="166"/>
      <c r="H833" s="500"/>
      <c r="I833" s="501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  <c r="AA833" s="166"/>
      <c r="AB833" s="166"/>
      <c r="AC833" s="166"/>
      <c r="AD833" s="166"/>
      <c r="AE833" s="166"/>
      <c r="AF833" s="166"/>
      <c r="AG833" s="166"/>
    </row>
    <row r="834" spans="1:33">
      <c r="A834" s="166"/>
      <c r="B834" s="498"/>
      <c r="C834" s="498"/>
      <c r="D834" s="498"/>
      <c r="E834" s="498"/>
      <c r="F834" s="498"/>
      <c r="G834" s="166"/>
      <c r="H834" s="500"/>
      <c r="I834" s="501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  <c r="AA834" s="166"/>
      <c r="AB834" s="166"/>
      <c r="AC834" s="166"/>
      <c r="AD834" s="166"/>
      <c r="AE834" s="166"/>
      <c r="AF834" s="166"/>
      <c r="AG834" s="166"/>
    </row>
    <row r="835" spans="1:33">
      <c r="A835" s="166"/>
      <c r="B835" s="498"/>
      <c r="C835" s="498"/>
      <c r="D835" s="498"/>
      <c r="E835" s="498"/>
      <c r="F835" s="498"/>
      <c r="G835" s="166"/>
      <c r="H835" s="500"/>
      <c r="I835" s="501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  <c r="AA835" s="166"/>
      <c r="AB835" s="166"/>
      <c r="AC835" s="166"/>
      <c r="AD835" s="166"/>
      <c r="AE835" s="166"/>
      <c r="AF835" s="166"/>
      <c r="AG835" s="166"/>
    </row>
    <row r="836" spans="1:33">
      <c r="A836" s="166"/>
      <c r="B836" s="498"/>
      <c r="C836" s="498"/>
      <c r="D836" s="498"/>
      <c r="E836" s="498"/>
      <c r="F836" s="498"/>
      <c r="G836" s="166"/>
      <c r="H836" s="500"/>
      <c r="I836" s="501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  <c r="AA836" s="166"/>
      <c r="AB836" s="166"/>
      <c r="AC836" s="166"/>
      <c r="AD836" s="166"/>
      <c r="AE836" s="166"/>
      <c r="AF836" s="166"/>
      <c r="AG836" s="166"/>
    </row>
    <row r="837" spans="1:33">
      <c r="A837" s="166"/>
      <c r="B837" s="498"/>
      <c r="C837" s="498"/>
      <c r="D837" s="498"/>
      <c r="E837" s="498"/>
      <c r="F837" s="498"/>
      <c r="G837" s="166"/>
      <c r="H837" s="500"/>
      <c r="I837" s="501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  <c r="AA837" s="166"/>
      <c r="AB837" s="166"/>
      <c r="AC837" s="166"/>
      <c r="AD837" s="166"/>
      <c r="AE837" s="166"/>
      <c r="AF837" s="166"/>
      <c r="AG837" s="166"/>
    </row>
    <row r="838" spans="1:33">
      <c r="A838" s="166"/>
      <c r="B838" s="498"/>
      <c r="C838" s="498"/>
      <c r="D838" s="498"/>
      <c r="E838" s="498"/>
      <c r="F838" s="498"/>
      <c r="G838" s="166"/>
      <c r="H838" s="500"/>
      <c r="I838" s="501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  <c r="AA838" s="166"/>
      <c r="AB838" s="166"/>
      <c r="AC838" s="166"/>
      <c r="AD838" s="166"/>
      <c r="AE838" s="166"/>
      <c r="AF838" s="166"/>
      <c r="AG838" s="166"/>
    </row>
    <row r="839" spans="1:33">
      <c r="A839" s="166"/>
      <c r="B839" s="498"/>
      <c r="C839" s="498"/>
      <c r="D839" s="498"/>
      <c r="E839" s="498"/>
      <c r="F839" s="498"/>
      <c r="G839" s="166"/>
      <c r="H839" s="500"/>
      <c r="I839" s="501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  <c r="AA839" s="166"/>
      <c r="AB839" s="166"/>
      <c r="AC839" s="166"/>
      <c r="AD839" s="166"/>
      <c r="AE839" s="166"/>
      <c r="AF839" s="166"/>
      <c r="AG839" s="166"/>
    </row>
    <row r="840" spans="1:33">
      <c r="A840" s="166"/>
      <c r="B840" s="498"/>
      <c r="C840" s="498"/>
      <c r="D840" s="498"/>
      <c r="E840" s="498"/>
      <c r="F840" s="498"/>
      <c r="G840" s="166"/>
      <c r="H840" s="500"/>
      <c r="I840" s="501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  <c r="AA840" s="166"/>
      <c r="AB840" s="166"/>
      <c r="AC840" s="166"/>
      <c r="AD840" s="166"/>
      <c r="AE840" s="166"/>
      <c r="AF840" s="166"/>
      <c r="AG840" s="166"/>
    </row>
    <row r="841" spans="1:33">
      <c r="A841" s="166"/>
      <c r="B841" s="498"/>
      <c r="C841" s="498"/>
      <c r="D841" s="498"/>
      <c r="E841" s="498"/>
      <c r="F841" s="498"/>
      <c r="G841" s="166"/>
      <c r="H841" s="500"/>
      <c r="I841" s="501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  <c r="AA841" s="166"/>
      <c r="AB841" s="166"/>
      <c r="AC841" s="166"/>
      <c r="AD841" s="166"/>
      <c r="AE841" s="166"/>
      <c r="AF841" s="166"/>
      <c r="AG841" s="166"/>
    </row>
    <row r="842" spans="1:33">
      <c r="A842" s="166"/>
      <c r="B842" s="498"/>
      <c r="C842" s="498"/>
      <c r="D842" s="498"/>
      <c r="E842" s="498"/>
      <c r="F842" s="498"/>
      <c r="G842" s="166"/>
      <c r="H842" s="500"/>
      <c r="I842" s="501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  <c r="AA842" s="166"/>
      <c r="AB842" s="166"/>
      <c r="AC842" s="166"/>
      <c r="AD842" s="166"/>
      <c r="AE842" s="166"/>
      <c r="AF842" s="166"/>
      <c r="AG842" s="166"/>
    </row>
    <row r="843" spans="1:33">
      <c r="A843" s="166"/>
      <c r="B843" s="498"/>
      <c r="C843" s="498"/>
      <c r="D843" s="498"/>
      <c r="E843" s="498"/>
      <c r="F843" s="498"/>
      <c r="G843" s="166"/>
      <c r="H843" s="500"/>
      <c r="I843" s="501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  <c r="AA843" s="166"/>
      <c r="AB843" s="166"/>
      <c r="AC843" s="166"/>
      <c r="AD843" s="166"/>
      <c r="AE843" s="166"/>
      <c r="AF843" s="166"/>
      <c r="AG843" s="166"/>
    </row>
    <row r="844" spans="1:33">
      <c r="A844" s="166"/>
      <c r="B844" s="498"/>
      <c r="C844" s="498"/>
      <c r="D844" s="498"/>
      <c r="E844" s="498"/>
      <c r="F844" s="498"/>
      <c r="G844" s="166"/>
      <c r="H844" s="500"/>
      <c r="I844" s="501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  <c r="AA844" s="166"/>
      <c r="AB844" s="166"/>
      <c r="AC844" s="166"/>
      <c r="AD844" s="166"/>
      <c r="AE844" s="166"/>
      <c r="AF844" s="166"/>
      <c r="AG844" s="166"/>
    </row>
    <row r="845" spans="1:33">
      <c r="A845" s="166"/>
      <c r="B845" s="498"/>
      <c r="C845" s="498"/>
      <c r="D845" s="498"/>
      <c r="E845" s="498"/>
      <c r="F845" s="498"/>
      <c r="G845" s="166"/>
      <c r="H845" s="500"/>
      <c r="I845" s="501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  <c r="AA845" s="166"/>
      <c r="AB845" s="166"/>
      <c r="AC845" s="166"/>
      <c r="AD845" s="166"/>
      <c r="AE845" s="166"/>
      <c r="AF845" s="166"/>
      <c r="AG845" s="166"/>
    </row>
    <row r="846" spans="1:33">
      <c r="A846" s="166"/>
      <c r="B846" s="498"/>
      <c r="C846" s="498"/>
      <c r="D846" s="498"/>
      <c r="E846" s="498"/>
      <c r="F846" s="498"/>
      <c r="G846" s="166"/>
      <c r="H846" s="500"/>
      <c r="I846" s="501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  <c r="AA846" s="166"/>
      <c r="AB846" s="166"/>
      <c r="AC846" s="166"/>
      <c r="AD846" s="166"/>
      <c r="AE846" s="166"/>
      <c r="AF846" s="166"/>
      <c r="AG846" s="166"/>
    </row>
    <row r="847" spans="1:33">
      <c r="A847" s="166"/>
      <c r="B847" s="498"/>
      <c r="C847" s="498"/>
      <c r="D847" s="498"/>
      <c r="E847" s="498"/>
      <c r="F847" s="498"/>
      <c r="G847" s="166"/>
      <c r="H847" s="500"/>
      <c r="I847" s="501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  <c r="AA847" s="166"/>
      <c r="AB847" s="166"/>
      <c r="AC847" s="166"/>
      <c r="AD847" s="166"/>
      <c r="AE847" s="166"/>
      <c r="AF847" s="166"/>
      <c r="AG847" s="166"/>
    </row>
    <row r="848" spans="1:33">
      <c r="A848" s="166"/>
      <c r="B848" s="498"/>
      <c r="C848" s="498"/>
      <c r="D848" s="498"/>
      <c r="E848" s="498"/>
      <c r="F848" s="498"/>
      <c r="G848" s="166"/>
      <c r="H848" s="500"/>
      <c r="I848" s="501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  <c r="AA848" s="166"/>
      <c r="AB848" s="166"/>
      <c r="AC848" s="166"/>
      <c r="AD848" s="166"/>
      <c r="AE848" s="166"/>
      <c r="AF848" s="166"/>
      <c r="AG848" s="166"/>
    </row>
    <row r="849" spans="1:33">
      <c r="A849" s="166"/>
      <c r="B849" s="498"/>
      <c r="C849" s="498"/>
      <c r="D849" s="498"/>
      <c r="E849" s="498"/>
      <c r="F849" s="498"/>
      <c r="G849" s="166"/>
      <c r="H849" s="500"/>
      <c r="I849" s="501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  <c r="AA849" s="166"/>
      <c r="AB849" s="166"/>
      <c r="AC849" s="166"/>
      <c r="AD849" s="166"/>
      <c r="AE849" s="166"/>
      <c r="AF849" s="166"/>
      <c r="AG849" s="166"/>
    </row>
    <row r="850" spans="1:33">
      <c r="A850" s="166"/>
      <c r="B850" s="498"/>
      <c r="C850" s="498"/>
      <c r="D850" s="498"/>
      <c r="E850" s="498"/>
      <c r="F850" s="498"/>
      <c r="G850" s="166"/>
      <c r="H850" s="500"/>
      <c r="I850" s="501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  <c r="AA850" s="166"/>
      <c r="AB850" s="166"/>
      <c r="AC850" s="166"/>
      <c r="AD850" s="166"/>
      <c r="AE850" s="166"/>
      <c r="AF850" s="166"/>
      <c r="AG850" s="166"/>
    </row>
    <row r="851" spans="1:33">
      <c r="A851" s="166"/>
      <c r="B851" s="498"/>
      <c r="C851" s="498"/>
      <c r="D851" s="498"/>
      <c r="E851" s="498"/>
      <c r="F851" s="498"/>
      <c r="G851" s="166"/>
      <c r="H851" s="500"/>
      <c r="I851" s="501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  <c r="AA851" s="166"/>
      <c r="AB851" s="166"/>
      <c r="AC851" s="166"/>
      <c r="AD851" s="166"/>
      <c r="AE851" s="166"/>
      <c r="AF851" s="166"/>
      <c r="AG851" s="166"/>
    </row>
    <row r="852" spans="1:33">
      <c r="A852" s="166"/>
      <c r="B852" s="498"/>
      <c r="C852" s="498"/>
      <c r="D852" s="498"/>
      <c r="E852" s="498"/>
      <c r="F852" s="498"/>
      <c r="G852" s="166"/>
      <c r="H852" s="500"/>
      <c r="I852" s="501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  <c r="AA852" s="166"/>
      <c r="AB852" s="166"/>
      <c r="AC852" s="166"/>
      <c r="AD852" s="166"/>
      <c r="AE852" s="166"/>
      <c r="AF852" s="166"/>
      <c r="AG852" s="166"/>
    </row>
    <row r="853" spans="1:33">
      <c r="A853" s="166"/>
      <c r="B853" s="498"/>
      <c r="C853" s="498"/>
      <c r="D853" s="498"/>
      <c r="E853" s="498"/>
      <c r="F853" s="498"/>
      <c r="G853" s="166"/>
      <c r="H853" s="500"/>
      <c r="I853" s="501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  <c r="AA853" s="166"/>
      <c r="AB853" s="166"/>
      <c r="AC853" s="166"/>
      <c r="AD853" s="166"/>
      <c r="AE853" s="166"/>
      <c r="AF853" s="166"/>
      <c r="AG853" s="166"/>
    </row>
    <row r="854" spans="1:33">
      <c r="A854" s="166"/>
      <c r="B854" s="498"/>
      <c r="C854" s="498"/>
      <c r="D854" s="498"/>
      <c r="E854" s="498"/>
      <c r="F854" s="498"/>
      <c r="G854" s="166"/>
      <c r="H854" s="500"/>
      <c r="I854" s="501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  <c r="AA854" s="166"/>
      <c r="AB854" s="166"/>
      <c r="AC854" s="166"/>
      <c r="AD854" s="166"/>
      <c r="AE854" s="166"/>
      <c r="AF854" s="166"/>
      <c r="AG854" s="166"/>
    </row>
    <row r="855" spans="1:33">
      <c r="A855" s="166"/>
      <c r="B855" s="498"/>
      <c r="C855" s="498"/>
      <c r="D855" s="498"/>
      <c r="E855" s="498"/>
      <c r="F855" s="498"/>
      <c r="G855" s="166"/>
      <c r="H855" s="500"/>
      <c r="I855" s="501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  <c r="AA855" s="166"/>
      <c r="AB855" s="166"/>
      <c r="AC855" s="166"/>
      <c r="AD855" s="166"/>
      <c r="AE855" s="166"/>
      <c r="AF855" s="166"/>
      <c r="AG855" s="166"/>
    </row>
    <row r="856" spans="1:33">
      <c r="A856" s="166"/>
      <c r="B856" s="498"/>
      <c r="C856" s="498"/>
      <c r="D856" s="498"/>
      <c r="E856" s="498"/>
      <c r="F856" s="498"/>
      <c r="G856" s="166"/>
      <c r="H856" s="500"/>
      <c r="I856" s="501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  <c r="AA856" s="166"/>
      <c r="AB856" s="166"/>
      <c r="AC856" s="166"/>
      <c r="AD856" s="166"/>
      <c r="AE856" s="166"/>
      <c r="AF856" s="166"/>
      <c r="AG856" s="166"/>
    </row>
    <row r="857" spans="1:33">
      <c r="A857" s="166"/>
      <c r="B857" s="498"/>
      <c r="C857" s="498"/>
      <c r="D857" s="498"/>
      <c r="E857" s="498"/>
      <c r="F857" s="498"/>
      <c r="G857" s="166"/>
      <c r="H857" s="500"/>
      <c r="I857" s="501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  <c r="AA857" s="166"/>
      <c r="AB857" s="166"/>
      <c r="AC857" s="166"/>
      <c r="AD857" s="166"/>
      <c r="AE857" s="166"/>
      <c r="AF857" s="166"/>
      <c r="AG857" s="166"/>
    </row>
    <row r="858" spans="1:33">
      <c r="A858" s="166"/>
      <c r="B858" s="498"/>
      <c r="C858" s="498"/>
      <c r="D858" s="498"/>
      <c r="E858" s="498"/>
      <c r="F858" s="498"/>
      <c r="G858" s="166"/>
      <c r="H858" s="500"/>
      <c r="I858" s="501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  <c r="AA858" s="166"/>
      <c r="AB858" s="166"/>
      <c r="AC858" s="166"/>
      <c r="AD858" s="166"/>
      <c r="AE858" s="166"/>
      <c r="AF858" s="166"/>
      <c r="AG858" s="166"/>
    </row>
    <row r="859" spans="1:33">
      <c r="A859" s="166"/>
      <c r="B859" s="498"/>
      <c r="C859" s="498"/>
      <c r="D859" s="498"/>
      <c r="E859" s="498"/>
      <c r="F859" s="498"/>
      <c r="G859" s="166"/>
      <c r="H859" s="500"/>
      <c r="I859" s="501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  <c r="AA859" s="166"/>
      <c r="AB859" s="166"/>
      <c r="AC859" s="166"/>
      <c r="AD859" s="166"/>
      <c r="AE859" s="166"/>
      <c r="AF859" s="166"/>
      <c r="AG859" s="166"/>
    </row>
    <row r="860" spans="1:33">
      <c r="A860" s="166"/>
      <c r="B860" s="498"/>
      <c r="C860" s="498"/>
      <c r="D860" s="498"/>
      <c r="E860" s="498"/>
      <c r="F860" s="498"/>
      <c r="G860" s="166"/>
      <c r="H860" s="500"/>
      <c r="I860" s="501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  <c r="AA860" s="166"/>
      <c r="AB860" s="166"/>
      <c r="AC860" s="166"/>
      <c r="AD860" s="166"/>
      <c r="AE860" s="166"/>
      <c r="AF860" s="166"/>
      <c r="AG860" s="166"/>
    </row>
    <row r="861" spans="1:33">
      <c r="A861" s="166"/>
      <c r="B861" s="498"/>
      <c r="C861" s="498"/>
      <c r="D861" s="498"/>
      <c r="E861" s="498"/>
      <c r="F861" s="498"/>
      <c r="G861" s="166"/>
      <c r="H861" s="500"/>
      <c r="I861" s="501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  <c r="AA861" s="166"/>
      <c r="AB861" s="166"/>
      <c r="AC861" s="166"/>
      <c r="AD861" s="166"/>
      <c r="AE861" s="166"/>
      <c r="AF861" s="166"/>
      <c r="AG861" s="166"/>
    </row>
    <row r="862" spans="1:33">
      <c r="A862" s="166"/>
      <c r="B862" s="498"/>
      <c r="C862" s="498"/>
      <c r="D862" s="498"/>
      <c r="E862" s="498"/>
      <c r="F862" s="498"/>
      <c r="G862" s="166"/>
      <c r="H862" s="500"/>
      <c r="I862" s="501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  <c r="AA862" s="166"/>
      <c r="AB862" s="166"/>
      <c r="AC862" s="166"/>
      <c r="AD862" s="166"/>
      <c r="AE862" s="166"/>
      <c r="AF862" s="166"/>
      <c r="AG862" s="166"/>
    </row>
    <row r="863" spans="1:33">
      <c r="A863" s="166"/>
      <c r="B863" s="498"/>
      <c r="C863" s="498"/>
      <c r="D863" s="498"/>
      <c r="E863" s="498"/>
      <c r="F863" s="498"/>
      <c r="G863" s="166"/>
      <c r="H863" s="500"/>
      <c r="I863" s="501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  <c r="AA863" s="166"/>
      <c r="AB863" s="166"/>
      <c r="AC863" s="166"/>
      <c r="AD863" s="166"/>
      <c r="AE863" s="166"/>
      <c r="AF863" s="166"/>
      <c r="AG863" s="166"/>
    </row>
    <row r="864" spans="1:33">
      <c r="A864" s="166"/>
      <c r="B864" s="498"/>
      <c r="C864" s="498"/>
      <c r="D864" s="498"/>
      <c r="E864" s="498"/>
      <c r="F864" s="498"/>
      <c r="G864" s="166"/>
      <c r="H864" s="500"/>
      <c r="I864" s="501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  <c r="AA864" s="166"/>
      <c r="AB864" s="166"/>
      <c r="AC864" s="166"/>
      <c r="AD864" s="166"/>
      <c r="AE864" s="166"/>
      <c r="AF864" s="166"/>
      <c r="AG864" s="166"/>
    </row>
    <row r="865" spans="1:33">
      <c r="A865" s="166"/>
      <c r="B865" s="498"/>
      <c r="C865" s="498"/>
      <c r="D865" s="498"/>
      <c r="E865" s="498"/>
      <c r="F865" s="498"/>
      <c r="G865" s="166"/>
      <c r="H865" s="500"/>
      <c r="I865" s="501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  <c r="AA865" s="166"/>
      <c r="AB865" s="166"/>
      <c r="AC865" s="166"/>
      <c r="AD865" s="166"/>
      <c r="AE865" s="166"/>
      <c r="AF865" s="166"/>
      <c r="AG865" s="166"/>
    </row>
    <row r="866" spans="1:33">
      <c r="A866" s="166"/>
      <c r="B866" s="498"/>
      <c r="C866" s="498"/>
      <c r="D866" s="498"/>
      <c r="E866" s="498"/>
      <c r="F866" s="498"/>
      <c r="G866" s="166"/>
      <c r="H866" s="500"/>
      <c r="I866" s="501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  <c r="AA866" s="166"/>
      <c r="AB866" s="166"/>
      <c r="AC866" s="166"/>
      <c r="AD866" s="166"/>
      <c r="AE866" s="166"/>
      <c r="AF866" s="166"/>
      <c r="AG866" s="166"/>
    </row>
    <row r="867" spans="1:33">
      <c r="A867" s="166"/>
      <c r="B867" s="498"/>
      <c r="C867" s="498"/>
      <c r="D867" s="498"/>
      <c r="E867" s="498"/>
      <c r="F867" s="498"/>
      <c r="G867" s="166"/>
      <c r="H867" s="500"/>
      <c r="I867" s="501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  <c r="AA867" s="166"/>
      <c r="AB867" s="166"/>
      <c r="AC867" s="166"/>
      <c r="AD867" s="166"/>
      <c r="AE867" s="166"/>
      <c r="AF867" s="166"/>
      <c r="AG867" s="166"/>
    </row>
    <row r="868" spans="1:33">
      <c r="A868" s="166"/>
      <c r="B868" s="498"/>
      <c r="C868" s="498"/>
      <c r="D868" s="498"/>
      <c r="E868" s="498"/>
      <c r="F868" s="498"/>
      <c r="G868" s="166"/>
      <c r="H868" s="500"/>
      <c r="I868" s="501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  <c r="AA868" s="166"/>
      <c r="AB868" s="166"/>
      <c r="AC868" s="166"/>
      <c r="AD868" s="166"/>
      <c r="AE868" s="166"/>
      <c r="AF868" s="166"/>
      <c r="AG868" s="166"/>
    </row>
    <row r="869" spans="1:33">
      <c r="A869" s="166"/>
      <c r="B869" s="498"/>
      <c r="C869" s="498"/>
      <c r="D869" s="498"/>
      <c r="E869" s="498"/>
      <c r="F869" s="498"/>
      <c r="G869" s="166"/>
      <c r="H869" s="500"/>
      <c r="I869" s="501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  <c r="AA869" s="166"/>
      <c r="AB869" s="166"/>
      <c r="AC869" s="166"/>
      <c r="AD869" s="166"/>
      <c r="AE869" s="166"/>
      <c r="AF869" s="166"/>
      <c r="AG869" s="166"/>
    </row>
    <row r="870" spans="1:33">
      <c r="A870" s="166"/>
      <c r="B870" s="498"/>
      <c r="C870" s="498"/>
      <c r="D870" s="498"/>
      <c r="E870" s="498"/>
      <c r="F870" s="498"/>
      <c r="G870" s="166"/>
      <c r="H870" s="500"/>
      <c r="I870" s="501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  <c r="AA870" s="166"/>
      <c r="AB870" s="166"/>
      <c r="AC870" s="166"/>
      <c r="AD870" s="166"/>
      <c r="AE870" s="166"/>
      <c r="AF870" s="166"/>
      <c r="AG870" s="166"/>
    </row>
    <row r="871" spans="1:33">
      <c r="A871" s="166"/>
      <c r="B871" s="498"/>
      <c r="C871" s="498"/>
      <c r="D871" s="498"/>
      <c r="E871" s="498"/>
      <c r="F871" s="498"/>
      <c r="G871" s="166"/>
      <c r="H871" s="500"/>
      <c r="I871" s="501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  <c r="AA871" s="166"/>
      <c r="AB871" s="166"/>
      <c r="AC871" s="166"/>
      <c r="AD871" s="166"/>
      <c r="AE871" s="166"/>
      <c r="AF871" s="166"/>
      <c r="AG871" s="166"/>
    </row>
    <row r="872" spans="1:33">
      <c r="A872" s="166"/>
      <c r="B872" s="498"/>
      <c r="C872" s="498"/>
      <c r="D872" s="498"/>
      <c r="E872" s="498"/>
      <c r="F872" s="498"/>
      <c r="G872" s="166"/>
      <c r="H872" s="500"/>
      <c r="I872" s="501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  <c r="AA872" s="166"/>
      <c r="AB872" s="166"/>
      <c r="AC872" s="166"/>
      <c r="AD872" s="166"/>
      <c r="AE872" s="166"/>
      <c r="AF872" s="166"/>
      <c r="AG872" s="166"/>
    </row>
    <row r="873" spans="1:33">
      <c r="A873" s="166"/>
      <c r="B873" s="498"/>
      <c r="C873" s="498"/>
      <c r="D873" s="498"/>
      <c r="E873" s="498"/>
      <c r="F873" s="498"/>
      <c r="G873" s="166"/>
      <c r="H873" s="500"/>
      <c r="I873" s="501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  <c r="AA873" s="166"/>
      <c r="AB873" s="166"/>
      <c r="AC873" s="166"/>
      <c r="AD873" s="166"/>
      <c r="AE873" s="166"/>
      <c r="AF873" s="166"/>
      <c r="AG873" s="166"/>
    </row>
    <row r="874" spans="1:33">
      <c r="A874" s="166"/>
      <c r="B874" s="498"/>
      <c r="C874" s="498"/>
      <c r="D874" s="498"/>
      <c r="E874" s="498"/>
      <c r="F874" s="498"/>
      <c r="G874" s="166"/>
      <c r="H874" s="500"/>
      <c r="I874" s="501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  <c r="AA874" s="166"/>
      <c r="AB874" s="166"/>
      <c r="AC874" s="166"/>
      <c r="AD874" s="166"/>
      <c r="AE874" s="166"/>
      <c r="AF874" s="166"/>
      <c r="AG874" s="166"/>
    </row>
    <row r="875" spans="1:33">
      <c r="A875" s="166"/>
      <c r="B875" s="498"/>
      <c r="C875" s="498"/>
      <c r="D875" s="498"/>
      <c r="E875" s="498"/>
      <c r="F875" s="498"/>
      <c r="G875" s="166"/>
      <c r="H875" s="500"/>
      <c r="I875" s="501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  <c r="AA875" s="166"/>
      <c r="AB875" s="166"/>
      <c r="AC875" s="166"/>
      <c r="AD875" s="166"/>
      <c r="AE875" s="166"/>
      <c r="AF875" s="166"/>
      <c r="AG875" s="166"/>
    </row>
    <row r="876" spans="1:33">
      <c r="A876" s="166"/>
      <c r="B876" s="498"/>
      <c r="C876" s="498"/>
      <c r="D876" s="498"/>
      <c r="E876" s="498"/>
      <c r="F876" s="498"/>
      <c r="G876" s="166"/>
      <c r="H876" s="500"/>
      <c r="I876" s="501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  <c r="AA876" s="166"/>
      <c r="AB876" s="166"/>
      <c r="AC876" s="166"/>
      <c r="AD876" s="166"/>
      <c r="AE876" s="166"/>
      <c r="AF876" s="166"/>
      <c r="AG876" s="166"/>
    </row>
    <row r="877" spans="1:33">
      <c r="A877" s="166"/>
      <c r="B877" s="498"/>
      <c r="C877" s="498"/>
      <c r="D877" s="498"/>
      <c r="E877" s="498"/>
      <c r="F877" s="498"/>
      <c r="G877" s="166"/>
      <c r="H877" s="500"/>
      <c r="I877" s="501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  <c r="AA877" s="166"/>
      <c r="AB877" s="166"/>
      <c r="AC877" s="166"/>
      <c r="AD877" s="166"/>
      <c r="AE877" s="166"/>
      <c r="AF877" s="166"/>
      <c r="AG877" s="166"/>
    </row>
    <row r="878" spans="1:33">
      <c r="A878" s="166"/>
      <c r="B878" s="498"/>
      <c r="C878" s="498"/>
      <c r="D878" s="498"/>
      <c r="E878" s="498"/>
      <c r="F878" s="498"/>
      <c r="G878" s="166"/>
      <c r="H878" s="500"/>
      <c r="I878" s="501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  <c r="AA878" s="166"/>
      <c r="AB878" s="166"/>
      <c r="AC878" s="166"/>
      <c r="AD878" s="166"/>
      <c r="AE878" s="166"/>
      <c r="AF878" s="166"/>
      <c r="AG878" s="166"/>
    </row>
    <row r="879" spans="1:33">
      <c r="A879" s="166"/>
      <c r="B879" s="498"/>
      <c r="C879" s="498"/>
      <c r="D879" s="498"/>
      <c r="E879" s="498"/>
      <c r="F879" s="498"/>
      <c r="G879" s="166"/>
      <c r="H879" s="500"/>
      <c r="I879" s="501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  <c r="AA879" s="166"/>
      <c r="AB879" s="166"/>
      <c r="AC879" s="166"/>
      <c r="AD879" s="166"/>
      <c r="AE879" s="166"/>
      <c r="AF879" s="166"/>
      <c r="AG879" s="166"/>
    </row>
    <row r="880" spans="1:33">
      <c r="A880" s="166"/>
      <c r="B880" s="498"/>
      <c r="C880" s="498"/>
      <c r="D880" s="498"/>
      <c r="E880" s="498"/>
      <c r="F880" s="498"/>
      <c r="G880" s="166"/>
      <c r="H880" s="500"/>
      <c r="I880" s="501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  <c r="AA880" s="166"/>
      <c r="AB880" s="166"/>
      <c r="AC880" s="166"/>
      <c r="AD880" s="166"/>
      <c r="AE880" s="166"/>
      <c r="AF880" s="166"/>
      <c r="AG880" s="166"/>
    </row>
    <row r="881" spans="1:33">
      <c r="A881" s="166"/>
      <c r="B881" s="498"/>
      <c r="C881" s="498"/>
      <c r="D881" s="498"/>
      <c r="E881" s="498"/>
      <c r="F881" s="498"/>
      <c r="G881" s="166"/>
      <c r="H881" s="500"/>
      <c r="I881" s="501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  <c r="AA881" s="166"/>
      <c r="AB881" s="166"/>
      <c r="AC881" s="166"/>
      <c r="AD881" s="166"/>
      <c r="AE881" s="166"/>
      <c r="AF881" s="166"/>
      <c r="AG881" s="166"/>
    </row>
    <row r="882" spans="1:33">
      <c r="A882" s="166"/>
      <c r="B882" s="498"/>
      <c r="C882" s="498"/>
      <c r="D882" s="498"/>
      <c r="E882" s="498"/>
      <c r="F882" s="498"/>
      <c r="G882" s="166"/>
      <c r="H882" s="500"/>
      <c r="I882" s="501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  <c r="AA882" s="166"/>
      <c r="AB882" s="166"/>
      <c r="AC882" s="166"/>
      <c r="AD882" s="166"/>
      <c r="AE882" s="166"/>
      <c r="AF882" s="166"/>
      <c r="AG882" s="166"/>
    </row>
    <row r="883" spans="1:33">
      <c r="A883" s="166"/>
      <c r="B883" s="498"/>
      <c r="C883" s="498"/>
      <c r="D883" s="498"/>
      <c r="E883" s="498"/>
      <c r="F883" s="498"/>
      <c r="G883" s="166"/>
      <c r="H883" s="500"/>
      <c r="I883" s="501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  <c r="AA883" s="166"/>
      <c r="AB883" s="166"/>
      <c r="AC883" s="166"/>
      <c r="AD883" s="166"/>
      <c r="AE883" s="166"/>
      <c r="AF883" s="166"/>
      <c r="AG883" s="166"/>
    </row>
    <row r="884" spans="1:33">
      <c r="A884" s="166"/>
      <c r="B884" s="498"/>
      <c r="C884" s="498"/>
      <c r="D884" s="498"/>
      <c r="E884" s="498"/>
      <c r="F884" s="498"/>
      <c r="G884" s="166"/>
      <c r="H884" s="500"/>
      <c r="I884" s="501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  <c r="AA884" s="166"/>
      <c r="AB884" s="166"/>
      <c r="AC884" s="166"/>
      <c r="AD884" s="166"/>
      <c r="AE884" s="166"/>
      <c r="AF884" s="166"/>
      <c r="AG884" s="166"/>
    </row>
    <row r="885" spans="1:33">
      <c r="A885" s="166"/>
      <c r="B885" s="498"/>
      <c r="C885" s="498"/>
      <c r="D885" s="498"/>
      <c r="E885" s="498"/>
      <c r="F885" s="498"/>
      <c r="G885" s="166"/>
      <c r="H885" s="500"/>
      <c r="I885" s="501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  <c r="AA885" s="166"/>
      <c r="AB885" s="166"/>
      <c r="AC885" s="166"/>
      <c r="AD885" s="166"/>
      <c r="AE885" s="166"/>
      <c r="AF885" s="166"/>
      <c r="AG885" s="166"/>
    </row>
    <row r="886" spans="1:33">
      <c r="A886" s="166"/>
      <c r="B886" s="498"/>
      <c r="C886" s="498"/>
      <c r="D886" s="498"/>
      <c r="E886" s="498"/>
      <c r="F886" s="498"/>
      <c r="G886" s="166"/>
      <c r="H886" s="500"/>
      <c r="I886" s="501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  <c r="AA886" s="166"/>
      <c r="AB886" s="166"/>
      <c r="AC886" s="166"/>
      <c r="AD886" s="166"/>
      <c r="AE886" s="166"/>
      <c r="AF886" s="166"/>
      <c r="AG886" s="166"/>
    </row>
    <row r="887" spans="1:33">
      <c r="A887" s="166"/>
      <c r="B887" s="498"/>
      <c r="C887" s="498"/>
      <c r="D887" s="498"/>
      <c r="E887" s="498"/>
      <c r="F887" s="498"/>
      <c r="G887" s="166"/>
      <c r="H887" s="500"/>
      <c r="I887" s="501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  <c r="AA887" s="166"/>
      <c r="AB887" s="166"/>
      <c r="AC887" s="166"/>
      <c r="AD887" s="166"/>
      <c r="AE887" s="166"/>
      <c r="AF887" s="166"/>
      <c r="AG887" s="166"/>
    </row>
    <row r="888" spans="1:33">
      <c r="A888" s="166"/>
      <c r="B888" s="498"/>
      <c r="C888" s="498"/>
      <c r="D888" s="498"/>
      <c r="E888" s="498"/>
      <c r="F888" s="498"/>
      <c r="G888" s="166"/>
      <c r="H888" s="500"/>
      <c r="I888" s="501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  <c r="AA888" s="166"/>
      <c r="AB888" s="166"/>
      <c r="AC888" s="166"/>
      <c r="AD888" s="166"/>
      <c r="AE888" s="166"/>
      <c r="AF888" s="166"/>
      <c r="AG888" s="166"/>
    </row>
    <row r="889" spans="1:33">
      <c r="A889" s="166"/>
      <c r="B889" s="498"/>
      <c r="C889" s="498"/>
      <c r="D889" s="498"/>
      <c r="E889" s="498"/>
      <c r="F889" s="498"/>
      <c r="G889" s="166"/>
      <c r="H889" s="500"/>
      <c r="I889" s="501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  <c r="AA889" s="166"/>
      <c r="AB889" s="166"/>
      <c r="AC889" s="166"/>
      <c r="AD889" s="166"/>
      <c r="AE889" s="166"/>
      <c r="AF889" s="166"/>
      <c r="AG889" s="166"/>
    </row>
    <row r="890" spans="1:33">
      <c r="A890" s="166"/>
      <c r="B890" s="498"/>
      <c r="C890" s="498"/>
      <c r="D890" s="498"/>
      <c r="E890" s="498"/>
      <c r="F890" s="498"/>
      <c r="G890" s="166"/>
      <c r="H890" s="500"/>
      <c r="I890" s="501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  <c r="AA890" s="166"/>
      <c r="AB890" s="166"/>
      <c r="AC890" s="166"/>
      <c r="AD890" s="166"/>
      <c r="AE890" s="166"/>
      <c r="AF890" s="166"/>
      <c r="AG890" s="166"/>
    </row>
    <row r="891" spans="1:33">
      <c r="A891" s="166"/>
      <c r="B891" s="498"/>
      <c r="C891" s="498"/>
      <c r="D891" s="498"/>
      <c r="E891" s="498"/>
      <c r="F891" s="498"/>
      <c r="G891" s="166"/>
      <c r="H891" s="500"/>
      <c r="I891" s="501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  <c r="AA891" s="166"/>
      <c r="AB891" s="166"/>
      <c r="AC891" s="166"/>
      <c r="AD891" s="166"/>
      <c r="AE891" s="166"/>
      <c r="AF891" s="166"/>
      <c r="AG891" s="166"/>
    </row>
    <row r="892" spans="1:33">
      <c r="A892" s="166"/>
      <c r="B892" s="498"/>
      <c r="C892" s="498"/>
      <c r="D892" s="498"/>
      <c r="E892" s="498"/>
      <c r="F892" s="498"/>
      <c r="G892" s="166"/>
      <c r="H892" s="500"/>
      <c r="I892" s="501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  <c r="AA892" s="166"/>
      <c r="AB892" s="166"/>
      <c r="AC892" s="166"/>
      <c r="AD892" s="166"/>
      <c r="AE892" s="166"/>
      <c r="AF892" s="166"/>
      <c r="AG892" s="166"/>
    </row>
    <row r="893" spans="1:33">
      <c r="A893" s="166"/>
      <c r="B893" s="498"/>
      <c r="C893" s="498"/>
      <c r="D893" s="498"/>
      <c r="E893" s="498"/>
      <c r="F893" s="498"/>
      <c r="G893" s="166"/>
      <c r="H893" s="500"/>
      <c r="I893" s="501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  <c r="AA893" s="166"/>
      <c r="AB893" s="166"/>
      <c r="AC893" s="166"/>
      <c r="AD893" s="166"/>
      <c r="AE893" s="166"/>
      <c r="AF893" s="166"/>
      <c r="AG893" s="166"/>
    </row>
    <row r="894" spans="1:33">
      <c r="A894" s="166"/>
      <c r="B894" s="498"/>
      <c r="C894" s="498"/>
      <c r="D894" s="498"/>
      <c r="E894" s="498"/>
      <c r="F894" s="498"/>
      <c r="G894" s="166"/>
      <c r="H894" s="500"/>
      <c r="I894" s="501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  <c r="AA894" s="166"/>
      <c r="AB894" s="166"/>
      <c r="AC894" s="166"/>
      <c r="AD894" s="166"/>
      <c r="AE894" s="166"/>
      <c r="AF894" s="166"/>
      <c r="AG894" s="166"/>
    </row>
    <row r="895" spans="1:33">
      <c r="A895" s="166"/>
      <c r="B895" s="498"/>
      <c r="C895" s="498"/>
      <c r="D895" s="498"/>
      <c r="E895" s="498"/>
      <c r="F895" s="498"/>
      <c r="G895" s="166"/>
      <c r="H895" s="500"/>
      <c r="I895" s="501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  <c r="AA895" s="166"/>
      <c r="AB895" s="166"/>
      <c r="AC895" s="166"/>
      <c r="AD895" s="166"/>
      <c r="AE895" s="166"/>
      <c r="AF895" s="166"/>
      <c r="AG895" s="166"/>
    </row>
    <row r="896" spans="1:33">
      <c r="A896" s="166"/>
      <c r="B896" s="498"/>
      <c r="C896" s="498"/>
      <c r="D896" s="498"/>
      <c r="E896" s="498"/>
      <c r="F896" s="498"/>
      <c r="G896" s="166"/>
      <c r="H896" s="500"/>
      <c r="I896" s="501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  <c r="AA896" s="166"/>
      <c r="AB896" s="166"/>
      <c r="AC896" s="166"/>
      <c r="AD896" s="166"/>
      <c r="AE896" s="166"/>
      <c r="AF896" s="166"/>
      <c r="AG896" s="166"/>
    </row>
    <row r="897" spans="1:33">
      <c r="A897" s="166"/>
      <c r="B897" s="498"/>
      <c r="C897" s="498"/>
      <c r="D897" s="498"/>
      <c r="E897" s="498"/>
      <c r="F897" s="498"/>
      <c r="G897" s="166"/>
      <c r="H897" s="500"/>
      <c r="I897" s="501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  <c r="AA897" s="166"/>
      <c r="AB897" s="166"/>
      <c r="AC897" s="166"/>
      <c r="AD897" s="166"/>
      <c r="AE897" s="166"/>
      <c r="AF897" s="166"/>
      <c r="AG897" s="166"/>
    </row>
    <row r="898" spans="1:33">
      <c r="A898" s="166"/>
      <c r="B898" s="498"/>
      <c r="C898" s="498"/>
      <c r="D898" s="498"/>
      <c r="E898" s="498"/>
      <c r="F898" s="498"/>
      <c r="G898" s="166"/>
      <c r="H898" s="500"/>
      <c r="I898" s="501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  <c r="AA898" s="166"/>
      <c r="AB898" s="166"/>
      <c r="AC898" s="166"/>
      <c r="AD898" s="166"/>
      <c r="AE898" s="166"/>
      <c r="AF898" s="166"/>
      <c r="AG898" s="166"/>
    </row>
    <row r="899" spans="1:33">
      <c r="A899" s="166"/>
      <c r="B899" s="498"/>
      <c r="C899" s="498"/>
      <c r="D899" s="498"/>
      <c r="E899" s="498"/>
      <c r="F899" s="498"/>
      <c r="G899" s="166"/>
      <c r="H899" s="500"/>
      <c r="I899" s="501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  <c r="AA899" s="166"/>
      <c r="AB899" s="166"/>
      <c r="AC899" s="166"/>
      <c r="AD899" s="166"/>
      <c r="AE899" s="166"/>
      <c r="AF899" s="166"/>
      <c r="AG899" s="166"/>
    </row>
    <row r="900" spans="1:33">
      <c r="A900" s="166"/>
      <c r="B900" s="498"/>
      <c r="C900" s="498"/>
      <c r="D900" s="498"/>
      <c r="E900" s="498"/>
      <c r="F900" s="498"/>
      <c r="G900" s="166"/>
      <c r="H900" s="500"/>
      <c r="I900" s="501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  <c r="AA900" s="166"/>
      <c r="AB900" s="166"/>
      <c r="AC900" s="166"/>
      <c r="AD900" s="166"/>
      <c r="AE900" s="166"/>
      <c r="AF900" s="166"/>
      <c r="AG900" s="166"/>
    </row>
    <row r="901" spans="1:33">
      <c r="A901" s="166"/>
      <c r="B901" s="498"/>
      <c r="C901" s="498"/>
      <c r="D901" s="498"/>
      <c r="E901" s="498"/>
      <c r="F901" s="498"/>
      <c r="G901" s="166"/>
      <c r="H901" s="500"/>
      <c r="I901" s="501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  <c r="AA901" s="166"/>
      <c r="AB901" s="166"/>
      <c r="AC901" s="166"/>
      <c r="AD901" s="166"/>
      <c r="AE901" s="166"/>
      <c r="AF901" s="166"/>
      <c r="AG901" s="166"/>
    </row>
    <row r="902" spans="1:33">
      <c r="A902" s="166"/>
      <c r="B902" s="498"/>
      <c r="C902" s="498"/>
      <c r="D902" s="498"/>
      <c r="E902" s="498"/>
      <c r="F902" s="498"/>
      <c r="G902" s="166"/>
      <c r="H902" s="500"/>
      <c r="I902" s="501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  <c r="AA902" s="166"/>
      <c r="AB902" s="166"/>
      <c r="AC902" s="166"/>
      <c r="AD902" s="166"/>
      <c r="AE902" s="166"/>
      <c r="AF902" s="166"/>
      <c r="AG902" s="166"/>
    </row>
    <row r="903" spans="1:33">
      <c r="A903" s="166"/>
      <c r="B903" s="498"/>
      <c r="C903" s="498"/>
      <c r="D903" s="498"/>
      <c r="E903" s="498"/>
      <c r="F903" s="498"/>
      <c r="G903" s="166"/>
      <c r="H903" s="500"/>
      <c r="I903" s="501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  <c r="AA903" s="166"/>
      <c r="AB903" s="166"/>
      <c r="AC903" s="166"/>
      <c r="AD903" s="166"/>
      <c r="AE903" s="166"/>
      <c r="AF903" s="166"/>
      <c r="AG903" s="166"/>
    </row>
    <row r="904" spans="1:33">
      <c r="A904" s="166"/>
      <c r="B904" s="498"/>
      <c r="C904" s="498"/>
      <c r="D904" s="498"/>
      <c r="E904" s="498"/>
      <c r="F904" s="498"/>
      <c r="G904" s="166"/>
      <c r="H904" s="500"/>
      <c r="I904" s="501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  <c r="AA904" s="166"/>
      <c r="AB904" s="166"/>
      <c r="AC904" s="166"/>
      <c r="AD904" s="166"/>
      <c r="AE904" s="166"/>
      <c r="AF904" s="166"/>
      <c r="AG904" s="166"/>
    </row>
    <row r="905" spans="1:33">
      <c r="A905" s="166"/>
      <c r="B905" s="498"/>
      <c r="C905" s="498"/>
      <c r="D905" s="498"/>
      <c r="E905" s="498"/>
      <c r="F905" s="498"/>
      <c r="G905" s="166"/>
      <c r="H905" s="500"/>
      <c r="I905" s="501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  <c r="AA905" s="166"/>
      <c r="AB905" s="166"/>
      <c r="AC905" s="166"/>
      <c r="AD905" s="166"/>
      <c r="AE905" s="166"/>
      <c r="AF905" s="166"/>
      <c r="AG905" s="166"/>
    </row>
    <row r="906" spans="1:33">
      <c r="A906" s="166"/>
      <c r="B906" s="498"/>
      <c r="C906" s="498"/>
      <c r="D906" s="498"/>
      <c r="E906" s="498"/>
      <c r="F906" s="498"/>
      <c r="G906" s="166"/>
      <c r="H906" s="500"/>
      <c r="I906" s="501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  <c r="AA906" s="166"/>
      <c r="AB906" s="166"/>
      <c r="AC906" s="166"/>
      <c r="AD906" s="166"/>
      <c r="AE906" s="166"/>
      <c r="AF906" s="166"/>
      <c r="AG906" s="166"/>
    </row>
    <row r="907" spans="1:33">
      <c r="A907" s="166"/>
      <c r="B907" s="498"/>
      <c r="C907" s="498"/>
      <c r="D907" s="498"/>
      <c r="E907" s="498"/>
      <c r="F907" s="498"/>
      <c r="G907" s="166"/>
      <c r="H907" s="500"/>
      <c r="I907" s="501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  <c r="AA907" s="166"/>
      <c r="AB907" s="166"/>
      <c r="AC907" s="166"/>
      <c r="AD907" s="166"/>
      <c r="AE907" s="166"/>
      <c r="AF907" s="166"/>
      <c r="AG907" s="166"/>
    </row>
    <row r="908" spans="1:33">
      <c r="A908" s="166"/>
      <c r="B908" s="498"/>
      <c r="C908" s="498"/>
      <c r="D908" s="498"/>
      <c r="E908" s="498"/>
      <c r="F908" s="498"/>
      <c r="G908" s="166"/>
      <c r="H908" s="500"/>
      <c r="I908" s="501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  <c r="AA908" s="166"/>
      <c r="AB908" s="166"/>
      <c r="AC908" s="166"/>
      <c r="AD908" s="166"/>
      <c r="AE908" s="166"/>
      <c r="AF908" s="166"/>
      <c r="AG908" s="166"/>
    </row>
    <row r="909" spans="1:33">
      <c r="A909" s="166"/>
      <c r="B909" s="498"/>
      <c r="C909" s="498"/>
      <c r="D909" s="498"/>
      <c r="E909" s="498"/>
      <c r="F909" s="498"/>
      <c r="G909" s="166"/>
      <c r="H909" s="500"/>
      <c r="I909" s="501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  <c r="AA909" s="166"/>
      <c r="AB909" s="166"/>
      <c r="AC909" s="166"/>
      <c r="AD909" s="166"/>
      <c r="AE909" s="166"/>
      <c r="AF909" s="166"/>
      <c r="AG909" s="166"/>
    </row>
    <row r="910" spans="1:33">
      <c r="A910" s="166"/>
      <c r="B910" s="498"/>
      <c r="C910" s="498"/>
      <c r="D910" s="498"/>
      <c r="E910" s="498"/>
      <c r="F910" s="498"/>
      <c r="G910" s="166"/>
      <c r="H910" s="500"/>
      <c r="I910" s="501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  <c r="AA910" s="166"/>
      <c r="AB910" s="166"/>
      <c r="AC910" s="166"/>
      <c r="AD910" s="166"/>
      <c r="AE910" s="166"/>
      <c r="AF910" s="166"/>
      <c r="AG910" s="166"/>
    </row>
    <row r="911" spans="1:33">
      <c r="A911" s="166"/>
      <c r="B911" s="498"/>
      <c r="C911" s="498"/>
      <c r="D911" s="498"/>
      <c r="E911" s="498"/>
      <c r="F911" s="498"/>
      <c r="G911" s="166"/>
      <c r="H911" s="500"/>
      <c r="I911" s="501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  <c r="AA911" s="166"/>
      <c r="AB911" s="166"/>
      <c r="AC911" s="166"/>
      <c r="AD911" s="166"/>
      <c r="AE911" s="166"/>
      <c r="AF911" s="166"/>
      <c r="AG911" s="166"/>
    </row>
    <row r="912" spans="1:33">
      <c r="A912" s="166"/>
      <c r="B912" s="498"/>
      <c r="C912" s="498"/>
      <c r="D912" s="498"/>
      <c r="E912" s="498"/>
      <c r="F912" s="498"/>
      <c r="G912" s="166"/>
      <c r="H912" s="500"/>
      <c r="I912" s="501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  <c r="AA912" s="166"/>
      <c r="AB912" s="166"/>
      <c r="AC912" s="166"/>
      <c r="AD912" s="166"/>
      <c r="AE912" s="166"/>
      <c r="AF912" s="166"/>
      <c r="AG912" s="166"/>
    </row>
    <row r="913" spans="1:33">
      <c r="A913" s="166"/>
      <c r="B913" s="498"/>
      <c r="C913" s="498"/>
      <c r="D913" s="498"/>
      <c r="E913" s="498"/>
      <c r="F913" s="498"/>
      <c r="G913" s="166"/>
      <c r="H913" s="500"/>
      <c r="I913" s="501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  <c r="AA913" s="166"/>
      <c r="AB913" s="166"/>
      <c r="AC913" s="166"/>
      <c r="AD913" s="166"/>
      <c r="AE913" s="166"/>
      <c r="AF913" s="166"/>
      <c r="AG913" s="166"/>
    </row>
    <row r="914" spans="1:33">
      <c r="A914" s="166"/>
      <c r="B914" s="498"/>
      <c r="C914" s="498"/>
      <c r="D914" s="498"/>
      <c r="E914" s="498"/>
      <c r="F914" s="498"/>
      <c r="G914" s="166"/>
      <c r="H914" s="500"/>
      <c r="I914" s="501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  <c r="AA914" s="166"/>
      <c r="AB914" s="166"/>
      <c r="AC914" s="166"/>
      <c r="AD914" s="166"/>
      <c r="AE914" s="166"/>
      <c r="AF914" s="166"/>
      <c r="AG914" s="166"/>
    </row>
    <row r="915" spans="1:33">
      <c r="A915" s="166"/>
      <c r="B915" s="498"/>
      <c r="C915" s="498"/>
      <c r="D915" s="498"/>
      <c r="E915" s="498"/>
      <c r="F915" s="498"/>
      <c r="G915" s="166"/>
      <c r="H915" s="500"/>
      <c r="I915" s="501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  <c r="AA915" s="166"/>
      <c r="AB915" s="166"/>
      <c r="AC915" s="166"/>
      <c r="AD915" s="166"/>
      <c r="AE915" s="166"/>
      <c r="AF915" s="166"/>
      <c r="AG915" s="166"/>
    </row>
    <row r="916" spans="1:33">
      <c r="A916" s="166"/>
      <c r="B916" s="498"/>
      <c r="C916" s="498"/>
      <c r="D916" s="498"/>
      <c r="E916" s="498"/>
      <c r="F916" s="498"/>
      <c r="G916" s="166"/>
      <c r="H916" s="500"/>
      <c r="I916" s="501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  <c r="AA916" s="166"/>
      <c r="AB916" s="166"/>
      <c r="AC916" s="166"/>
      <c r="AD916" s="166"/>
      <c r="AE916" s="166"/>
      <c r="AF916" s="166"/>
      <c r="AG916" s="166"/>
    </row>
    <row r="917" spans="1:33">
      <c r="A917" s="166"/>
      <c r="B917" s="498"/>
      <c r="C917" s="498"/>
      <c r="D917" s="498"/>
      <c r="E917" s="498"/>
      <c r="F917" s="498"/>
      <c r="G917" s="166"/>
      <c r="H917" s="500"/>
      <c r="I917" s="501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  <c r="AA917" s="166"/>
      <c r="AB917" s="166"/>
      <c r="AC917" s="166"/>
      <c r="AD917" s="166"/>
      <c r="AE917" s="166"/>
      <c r="AF917" s="166"/>
      <c r="AG917" s="166"/>
    </row>
    <row r="918" spans="1:33">
      <c r="A918" s="166"/>
      <c r="B918" s="498"/>
      <c r="C918" s="498"/>
      <c r="D918" s="498"/>
      <c r="E918" s="498"/>
      <c r="F918" s="498"/>
      <c r="G918" s="166"/>
      <c r="H918" s="500"/>
      <c r="I918" s="501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  <c r="AA918" s="166"/>
      <c r="AB918" s="166"/>
      <c r="AC918" s="166"/>
      <c r="AD918" s="166"/>
      <c r="AE918" s="166"/>
      <c r="AF918" s="166"/>
      <c r="AG918" s="166"/>
    </row>
    <row r="919" spans="1:33">
      <c r="A919" s="166"/>
      <c r="B919" s="498"/>
      <c r="C919" s="498"/>
      <c r="D919" s="498"/>
      <c r="E919" s="498"/>
      <c r="F919" s="498"/>
      <c r="G919" s="166"/>
      <c r="H919" s="500"/>
      <c r="I919" s="501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  <c r="AA919" s="166"/>
      <c r="AB919" s="166"/>
      <c r="AC919" s="166"/>
      <c r="AD919" s="166"/>
      <c r="AE919" s="166"/>
      <c r="AF919" s="166"/>
      <c r="AG919" s="166"/>
    </row>
    <row r="920" spans="1:33">
      <c r="A920" s="166"/>
      <c r="B920" s="498"/>
      <c r="C920" s="498"/>
      <c r="D920" s="498"/>
      <c r="E920" s="498"/>
      <c r="F920" s="498"/>
      <c r="G920" s="166"/>
      <c r="H920" s="500"/>
      <c r="I920" s="501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  <c r="AA920" s="166"/>
      <c r="AB920" s="166"/>
      <c r="AC920" s="166"/>
      <c r="AD920" s="166"/>
      <c r="AE920" s="166"/>
      <c r="AF920" s="166"/>
      <c r="AG920" s="166"/>
    </row>
    <row r="921" spans="1:33">
      <c r="A921" s="166"/>
      <c r="B921" s="498"/>
      <c r="C921" s="498"/>
      <c r="D921" s="498"/>
      <c r="E921" s="498"/>
      <c r="F921" s="498"/>
      <c r="G921" s="166"/>
      <c r="H921" s="500"/>
      <c r="I921" s="501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  <c r="AA921" s="166"/>
      <c r="AB921" s="166"/>
      <c r="AC921" s="166"/>
      <c r="AD921" s="166"/>
      <c r="AE921" s="166"/>
      <c r="AF921" s="166"/>
      <c r="AG921" s="166"/>
    </row>
    <row r="922" spans="1:33">
      <c r="A922" s="166"/>
      <c r="B922" s="498"/>
      <c r="C922" s="498"/>
      <c r="D922" s="498"/>
      <c r="E922" s="498"/>
      <c r="F922" s="498"/>
      <c r="G922" s="166"/>
      <c r="H922" s="500"/>
      <c r="I922" s="501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  <c r="AA922" s="166"/>
      <c r="AB922" s="166"/>
      <c r="AC922" s="166"/>
      <c r="AD922" s="166"/>
      <c r="AE922" s="166"/>
      <c r="AF922" s="166"/>
      <c r="AG922" s="166"/>
    </row>
    <row r="923" spans="1:33">
      <c r="A923" s="166"/>
      <c r="B923" s="498"/>
      <c r="C923" s="498"/>
      <c r="D923" s="498"/>
      <c r="E923" s="498"/>
      <c r="F923" s="498"/>
      <c r="G923" s="166"/>
      <c r="H923" s="500"/>
      <c r="I923" s="501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  <c r="AA923" s="166"/>
      <c r="AB923" s="166"/>
      <c r="AC923" s="166"/>
      <c r="AD923" s="166"/>
      <c r="AE923" s="166"/>
      <c r="AF923" s="166"/>
      <c r="AG923" s="166"/>
    </row>
    <row r="924" spans="1:33">
      <c r="A924" s="166"/>
      <c r="B924" s="498"/>
      <c r="C924" s="498"/>
      <c r="D924" s="498"/>
      <c r="E924" s="498"/>
      <c r="F924" s="498"/>
      <c r="G924" s="166"/>
      <c r="H924" s="500"/>
      <c r="I924" s="501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  <c r="AA924" s="166"/>
      <c r="AB924" s="166"/>
      <c r="AC924" s="166"/>
      <c r="AD924" s="166"/>
      <c r="AE924" s="166"/>
      <c r="AF924" s="166"/>
      <c r="AG924" s="166"/>
    </row>
    <row r="925" spans="1:33">
      <c r="A925" s="166"/>
      <c r="B925" s="498"/>
      <c r="C925" s="498"/>
      <c r="D925" s="498"/>
      <c r="E925" s="498"/>
      <c r="F925" s="498"/>
      <c r="G925" s="166"/>
      <c r="H925" s="500"/>
      <c r="I925" s="501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  <c r="AA925" s="166"/>
      <c r="AB925" s="166"/>
      <c r="AC925" s="166"/>
      <c r="AD925" s="166"/>
      <c r="AE925" s="166"/>
      <c r="AF925" s="166"/>
      <c r="AG925" s="166"/>
    </row>
    <row r="926" spans="1:33">
      <c r="A926" s="166"/>
      <c r="B926" s="498"/>
      <c r="C926" s="498"/>
      <c r="D926" s="498"/>
      <c r="E926" s="498"/>
      <c r="F926" s="498"/>
      <c r="G926" s="166"/>
      <c r="H926" s="500"/>
      <c r="I926" s="501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  <c r="AA926" s="166"/>
      <c r="AB926" s="166"/>
      <c r="AC926" s="166"/>
      <c r="AD926" s="166"/>
      <c r="AE926" s="166"/>
      <c r="AF926" s="166"/>
      <c r="AG926" s="166"/>
    </row>
    <row r="927" spans="1:33">
      <c r="A927" s="166"/>
      <c r="B927" s="498"/>
      <c r="C927" s="498"/>
      <c r="D927" s="498"/>
      <c r="E927" s="498"/>
      <c r="F927" s="498"/>
      <c r="G927" s="166"/>
      <c r="H927" s="500"/>
      <c r="I927" s="501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  <c r="AA927" s="166"/>
      <c r="AB927" s="166"/>
      <c r="AC927" s="166"/>
      <c r="AD927" s="166"/>
      <c r="AE927" s="166"/>
      <c r="AF927" s="166"/>
      <c r="AG927" s="166"/>
    </row>
    <row r="928" spans="1:33">
      <c r="A928" s="166"/>
      <c r="B928" s="498"/>
      <c r="C928" s="498"/>
      <c r="D928" s="498"/>
      <c r="E928" s="498"/>
      <c r="F928" s="498"/>
      <c r="G928" s="166"/>
      <c r="H928" s="500"/>
      <c r="I928" s="501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  <c r="AA928" s="166"/>
      <c r="AB928" s="166"/>
      <c r="AC928" s="166"/>
      <c r="AD928" s="166"/>
      <c r="AE928" s="166"/>
      <c r="AF928" s="166"/>
      <c r="AG928" s="166"/>
    </row>
    <row r="929" spans="1:33">
      <c r="A929" s="166"/>
      <c r="B929" s="498"/>
      <c r="C929" s="498"/>
      <c r="D929" s="498"/>
      <c r="E929" s="498"/>
      <c r="F929" s="498"/>
      <c r="G929" s="166"/>
      <c r="H929" s="500"/>
      <c r="I929" s="501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  <c r="AA929" s="166"/>
      <c r="AB929" s="166"/>
      <c r="AC929" s="166"/>
      <c r="AD929" s="166"/>
      <c r="AE929" s="166"/>
      <c r="AF929" s="166"/>
      <c r="AG929" s="166"/>
    </row>
    <row r="930" spans="1:33">
      <c r="A930" s="166"/>
      <c r="B930" s="498"/>
      <c r="C930" s="498"/>
      <c r="D930" s="498"/>
      <c r="E930" s="498"/>
      <c r="F930" s="498"/>
      <c r="G930" s="166"/>
      <c r="H930" s="500"/>
      <c r="I930" s="501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  <c r="AA930" s="166"/>
      <c r="AB930" s="166"/>
      <c r="AC930" s="166"/>
      <c r="AD930" s="166"/>
      <c r="AE930" s="166"/>
      <c r="AF930" s="166"/>
      <c r="AG930" s="166"/>
    </row>
    <row r="931" spans="1:33">
      <c r="A931" s="166"/>
      <c r="B931" s="498"/>
      <c r="C931" s="498"/>
      <c r="D931" s="498"/>
      <c r="E931" s="498"/>
      <c r="F931" s="498"/>
      <c r="G931" s="166"/>
      <c r="H931" s="500"/>
      <c r="I931" s="501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  <c r="AA931" s="166"/>
      <c r="AB931" s="166"/>
      <c r="AC931" s="166"/>
      <c r="AD931" s="166"/>
      <c r="AE931" s="166"/>
      <c r="AF931" s="166"/>
      <c r="AG931" s="166"/>
    </row>
    <row r="932" spans="1:33">
      <c r="A932" s="166"/>
      <c r="B932" s="498"/>
      <c r="C932" s="498"/>
      <c r="D932" s="498"/>
      <c r="E932" s="498"/>
      <c r="F932" s="498"/>
      <c r="G932" s="166"/>
      <c r="H932" s="500"/>
      <c r="I932" s="501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  <c r="AA932" s="166"/>
      <c r="AB932" s="166"/>
      <c r="AC932" s="166"/>
      <c r="AD932" s="166"/>
      <c r="AE932" s="166"/>
      <c r="AF932" s="166"/>
      <c r="AG932" s="166"/>
    </row>
    <row r="933" spans="1:33">
      <c r="A933" s="166"/>
      <c r="B933" s="498"/>
      <c r="C933" s="498"/>
      <c r="D933" s="498"/>
      <c r="E933" s="498"/>
      <c r="F933" s="498"/>
      <c r="G933" s="166"/>
      <c r="H933" s="500"/>
      <c r="I933" s="501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  <c r="AA933" s="166"/>
      <c r="AB933" s="166"/>
      <c r="AC933" s="166"/>
      <c r="AD933" s="166"/>
      <c r="AE933" s="166"/>
      <c r="AF933" s="166"/>
      <c r="AG933" s="166"/>
    </row>
    <row r="934" spans="1:33">
      <c r="A934" s="166"/>
      <c r="B934" s="498"/>
      <c r="C934" s="498"/>
      <c r="D934" s="498"/>
      <c r="E934" s="498"/>
      <c r="F934" s="498"/>
      <c r="G934" s="166"/>
      <c r="H934" s="500"/>
      <c r="I934" s="501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  <c r="AA934" s="166"/>
      <c r="AB934" s="166"/>
      <c r="AC934" s="166"/>
      <c r="AD934" s="166"/>
      <c r="AE934" s="166"/>
      <c r="AF934" s="166"/>
      <c r="AG934" s="166"/>
    </row>
    <row r="935" spans="1:33">
      <c r="A935" s="166"/>
      <c r="B935" s="498"/>
      <c r="C935" s="498"/>
      <c r="D935" s="498"/>
      <c r="E935" s="498"/>
      <c r="F935" s="498"/>
      <c r="G935" s="166"/>
      <c r="H935" s="500"/>
      <c r="I935" s="501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  <c r="AA935" s="166"/>
      <c r="AB935" s="166"/>
      <c r="AC935" s="166"/>
      <c r="AD935" s="166"/>
      <c r="AE935" s="166"/>
      <c r="AF935" s="166"/>
      <c r="AG935" s="166"/>
    </row>
    <row r="936" spans="1:33">
      <c r="A936" s="166"/>
      <c r="B936" s="498"/>
      <c r="C936" s="498"/>
      <c r="D936" s="498"/>
      <c r="E936" s="498"/>
      <c r="F936" s="498"/>
      <c r="G936" s="166"/>
      <c r="H936" s="500"/>
      <c r="I936" s="501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  <c r="AA936" s="166"/>
      <c r="AB936" s="166"/>
      <c r="AC936" s="166"/>
      <c r="AD936" s="166"/>
      <c r="AE936" s="166"/>
      <c r="AF936" s="166"/>
      <c r="AG936" s="166"/>
    </row>
    <row r="937" spans="1:33">
      <c r="A937" s="166"/>
      <c r="B937" s="498"/>
      <c r="C937" s="498"/>
      <c r="D937" s="498"/>
      <c r="E937" s="498"/>
      <c r="F937" s="498"/>
      <c r="G937" s="166"/>
      <c r="H937" s="500"/>
      <c r="I937" s="501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  <c r="AA937" s="166"/>
      <c r="AB937" s="166"/>
      <c r="AC937" s="166"/>
      <c r="AD937" s="166"/>
      <c r="AE937" s="166"/>
      <c r="AF937" s="166"/>
      <c r="AG937" s="166"/>
    </row>
    <row r="938" spans="1:33">
      <c r="A938" s="166"/>
      <c r="B938" s="498"/>
      <c r="C938" s="498"/>
      <c r="D938" s="498"/>
      <c r="E938" s="498"/>
      <c r="F938" s="498"/>
      <c r="G938" s="166"/>
      <c r="H938" s="500"/>
      <c r="I938" s="501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  <c r="AA938" s="166"/>
      <c r="AB938" s="166"/>
      <c r="AC938" s="166"/>
      <c r="AD938" s="166"/>
      <c r="AE938" s="166"/>
      <c r="AF938" s="166"/>
      <c r="AG938" s="166"/>
    </row>
    <row r="939" spans="1:33">
      <c r="A939" s="166"/>
      <c r="B939" s="498"/>
      <c r="C939" s="498"/>
      <c r="D939" s="498"/>
      <c r="E939" s="498"/>
      <c r="F939" s="498"/>
      <c r="G939" s="166"/>
      <c r="H939" s="500"/>
      <c r="I939" s="501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  <c r="AA939" s="166"/>
      <c r="AB939" s="166"/>
      <c r="AC939" s="166"/>
      <c r="AD939" s="166"/>
      <c r="AE939" s="166"/>
      <c r="AF939" s="166"/>
      <c r="AG939" s="166"/>
    </row>
    <row r="940" spans="1:33">
      <c r="A940" s="166"/>
      <c r="B940" s="498"/>
      <c r="C940" s="498"/>
      <c r="D940" s="498"/>
      <c r="E940" s="498"/>
      <c r="F940" s="498"/>
      <c r="G940" s="166"/>
      <c r="H940" s="500"/>
      <c r="I940" s="501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  <c r="AA940" s="166"/>
      <c r="AB940" s="166"/>
      <c r="AC940" s="166"/>
      <c r="AD940" s="166"/>
      <c r="AE940" s="166"/>
      <c r="AF940" s="166"/>
      <c r="AG940" s="166"/>
    </row>
    <row r="941" spans="1:33">
      <c r="A941" s="166"/>
      <c r="B941" s="498"/>
      <c r="C941" s="498"/>
      <c r="D941" s="498"/>
      <c r="E941" s="498"/>
      <c r="F941" s="498"/>
      <c r="G941" s="166"/>
      <c r="H941" s="500"/>
      <c r="I941" s="501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  <c r="AA941" s="166"/>
      <c r="AB941" s="166"/>
      <c r="AC941" s="166"/>
      <c r="AD941" s="166"/>
      <c r="AE941" s="166"/>
      <c r="AF941" s="166"/>
      <c r="AG941" s="166"/>
    </row>
    <row r="942" spans="1:33">
      <c r="A942" s="166"/>
      <c r="B942" s="498"/>
      <c r="C942" s="498"/>
      <c r="D942" s="498"/>
      <c r="E942" s="498"/>
      <c r="F942" s="498"/>
      <c r="G942" s="166"/>
      <c r="H942" s="500"/>
      <c r="I942" s="501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  <c r="AA942" s="166"/>
      <c r="AB942" s="166"/>
      <c r="AC942" s="166"/>
      <c r="AD942" s="166"/>
      <c r="AE942" s="166"/>
      <c r="AF942" s="166"/>
      <c r="AG942" s="166"/>
    </row>
    <row r="943" spans="1:33">
      <c r="A943" s="166"/>
      <c r="B943" s="498"/>
      <c r="C943" s="498"/>
      <c r="D943" s="498"/>
      <c r="E943" s="498"/>
      <c r="F943" s="498"/>
      <c r="G943" s="166"/>
      <c r="H943" s="500"/>
      <c r="I943" s="501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  <c r="AA943" s="166"/>
      <c r="AB943" s="166"/>
      <c r="AC943" s="166"/>
      <c r="AD943" s="166"/>
      <c r="AE943" s="166"/>
      <c r="AF943" s="166"/>
      <c r="AG943" s="166"/>
    </row>
    <row r="944" spans="1:33">
      <c r="A944" s="166"/>
      <c r="B944" s="498"/>
      <c r="C944" s="498"/>
      <c r="D944" s="498"/>
      <c r="E944" s="498"/>
      <c r="F944" s="498"/>
      <c r="G944" s="166"/>
      <c r="H944" s="500"/>
      <c r="I944" s="501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  <c r="AA944" s="166"/>
      <c r="AB944" s="166"/>
      <c r="AC944" s="166"/>
      <c r="AD944" s="166"/>
      <c r="AE944" s="166"/>
      <c r="AF944" s="166"/>
      <c r="AG944" s="166"/>
    </row>
    <row r="945" spans="1:33">
      <c r="A945" s="166"/>
      <c r="B945" s="498"/>
      <c r="C945" s="498"/>
      <c r="D945" s="498"/>
      <c r="E945" s="498"/>
      <c r="F945" s="498"/>
      <c r="G945" s="166"/>
      <c r="H945" s="500"/>
      <c r="I945" s="501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  <c r="AA945" s="166"/>
      <c r="AB945" s="166"/>
      <c r="AC945" s="166"/>
      <c r="AD945" s="166"/>
      <c r="AE945" s="166"/>
      <c r="AF945" s="166"/>
      <c r="AG945" s="166"/>
    </row>
    <row r="946" spans="1:33">
      <c r="A946" s="166"/>
      <c r="B946" s="498"/>
      <c r="C946" s="498"/>
      <c r="D946" s="498"/>
      <c r="E946" s="498"/>
      <c r="F946" s="498"/>
      <c r="G946" s="166"/>
      <c r="H946" s="500"/>
      <c r="I946" s="501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  <c r="AA946" s="166"/>
      <c r="AB946" s="166"/>
      <c r="AC946" s="166"/>
      <c r="AD946" s="166"/>
      <c r="AE946" s="166"/>
      <c r="AF946" s="166"/>
      <c r="AG946" s="166"/>
    </row>
    <row r="947" spans="1:33">
      <c r="A947" s="166"/>
      <c r="B947" s="498"/>
      <c r="C947" s="498"/>
      <c r="D947" s="498"/>
      <c r="E947" s="498"/>
      <c r="F947" s="498"/>
      <c r="G947" s="166"/>
      <c r="H947" s="500"/>
      <c r="I947" s="501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  <c r="AA947" s="166"/>
      <c r="AB947" s="166"/>
      <c r="AC947" s="166"/>
      <c r="AD947" s="166"/>
      <c r="AE947" s="166"/>
      <c r="AF947" s="166"/>
      <c r="AG947" s="166"/>
    </row>
    <row r="948" spans="1:33">
      <c r="A948" s="166"/>
      <c r="B948" s="498"/>
      <c r="C948" s="498"/>
      <c r="D948" s="498"/>
      <c r="E948" s="498"/>
      <c r="F948" s="498"/>
      <c r="G948" s="166"/>
      <c r="H948" s="500"/>
      <c r="I948" s="501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  <c r="AA948" s="166"/>
      <c r="AB948" s="166"/>
      <c r="AC948" s="166"/>
      <c r="AD948" s="166"/>
      <c r="AE948" s="166"/>
      <c r="AF948" s="166"/>
      <c r="AG948" s="166"/>
    </row>
    <row r="949" spans="1:33">
      <c r="A949" s="166"/>
      <c r="B949" s="498"/>
      <c r="C949" s="498"/>
      <c r="D949" s="498"/>
      <c r="E949" s="498"/>
      <c r="F949" s="498"/>
      <c r="G949" s="166"/>
      <c r="H949" s="500"/>
      <c r="I949" s="501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  <c r="AA949" s="166"/>
      <c r="AB949" s="166"/>
      <c r="AC949" s="166"/>
      <c r="AD949" s="166"/>
      <c r="AE949" s="166"/>
      <c r="AF949" s="166"/>
      <c r="AG949" s="166"/>
    </row>
    <row r="950" spans="1:33">
      <c r="A950" s="166"/>
      <c r="B950" s="498"/>
      <c r="C950" s="498"/>
      <c r="D950" s="498"/>
      <c r="E950" s="498"/>
      <c r="F950" s="498"/>
      <c r="G950" s="166"/>
      <c r="H950" s="500"/>
      <c r="I950" s="501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  <c r="AA950" s="166"/>
      <c r="AB950" s="166"/>
      <c r="AC950" s="166"/>
      <c r="AD950" s="166"/>
      <c r="AE950" s="166"/>
      <c r="AF950" s="166"/>
      <c r="AG950" s="166"/>
    </row>
    <row r="951" spans="1:33">
      <c r="A951" s="166"/>
      <c r="B951" s="498"/>
      <c r="C951" s="498"/>
      <c r="D951" s="498"/>
      <c r="E951" s="498"/>
      <c r="F951" s="498"/>
      <c r="G951" s="166"/>
      <c r="H951" s="500"/>
      <c r="I951" s="501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  <c r="AA951" s="166"/>
      <c r="AB951" s="166"/>
      <c r="AC951" s="166"/>
      <c r="AD951" s="166"/>
      <c r="AE951" s="166"/>
      <c r="AF951" s="166"/>
      <c r="AG951" s="166"/>
    </row>
    <row r="952" spans="1:33">
      <c r="A952" s="166"/>
      <c r="B952" s="498"/>
      <c r="C952" s="498"/>
      <c r="D952" s="498"/>
      <c r="E952" s="498"/>
      <c r="F952" s="498"/>
      <c r="G952" s="166"/>
      <c r="H952" s="500"/>
      <c r="I952" s="501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  <c r="AA952" s="166"/>
      <c r="AB952" s="166"/>
      <c r="AC952" s="166"/>
      <c r="AD952" s="166"/>
      <c r="AE952" s="166"/>
      <c r="AF952" s="166"/>
      <c r="AG952" s="166"/>
    </row>
    <row r="953" spans="1:33">
      <c r="A953" s="166"/>
      <c r="B953" s="498"/>
      <c r="C953" s="498"/>
      <c r="D953" s="498"/>
      <c r="E953" s="498"/>
      <c r="F953" s="498"/>
      <c r="G953" s="166"/>
      <c r="H953" s="500"/>
      <c r="I953" s="501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  <c r="AA953" s="166"/>
      <c r="AB953" s="166"/>
      <c r="AC953" s="166"/>
      <c r="AD953" s="166"/>
      <c r="AE953" s="166"/>
      <c r="AF953" s="166"/>
      <c r="AG953" s="166"/>
    </row>
    <row r="954" spans="1:33">
      <c r="A954" s="166"/>
      <c r="B954" s="498"/>
      <c r="C954" s="498"/>
      <c r="D954" s="498"/>
      <c r="E954" s="498"/>
      <c r="F954" s="498"/>
      <c r="G954" s="166"/>
      <c r="H954" s="500"/>
      <c r="I954" s="501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  <c r="AA954" s="166"/>
      <c r="AB954" s="166"/>
      <c r="AC954" s="166"/>
      <c r="AD954" s="166"/>
      <c r="AE954" s="166"/>
      <c r="AF954" s="166"/>
      <c r="AG954" s="166"/>
    </row>
  </sheetData>
  <mergeCells count="68">
    <mergeCell ref="D1:O1"/>
    <mergeCell ref="B2:C3"/>
    <mergeCell ref="D2:F2"/>
    <mergeCell ref="D3:F3"/>
    <mergeCell ref="B6:B8"/>
    <mergeCell ref="J6:J8"/>
    <mergeCell ref="K6:K8"/>
    <mergeCell ref="L6:L8"/>
    <mergeCell ref="M6:M8"/>
    <mergeCell ref="N6:N8"/>
    <mergeCell ref="O6:O8"/>
    <mergeCell ref="B9:B15"/>
    <mergeCell ref="J9:J15"/>
    <mergeCell ref="K9:K15"/>
    <mergeCell ref="L9:L15"/>
    <mergeCell ref="M9:M15"/>
    <mergeCell ref="N9:N15"/>
    <mergeCell ref="O9:O15"/>
    <mergeCell ref="B16:B20"/>
    <mergeCell ref="J16:J20"/>
    <mergeCell ref="K16:K20"/>
    <mergeCell ref="L16:L20"/>
    <mergeCell ref="M16:M20"/>
    <mergeCell ref="N16:N20"/>
    <mergeCell ref="O16:O20"/>
    <mergeCell ref="B21:B25"/>
    <mergeCell ref="J21:J25"/>
    <mergeCell ref="K21:K25"/>
    <mergeCell ref="L21:L25"/>
    <mergeCell ref="M21:M25"/>
    <mergeCell ref="N21:N25"/>
    <mergeCell ref="O21:O25"/>
    <mergeCell ref="B26:B30"/>
    <mergeCell ref="J26:J30"/>
    <mergeCell ref="K26:K30"/>
    <mergeCell ref="L26:L30"/>
    <mergeCell ref="M26:M30"/>
    <mergeCell ref="N26:N30"/>
    <mergeCell ref="O26:O30"/>
    <mergeCell ref="B31:B33"/>
    <mergeCell ref="J31:J33"/>
    <mergeCell ref="K31:K33"/>
    <mergeCell ref="L31:L33"/>
    <mergeCell ref="M31:M33"/>
    <mergeCell ref="N31:N33"/>
    <mergeCell ref="O31:O33"/>
    <mergeCell ref="B34:B37"/>
    <mergeCell ref="J34:J37"/>
    <mergeCell ref="K34:K37"/>
    <mergeCell ref="L34:L37"/>
    <mergeCell ref="M34:M37"/>
    <mergeCell ref="N34:N37"/>
    <mergeCell ref="O34:O37"/>
    <mergeCell ref="B38:B41"/>
    <mergeCell ref="J38:J41"/>
    <mergeCell ref="K38:K41"/>
    <mergeCell ref="L38:L41"/>
    <mergeCell ref="M38:M41"/>
    <mergeCell ref="N38:N41"/>
    <mergeCell ref="O38:O41"/>
    <mergeCell ref="B42:B45"/>
    <mergeCell ref="J42:J45"/>
    <mergeCell ref="K42:K45"/>
    <mergeCell ref="L42:L45"/>
    <mergeCell ref="M42:M45"/>
    <mergeCell ref="N42:N45"/>
    <mergeCell ref="O42:O45"/>
    <mergeCell ref="B46:O46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bdbdbd"/>
  </sheetPr>
  <dimension ref="A1:AC791"/>
  <sheetViews>
    <sheetView workbookViewId="0">
      <selection activeCell="A1" sqref="A1"/>
    </sheetView>
  </sheetViews>
  <sheetFormatPr defaultColWidth="12.63000000" defaultRowHeight="15.750000" customHeight="1"/>
  <cols>
    <col min="2" max="2" width="14.57642828" customWidth="1" outlineLevel="0"/>
    <col min="5" max="5" width="13.00499998" customWidth="1" outlineLevel="0"/>
    <col min="6" max="7" width="14.71928583" customWidth="1" outlineLevel="0"/>
    <col min="8" max="8" width="37.43356977" customWidth="1" outlineLevel="0"/>
    <col min="9" max="9" width="74.29071699" customWidth="1" outlineLevel="0"/>
    <col min="10" max="10" width="15.43357168" customWidth="1" outlineLevel="0"/>
    <col min="12" max="12" width="24.00499998" customWidth="1" outlineLevel="0"/>
    <col min="16" max="16" width="6.71928583" customWidth="1" outlineLevel="0"/>
    <col min="17" max="17" width="11.00499998" customWidth="1" outlineLevel="0"/>
    <col min="18" max="18" width="18.43357168" customWidth="1" outlineLevel="0"/>
  </cols>
  <sheetData>
    <row r="1" spans="1:29">
      <c r="A1" s="539"/>
      <c r="B1" s="339" t="s">
        <v>100</v>
      </c>
      <c r="C1" s="540" t="s">
        <v>101</v>
      </c>
      <c r="D1" s="540" t="s">
        <v>102</v>
      </c>
      <c r="E1" s="452" t="s">
        <v>11911</v>
      </c>
      <c r="F1" s="452" t="s">
        <v>104</v>
      </c>
      <c r="G1" s="541" t="s">
        <v>105</v>
      </c>
      <c r="H1" s="339" t="s">
        <v>107</v>
      </c>
      <c r="I1" s="339" t="s">
        <v>108</v>
      </c>
      <c r="J1" s="339" t="s">
        <v>109</v>
      </c>
      <c r="K1" s="339" t="s">
        <v>110</v>
      </c>
      <c r="L1" s="542" t="s">
        <v>111</v>
      </c>
      <c r="M1" s="542" t="s">
        <v>112</v>
      </c>
      <c r="N1" s="542" t="s">
        <v>113</v>
      </c>
      <c r="O1" s="543" t="s">
        <v>11912</v>
      </c>
      <c r="P1" s="544" t="s">
        <v>11913</v>
      </c>
      <c r="Q1" s="545" t="s">
        <v>11914</v>
      </c>
      <c r="R1" s="183"/>
      <c r="S1" s="183"/>
      <c r="T1" s="183"/>
      <c r="U1" s="183"/>
      <c r="V1" s="546" t="s">
        <v>11915</v>
      </c>
      <c r="W1" s="546" t="s">
        <v>11916</v>
      </c>
      <c r="X1" s="546" t="s">
        <v>11917</v>
      </c>
      <c r="Y1" s="183"/>
      <c r="Z1" s="183"/>
      <c r="AA1" s="183"/>
      <c r="AB1" s="183"/>
      <c r="AC1" s="183"/>
    </row>
    <row r="2" spans="1:29">
      <c r="A2" s="545" t="s">
        <v>11918</v>
      </c>
      <c r="B2" s="547"/>
      <c r="C2" s="548"/>
      <c r="D2" s="548"/>
      <c r="E2" s="158">
        <f>F2*120%</f>
        <v>0</v>
      </c>
      <c r="F2" s="158">
        <f>(D2-C2+1)*G2</f>
        <v>0</v>
      </c>
      <c r="G2" s="159">
        <f>M2*20</f>
        <v>0</v>
      </c>
      <c r="H2" s="183"/>
      <c r="I2" s="183"/>
      <c r="J2" s="1"/>
      <c r="K2" s="183"/>
      <c r="L2" s="1"/>
      <c r="M2" s="56"/>
      <c r="N2" s="549">
        <f>IF(A2="쇼핑","",IF(A2="플레이스",LEN(J2),""))</f>
        <v>0</v>
      </c>
      <c r="O2" s="183"/>
      <c r="P2" s="183"/>
      <c r="Q2" s="1"/>
      <c r="R2" s="1"/>
      <c r="S2" s="1"/>
      <c r="T2" s="1"/>
      <c r="U2" s="1"/>
      <c r="V2" s="550" t="str">
        <f>IF(C2&lt;=$W$2,IF(D2&gt;=$W$2,"진행중","종료"),"대기")</f>
        <v>종료</v>
      </c>
      <c r="W2" s="551">
        <v>45628</v>
      </c>
      <c r="X2" s="550">
        <f>SUMIF(V:V,"진행중",G:G)</f>
        <v>0</v>
      </c>
      <c r="Y2" s="1"/>
      <c r="Z2" s="1"/>
      <c r="AA2" s="1"/>
      <c r="AB2" s="1"/>
      <c r="AC2" s="1"/>
    </row>
    <row r="3" spans="1:29">
      <c r="A3" s="113" t="s">
        <v>11919</v>
      </c>
      <c r="B3" s="547"/>
      <c r="C3" s="548"/>
      <c r="D3" s="548"/>
      <c r="E3" s="158">
        <f>F3*120%</f>
        <v>0</v>
      </c>
      <c r="F3" s="158">
        <f>(D3-C3+1)*G3</f>
        <v>0</v>
      </c>
      <c r="G3" s="159">
        <f>M3*20</f>
        <v>0</v>
      </c>
      <c r="H3" s="1"/>
      <c r="I3" s="183"/>
      <c r="J3" s="183"/>
      <c r="K3" s="1"/>
      <c r="L3" s="1"/>
      <c r="M3" s="56"/>
      <c r="N3" s="549" t="str">
        <f>IF(A3="쇼핑","",IF(A3="플레이스",LEN(J3),""))</f>
        <v/>
      </c>
      <c r="O3" s="183"/>
      <c r="P3" s="183"/>
      <c r="Q3" s="1"/>
      <c r="R3" s="120"/>
      <c r="S3" s="120"/>
      <c r="T3" s="1"/>
      <c r="U3" s="1"/>
      <c r="V3" s="550"/>
      <c r="W3" s="1"/>
      <c r="X3" s="1"/>
      <c r="Y3" s="1"/>
      <c r="Z3" s="1"/>
      <c r="AA3" s="1"/>
      <c r="AB3" s="1"/>
      <c r="AC3" s="1"/>
    </row>
    <row r="4" spans="1:29">
      <c r="A4" s="1"/>
      <c r="B4" s="88"/>
      <c r="C4" s="552"/>
      <c r="D4" s="553"/>
      <c r="E4" s="158">
        <f>F4*120%</f>
        <v>0</v>
      </c>
      <c r="F4" s="158">
        <f>(D4-C4+1)*G4</f>
        <v>0</v>
      </c>
      <c r="G4" s="159">
        <f>M4*20</f>
        <v>0</v>
      </c>
      <c r="H4" s="215"/>
      <c r="I4" s="215"/>
      <c r="J4" s="322"/>
      <c r="K4" s="554"/>
      <c r="L4" s="65"/>
      <c r="M4" s="65"/>
      <c r="N4" s="163">
        <f>LEN(J4)</f>
        <v>0</v>
      </c>
      <c r="O4" s="243"/>
      <c r="P4" s="215"/>
      <c r="Q4" s="65"/>
      <c r="R4" s="65"/>
      <c r="V4" s="550"/>
    </row>
    <row r="5" spans="1:29">
      <c r="A5" s="1"/>
      <c r="B5" s="88"/>
      <c r="C5" s="552"/>
      <c r="D5" s="553"/>
      <c r="E5" s="158">
        <f>F5*120%</f>
        <v>0</v>
      </c>
      <c r="F5" s="158">
        <f>(D5-C5+1)*G5</f>
        <v>0</v>
      </c>
      <c r="G5" s="159">
        <f>M5*20</f>
        <v>0</v>
      </c>
      <c r="H5" s="215"/>
      <c r="I5" s="215"/>
      <c r="J5" s="322"/>
      <c r="K5" s="554"/>
      <c r="L5" s="65"/>
      <c r="M5" s="65"/>
      <c r="N5" s="163">
        <f>LEN(J5)</f>
        <v>0</v>
      </c>
      <c r="O5" s="243"/>
      <c r="P5" s="215"/>
      <c r="Q5" s="65"/>
      <c r="R5" s="65"/>
      <c r="V5" s="550"/>
    </row>
    <row r="6" spans="1:29">
      <c r="A6" s="1"/>
      <c r="B6" s="88"/>
      <c r="C6" s="552"/>
      <c r="D6" s="553"/>
      <c r="E6" s="158">
        <f>F6*120%</f>
        <v>0</v>
      </c>
      <c r="F6" s="158">
        <f>(D6-C6+1)*G6</f>
        <v>0</v>
      </c>
      <c r="G6" s="159">
        <f>M6*20</f>
        <v>0</v>
      </c>
      <c r="H6" s="215"/>
      <c r="I6" s="215"/>
      <c r="J6" s="322"/>
      <c r="K6" s="554"/>
      <c r="L6" s="65"/>
      <c r="M6" s="65"/>
      <c r="N6" s="163">
        <f>LEN(J6)</f>
        <v>0</v>
      </c>
      <c r="O6" s="243"/>
      <c r="P6" s="215"/>
      <c r="Q6" s="65"/>
      <c r="R6" s="65"/>
      <c r="V6" s="550"/>
    </row>
    <row r="7" spans="1:29">
      <c r="A7" s="1"/>
      <c r="B7" s="88"/>
      <c r="C7" s="552"/>
      <c r="D7" s="553"/>
      <c r="E7" s="158">
        <f>F7*120%</f>
        <v>0</v>
      </c>
      <c r="F7" s="158">
        <f>(D7-C7+1)*G7</f>
        <v>0</v>
      </c>
      <c r="G7" s="159">
        <f>M7*20</f>
        <v>0</v>
      </c>
      <c r="H7" s="215"/>
      <c r="I7" s="215"/>
      <c r="J7" s="322"/>
      <c r="K7" s="554"/>
      <c r="L7" s="65"/>
      <c r="M7" s="65"/>
      <c r="N7" s="163">
        <f>LEN(J7)</f>
        <v>0</v>
      </c>
      <c r="O7" s="243"/>
      <c r="P7" s="215"/>
      <c r="Q7" s="65"/>
      <c r="R7" s="65"/>
      <c r="V7" s="550"/>
    </row>
    <row r="8" spans="1:29">
      <c r="A8" s="1"/>
      <c r="B8" s="88"/>
      <c r="C8" s="552"/>
      <c r="D8" s="553"/>
      <c r="E8" s="158">
        <f>F8*120%</f>
        <v>0</v>
      </c>
      <c r="F8" s="158">
        <f>(D8-C8+1)*G8</f>
        <v>0</v>
      </c>
      <c r="G8" s="159">
        <f>M8*20</f>
        <v>0</v>
      </c>
      <c r="H8" s="215"/>
      <c r="I8" s="215"/>
      <c r="J8" s="322"/>
      <c r="K8" s="554"/>
      <c r="L8" s="65"/>
      <c r="M8" s="65"/>
      <c r="N8" s="163">
        <f>LEN(J8)</f>
        <v>0</v>
      </c>
      <c r="O8" s="243"/>
      <c r="P8" s="215"/>
      <c r="Q8" s="65"/>
      <c r="R8" s="65"/>
      <c r="V8" s="550"/>
    </row>
    <row r="9" spans="1:29">
      <c r="A9" s="1"/>
      <c r="B9" s="88"/>
      <c r="C9" s="552"/>
      <c r="D9" s="553"/>
      <c r="E9" s="158">
        <f>F9*120%</f>
        <v>0</v>
      </c>
      <c r="F9" s="158">
        <f>(D9-C9+1)*G9</f>
        <v>0</v>
      </c>
      <c r="G9" s="159">
        <f>M9*20</f>
        <v>0</v>
      </c>
      <c r="H9" s="215"/>
      <c r="I9" s="215"/>
      <c r="J9" s="322"/>
      <c r="K9" s="554"/>
      <c r="L9" s="65"/>
      <c r="M9" s="65"/>
      <c r="N9" s="163">
        <f>LEN(J9)</f>
        <v>0</v>
      </c>
      <c r="O9" s="243"/>
      <c r="P9" s="215"/>
      <c r="Q9" s="65"/>
      <c r="R9" s="65"/>
      <c r="V9" s="550"/>
    </row>
    <row r="10" spans="1:29">
      <c r="A10" s="1"/>
      <c r="B10" s="88"/>
      <c r="C10" s="552"/>
      <c r="D10" s="553"/>
      <c r="E10" s="158">
        <f>F10*120%</f>
        <v>0</v>
      </c>
      <c r="F10" s="158">
        <f>(D10-C10+1)*G10</f>
        <v>0</v>
      </c>
      <c r="G10" s="159">
        <f>M10*20</f>
        <v>0</v>
      </c>
      <c r="H10" s="215"/>
      <c r="I10" s="215"/>
      <c r="J10" s="322"/>
      <c r="K10" s="554"/>
      <c r="L10" s="65"/>
      <c r="M10" s="65"/>
      <c r="N10" s="163">
        <f>LEN(J10)</f>
        <v>0</v>
      </c>
      <c r="O10" s="243"/>
      <c r="P10" s="215"/>
      <c r="Q10" s="65"/>
      <c r="R10" s="65"/>
      <c r="V10" s="550"/>
    </row>
    <row r="11" spans="1:29">
      <c r="A11" s="1"/>
      <c r="B11" s="88"/>
      <c r="C11" s="552"/>
      <c r="D11" s="553"/>
      <c r="E11" s="158">
        <f>F11*120%</f>
        <v>0</v>
      </c>
      <c r="F11" s="158">
        <f>(D11-C11+1)*G11</f>
        <v>0</v>
      </c>
      <c r="G11" s="159">
        <f>M11*20</f>
        <v>0</v>
      </c>
      <c r="H11" s="215"/>
      <c r="I11" s="215"/>
      <c r="J11" s="322"/>
      <c r="K11" s="554"/>
      <c r="L11" s="65"/>
      <c r="M11" s="65"/>
      <c r="N11" s="163">
        <f>LEN(J11)</f>
        <v>0</v>
      </c>
      <c r="O11" s="243"/>
      <c r="P11" s="215"/>
      <c r="Q11" s="65"/>
      <c r="R11" s="65"/>
      <c r="V11" s="550"/>
    </row>
    <row r="12" spans="1:29">
      <c r="A12" s="1"/>
      <c r="B12" s="88"/>
      <c r="C12" s="552"/>
      <c r="D12" s="553"/>
      <c r="E12" s="158">
        <f>F12*120%</f>
        <v>0</v>
      </c>
      <c r="F12" s="158">
        <f>(D12-C12+1)*G12</f>
        <v>0</v>
      </c>
      <c r="G12" s="159">
        <f>M12*20</f>
        <v>0</v>
      </c>
      <c r="H12" s="215"/>
      <c r="I12" s="215"/>
      <c r="J12" s="322"/>
      <c r="K12" s="554"/>
      <c r="L12" s="65"/>
      <c r="M12" s="65"/>
      <c r="N12" s="163">
        <f>LEN(J12)</f>
        <v>0</v>
      </c>
      <c r="O12" s="243"/>
      <c r="P12" s="215"/>
      <c r="Q12" s="65"/>
      <c r="R12" s="65"/>
      <c r="V12" s="550"/>
    </row>
    <row r="13" spans="1:29">
      <c r="A13" s="1"/>
      <c r="B13" s="88"/>
      <c r="C13" s="552"/>
      <c r="D13" s="553"/>
      <c r="E13" s="158">
        <f>F13*120%</f>
        <v>0</v>
      </c>
      <c r="F13" s="158">
        <f>(D13-C13+1)*G13</f>
        <v>0</v>
      </c>
      <c r="G13" s="159">
        <f>M13*20</f>
        <v>0</v>
      </c>
      <c r="H13" s="215"/>
      <c r="I13" s="215"/>
      <c r="J13" s="322"/>
      <c r="K13" s="554"/>
      <c r="L13" s="65"/>
      <c r="M13" s="65"/>
      <c r="N13" s="163">
        <f>LEN(J13)</f>
        <v>0</v>
      </c>
      <c r="O13" s="243"/>
      <c r="P13" s="215"/>
      <c r="Q13" s="65"/>
      <c r="R13" s="65"/>
      <c r="V13" s="550"/>
    </row>
    <row r="14" spans="1:29">
      <c r="A14" s="1"/>
      <c r="B14" s="88"/>
      <c r="C14" s="552"/>
      <c r="D14" s="553"/>
      <c r="E14" s="158">
        <f>F14*120%</f>
        <v>0</v>
      </c>
      <c r="F14" s="158">
        <f>(D14-C14+1)*G14</f>
        <v>0</v>
      </c>
      <c r="G14" s="159">
        <f>M14*20</f>
        <v>0</v>
      </c>
      <c r="H14" s="215"/>
      <c r="I14" s="215"/>
      <c r="J14" s="322"/>
      <c r="K14" s="554"/>
      <c r="L14" s="65"/>
      <c r="M14" s="65"/>
      <c r="N14" s="163">
        <f>LEN(J14)</f>
        <v>0</v>
      </c>
      <c r="O14" s="243"/>
      <c r="P14" s="215"/>
      <c r="Q14" s="65"/>
      <c r="R14" s="65"/>
      <c r="V14" s="550"/>
    </row>
    <row r="15" spans="1:29">
      <c r="A15" s="1"/>
      <c r="B15" s="88"/>
      <c r="C15" s="552"/>
      <c r="D15" s="553"/>
      <c r="E15" s="158">
        <f>F15*120%</f>
        <v>0</v>
      </c>
      <c r="F15" s="158">
        <f>(D15-C15+1)*G15</f>
        <v>0</v>
      </c>
      <c r="G15" s="159">
        <f>M15*20</f>
        <v>0</v>
      </c>
      <c r="H15" s="215"/>
      <c r="I15" s="215"/>
      <c r="J15" s="322"/>
      <c r="K15" s="554"/>
      <c r="L15" s="65"/>
      <c r="M15" s="65"/>
      <c r="N15" s="163">
        <f>LEN(J15)</f>
        <v>0</v>
      </c>
      <c r="O15" s="243"/>
      <c r="P15" s="215"/>
      <c r="Q15" s="65"/>
      <c r="R15" s="65"/>
      <c r="V15" s="550"/>
    </row>
    <row r="16" spans="1:29">
      <c r="A16" s="1"/>
      <c r="B16" s="88"/>
      <c r="C16" s="552"/>
      <c r="D16" s="553"/>
      <c r="E16" s="158">
        <f>F16*120%</f>
        <v>0</v>
      </c>
      <c r="F16" s="158">
        <f>(D16-C16+1)*G16</f>
        <v>0</v>
      </c>
      <c r="G16" s="159">
        <f>M16*20</f>
        <v>0</v>
      </c>
      <c r="H16" s="215"/>
      <c r="I16" s="215"/>
      <c r="J16" s="322"/>
      <c r="K16" s="554"/>
      <c r="L16" s="65"/>
      <c r="M16" s="65"/>
      <c r="N16" s="163">
        <f>LEN(J16)</f>
        <v>0</v>
      </c>
      <c r="O16" s="243"/>
      <c r="P16" s="215"/>
      <c r="Q16" s="65"/>
      <c r="R16" s="65"/>
      <c r="V16" s="550"/>
    </row>
    <row r="17" spans="1:22">
      <c r="A17" s="1"/>
      <c r="B17" s="88"/>
      <c r="C17" s="552"/>
      <c r="D17" s="553"/>
      <c r="E17" s="158">
        <f>F17*120%</f>
        <v>0</v>
      </c>
      <c r="F17" s="158">
        <f>(D17-C17+1)*G17</f>
        <v>0</v>
      </c>
      <c r="G17" s="159">
        <f>M17*20</f>
        <v>0</v>
      </c>
      <c r="H17" s="215"/>
      <c r="I17" s="215"/>
      <c r="J17" s="322"/>
      <c r="K17" s="554"/>
      <c r="L17" s="65"/>
      <c r="M17" s="65"/>
      <c r="N17" s="163">
        <f>LEN(J17)</f>
        <v>0</v>
      </c>
      <c r="O17" s="243"/>
      <c r="P17" s="215"/>
      <c r="Q17" s="65"/>
      <c r="R17" s="65"/>
      <c r="V17" s="550"/>
    </row>
    <row r="18" spans="1:22">
      <c r="A18" s="1"/>
      <c r="B18" s="88"/>
      <c r="C18" s="552"/>
      <c r="D18" s="553"/>
      <c r="E18" s="158">
        <f>F18*120%</f>
        <v>0</v>
      </c>
      <c r="F18" s="158">
        <f>(D18-C18+1)*G18</f>
        <v>0</v>
      </c>
      <c r="G18" s="159">
        <f>M18*20</f>
        <v>0</v>
      </c>
      <c r="H18" s="215"/>
      <c r="I18" s="215"/>
      <c r="J18" s="322"/>
      <c r="K18" s="554"/>
      <c r="L18" s="65"/>
      <c r="M18" s="65"/>
      <c r="N18" s="163">
        <f>LEN(J18)</f>
        <v>0</v>
      </c>
      <c r="O18" s="243"/>
      <c r="P18" s="215"/>
      <c r="Q18" s="65"/>
      <c r="R18" s="65"/>
      <c r="V18" s="550"/>
    </row>
    <row r="19" spans="1:22">
      <c r="A19" s="1"/>
      <c r="B19" s="88"/>
      <c r="C19" s="552"/>
      <c r="D19" s="553"/>
      <c r="E19" s="158">
        <f>F19*120%</f>
        <v>0</v>
      </c>
      <c r="F19" s="158">
        <f>(D19-C19+1)*G19</f>
        <v>0</v>
      </c>
      <c r="G19" s="159">
        <f>M19*20</f>
        <v>0</v>
      </c>
      <c r="H19" s="215"/>
      <c r="I19" s="215"/>
      <c r="J19" s="322"/>
      <c r="K19" s="554"/>
      <c r="L19" s="65"/>
      <c r="M19" s="65"/>
      <c r="N19" s="163">
        <f>LEN(J19)</f>
        <v>0</v>
      </c>
      <c r="O19" s="243"/>
      <c r="P19" s="215"/>
      <c r="Q19" s="65"/>
      <c r="R19" s="65"/>
      <c r="V19" s="550"/>
    </row>
    <row r="20" spans="1:22">
      <c r="A20" s="1"/>
      <c r="B20" s="88"/>
      <c r="C20" s="552"/>
      <c r="D20" s="553"/>
      <c r="E20" s="158">
        <f>F20*120%</f>
        <v>0</v>
      </c>
      <c r="F20" s="158">
        <f>(D20-C20+1)*G20</f>
        <v>0</v>
      </c>
      <c r="G20" s="159">
        <f>M20*20</f>
        <v>0</v>
      </c>
      <c r="H20" s="215"/>
      <c r="I20" s="215"/>
      <c r="J20" s="322"/>
      <c r="K20" s="554"/>
      <c r="L20" s="65"/>
      <c r="M20" s="65"/>
      <c r="N20" s="163">
        <f>LEN(J20)</f>
        <v>0</v>
      </c>
      <c r="O20" s="243"/>
      <c r="P20" s="215"/>
      <c r="Q20" s="65"/>
      <c r="R20" s="65"/>
      <c r="V20" s="550"/>
    </row>
    <row r="21" spans="1:22">
      <c r="A21" s="1"/>
      <c r="B21" s="88"/>
      <c r="C21" s="552"/>
      <c r="D21" s="553"/>
      <c r="E21" s="158">
        <f>F21*120%</f>
        <v>0</v>
      </c>
      <c r="F21" s="158">
        <f>(D21-C21+1)*G21</f>
        <v>0</v>
      </c>
      <c r="G21" s="159">
        <f>M21*20</f>
        <v>0</v>
      </c>
      <c r="H21" s="215"/>
      <c r="I21" s="215"/>
      <c r="J21" s="322"/>
      <c r="K21" s="554"/>
      <c r="L21" s="65"/>
      <c r="M21" s="65"/>
      <c r="N21" s="163">
        <f>LEN(J21)</f>
        <v>0</v>
      </c>
      <c r="O21" s="243"/>
      <c r="P21" s="215"/>
      <c r="Q21" s="65"/>
      <c r="R21" s="65"/>
      <c r="V21" s="550"/>
    </row>
    <row r="22" spans="1:22">
      <c r="A22" s="1"/>
      <c r="B22" s="88"/>
      <c r="C22" s="552"/>
      <c r="D22" s="553"/>
      <c r="E22" s="158">
        <f>F22*120%</f>
        <v>0</v>
      </c>
      <c r="F22" s="158">
        <f>(D22-C22+1)*G22</f>
        <v>0</v>
      </c>
      <c r="G22" s="159">
        <f>M22*20</f>
        <v>0</v>
      </c>
      <c r="H22" s="215"/>
      <c r="I22" s="215"/>
      <c r="J22" s="322"/>
      <c r="K22" s="554"/>
      <c r="L22" s="65"/>
      <c r="M22" s="65"/>
      <c r="N22" s="163">
        <f>LEN(J22)</f>
        <v>0</v>
      </c>
      <c r="O22" s="243"/>
      <c r="P22" s="215"/>
      <c r="Q22" s="65"/>
      <c r="R22" s="65"/>
      <c r="V22" s="550"/>
    </row>
    <row r="23" spans="1:22">
      <c r="A23" s="1"/>
      <c r="B23" s="88"/>
      <c r="C23" s="552"/>
      <c r="D23" s="553"/>
      <c r="E23" s="158">
        <f>F23*120%</f>
        <v>0</v>
      </c>
      <c r="F23" s="158">
        <f>(D23-C23+1)*G23</f>
        <v>0</v>
      </c>
      <c r="G23" s="159">
        <f>M23*20</f>
        <v>0</v>
      </c>
      <c r="H23" s="215"/>
      <c r="I23" s="215"/>
      <c r="J23" s="322"/>
      <c r="K23" s="554"/>
      <c r="L23" s="65"/>
      <c r="M23" s="65"/>
      <c r="N23" s="163">
        <f>LEN(J23)</f>
        <v>0</v>
      </c>
      <c r="O23" s="243"/>
      <c r="P23" s="215"/>
      <c r="Q23" s="65"/>
      <c r="R23" s="65"/>
      <c r="V23" s="550"/>
    </row>
    <row r="24" spans="1:22">
      <c r="A24" s="1"/>
      <c r="B24" s="88"/>
      <c r="C24" s="552"/>
      <c r="D24" s="553"/>
      <c r="E24" s="158">
        <f>F24*120%</f>
        <v>0</v>
      </c>
      <c r="F24" s="158">
        <f>(D24-C24+1)*G24</f>
        <v>0</v>
      </c>
      <c r="G24" s="159">
        <f>M24*20</f>
        <v>0</v>
      </c>
      <c r="H24" s="215"/>
      <c r="I24" s="215"/>
      <c r="J24" s="322"/>
      <c r="K24" s="554"/>
      <c r="L24" s="65"/>
      <c r="M24" s="65"/>
      <c r="N24" s="163">
        <f>LEN(J24)</f>
        <v>0</v>
      </c>
      <c r="O24" s="243"/>
      <c r="P24" s="215"/>
      <c r="Q24" s="65"/>
      <c r="R24" s="65"/>
      <c r="V24" s="550"/>
    </row>
    <row r="25" spans="1:22">
      <c r="A25" s="1"/>
      <c r="B25" s="88"/>
      <c r="C25" s="552"/>
      <c r="D25" s="553"/>
      <c r="E25" s="158">
        <f>F25*120%</f>
        <v>0</v>
      </c>
      <c r="F25" s="158">
        <f>(D25-C25+1)*G25</f>
        <v>0</v>
      </c>
      <c r="G25" s="159">
        <f>M25*20</f>
        <v>0</v>
      </c>
      <c r="H25" s="215"/>
      <c r="I25" s="215"/>
      <c r="J25" s="322"/>
      <c r="K25" s="554"/>
      <c r="L25" s="65"/>
      <c r="M25" s="65"/>
      <c r="N25" s="163">
        <f>LEN(J25)</f>
        <v>0</v>
      </c>
      <c r="O25" s="243"/>
      <c r="P25" s="215"/>
      <c r="Q25" s="65"/>
      <c r="R25" s="65"/>
      <c r="V25" s="550"/>
    </row>
    <row r="26" spans="1:22">
      <c r="A26" s="1"/>
      <c r="B26" s="88"/>
      <c r="C26" s="552"/>
      <c r="D26" s="553"/>
      <c r="E26" s="158">
        <f>F26*120%</f>
        <v>0</v>
      </c>
      <c r="F26" s="158">
        <f>(D26-C26+1)*G26</f>
        <v>0</v>
      </c>
      <c r="G26" s="159">
        <f>M26*20</f>
        <v>0</v>
      </c>
      <c r="H26" s="215"/>
      <c r="I26" s="215"/>
      <c r="J26" s="322"/>
      <c r="K26" s="554"/>
      <c r="L26" s="65"/>
      <c r="M26" s="65"/>
      <c r="N26" s="163">
        <f>LEN(J26)</f>
        <v>0</v>
      </c>
      <c r="O26" s="243"/>
      <c r="P26" s="215"/>
      <c r="Q26" s="65"/>
      <c r="R26" s="65"/>
      <c r="V26" s="550"/>
    </row>
    <row r="27" spans="1:22">
      <c r="A27" s="1"/>
      <c r="B27" s="88"/>
      <c r="C27" s="552"/>
      <c r="D27" s="553"/>
      <c r="E27" s="158">
        <f>F27*120%</f>
        <v>0</v>
      </c>
      <c r="F27" s="158">
        <f>(D27-C27+1)*G27</f>
        <v>0</v>
      </c>
      <c r="G27" s="159">
        <f>M27*20</f>
        <v>0</v>
      </c>
      <c r="H27" s="215"/>
      <c r="I27" s="215"/>
      <c r="J27" s="322"/>
      <c r="K27" s="554"/>
      <c r="L27" s="65"/>
      <c r="M27" s="65"/>
      <c r="N27" s="163">
        <f>LEN(J27)</f>
        <v>0</v>
      </c>
      <c r="O27" s="243"/>
      <c r="P27" s="215"/>
      <c r="Q27" s="65"/>
      <c r="R27" s="65"/>
      <c r="V27" s="550"/>
    </row>
    <row r="28" spans="1:22">
      <c r="A28" s="1"/>
      <c r="B28" s="88"/>
      <c r="C28" s="552"/>
      <c r="D28" s="553"/>
      <c r="E28" s="158">
        <f>F28*120%</f>
        <v>0</v>
      </c>
      <c r="F28" s="158">
        <f>(D28-C28+1)*G28</f>
        <v>0</v>
      </c>
      <c r="G28" s="159">
        <f>M28*20</f>
        <v>0</v>
      </c>
      <c r="H28" s="215"/>
      <c r="I28" s="215"/>
      <c r="J28" s="322"/>
      <c r="K28" s="554"/>
      <c r="L28" s="65"/>
      <c r="M28" s="65"/>
      <c r="N28" s="163">
        <f>LEN(J28)</f>
        <v>0</v>
      </c>
      <c r="O28" s="243"/>
      <c r="P28" s="215"/>
      <c r="Q28" s="65"/>
      <c r="R28" s="65"/>
      <c r="V28" s="550"/>
    </row>
    <row r="29" spans="1:22">
      <c r="A29" s="1"/>
      <c r="B29" s="88"/>
      <c r="C29" s="552"/>
      <c r="D29" s="553"/>
      <c r="E29" s="158">
        <f>F29*120%</f>
        <v>0</v>
      </c>
      <c r="F29" s="158">
        <f>(D29-C29+1)*G29</f>
        <v>0</v>
      </c>
      <c r="G29" s="159">
        <f>M29*20</f>
        <v>0</v>
      </c>
      <c r="H29" s="215"/>
      <c r="I29" s="215"/>
      <c r="J29" s="322"/>
      <c r="K29" s="554"/>
      <c r="L29" s="65"/>
      <c r="M29" s="65"/>
      <c r="N29" s="163">
        <f>LEN(J29)</f>
        <v>0</v>
      </c>
      <c r="O29" s="243"/>
      <c r="P29" s="215"/>
      <c r="Q29" s="65"/>
      <c r="R29" s="65"/>
      <c r="V29" s="550"/>
    </row>
    <row r="30" spans="1:22">
      <c r="A30" s="1"/>
      <c r="B30" s="88"/>
      <c r="C30" s="552"/>
      <c r="D30" s="553"/>
      <c r="E30" s="158">
        <f>F30*120%</f>
        <v>0</v>
      </c>
      <c r="F30" s="158">
        <f>(D30-C30+1)*G30</f>
        <v>0</v>
      </c>
      <c r="G30" s="159">
        <f>M30*20</f>
        <v>0</v>
      </c>
      <c r="H30" s="215"/>
      <c r="I30" s="215"/>
      <c r="J30" s="322"/>
      <c r="K30" s="554"/>
      <c r="L30" s="65"/>
      <c r="M30" s="65"/>
      <c r="N30" s="163">
        <f>LEN(J30)</f>
        <v>0</v>
      </c>
      <c r="O30" s="243"/>
      <c r="P30" s="215"/>
      <c r="Q30" s="65"/>
      <c r="R30" s="65"/>
      <c r="V30" s="550"/>
    </row>
    <row r="31" spans="1:22">
      <c r="A31" s="1"/>
      <c r="B31" s="88"/>
      <c r="C31" s="552"/>
      <c r="D31" s="553"/>
      <c r="E31" s="158">
        <f>F31*120%</f>
        <v>0</v>
      </c>
      <c r="F31" s="158">
        <f>(D31-C31+1)*G31</f>
        <v>0</v>
      </c>
      <c r="G31" s="159">
        <f>M31*20</f>
        <v>0</v>
      </c>
      <c r="H31" s="215"/>
      <c r="I31" s="215"/>
      <c r="J31" s="322"/>
      <c r="K31" s="554"/>
      <c r="L31" s="65"/>
      <c r="M31" s="65"/>
      <c r="N31" s="163">
        <f>LEN(J31)</f>
        <v>0</v>
      </c>
      <c r="O31" s="243"/>
      <c r="P31" s="215"/>
      <c r="Q31" s="65"/>
      <c r="R31" s="65"/>
      <c r="V31" s="550"/>
    </row>
    <row r="32" spans="1:22">
      <c r="A32" s="1"/>
      <c r="B32" s="88"/>
      <c r="C32" s="552"/>
      <c r="D32" s="553"/>
      <c r="E32" s="158">
        <f>F32*120%</f>
        <v>0</v>
      </c>
      <c r="F32" s="158">
        <f>(D32-C32+1)*G32</f>
        <v>0</v>
      </c>
      <c r="G32" s="159">
        <f>M32*20</f>
        <v>0</v>
      </c>
      <c r="H32" s="215"/>
      <c r="I32" s="215"/>
      <c r="J32" s="322"/>
      <c r="K32" s="554"/>
      <c r="L32" s="65"/>
      <c r="M32" s="65"/>
      <c r="N32" s="163">
        <f>LEN(J32)</f>
        <v>0</v>
      </c>
      <c r="O32" s="243"/>
      <c r="P32" s="215"/>
      <c r="Q32" s="65"/>
      <c r="R32" s="65"/>
      <c r="V32" s="550"/>
    </row>
    <row r="33" spans="1:22">
      <c r="A33" s="1"/>
      <c r="B33" s="88"/>
      <c r="C33" s="552"/>
      <c r="D33" s="553"/>
      <c r="E33" s="158">
        <f>F33*120%</f>
        <v>0</v>
      </c>
      <c r="F33" s="158">
        <f>(D33-C33+1)*G33</f>
        <v>0</v>
      </c>
      <c r="G33" s="159">
        <f>M33*20</f>
        <v>0</v>
      </c>
      <c r="H33" s="215"/>
      <c r="I33" s="215"/>
      <c r="J33" s="322"/>
      <c r="K33" s="554"/>
      <c r="L33" s="65"/>
      <c r="M33" s="65"/>
      <c r="N33" s="163">
        <f>LEN(J33)</f>
        <v>0</v>
      </c>
      <c r="O33" s="243"/>
      <c r="P33" s="215"/>
      <c r="Q33" s="65"/>
      <c r="R33" s="65"/>
      <c r="V33" s="550"/>
    </row>
    <row r="34" spans="1:22">
      <c r="A34" s="1"/>
      <c r="B34" s="88"/>
      <c r="C34" s="552"/>
      <c r="D34" s="553"/>
      <c r="E34" s="158">
        <f>F34*120%</f>
        <v>0</v>
      </c>
      <c r="F34" s="158">
        <f>(D34-C34+1)*G34</f>
        <v>0</v>
      </c>
      <c r="G34" s="159">
        <f>M34*20</f>
        <v>0</v>
      </c>
      <c r="H34" s="215"/>
      <c r="I34" s="215"/>
      <c r="J34" s="322"/>
      <c r="K34" s="554"/>
      <c r="L34" s="65"/>
      <c r="M34" s="65"/>
      <c r="N34" s="163">
        <f>LEN(J34)</f>
        <v>0</v>
      </c>
      <c r="O34" s="243"/>
      <c r="P34" s="215"/>
      <c r="Q34" s="65"/>
      <c r="R34" s="65"/>
      <c r="V34" s="550"/>
    </row>
    <row r="35" spans="1:22">
      <c r="A35" s="1"/>
      <c r="B35" s="88"/>
      <c r="C35" s="552"/>
      <c r="D35" s="553"/>
      <c r="E35" s="158">
        <f>F35*120%</f>
        <v>0</v>
      </c>
      <c r="F35" s="158">
        <f>(D35-C35+1)*G35</f>
        <v>0</v>
      </c>
      <c r="G35" s="159">
        <f>M35*20</f>
        <v>0</v>
      </c>
      <c r="H35" s="215"/>
      <c r="I35" s="215"/>
      <c r="J35" s="322"/>
      <c r="K35" s="554"/>
      <c r="L35" s="65"/>
      <c r="M35" s="65"/>
      <c r="N35" s="163">
        <f>LEN(J35)</f>
        <v>0</v>
      </c>
      <c r="O35" s="243"/>
      <c r="P35" s="215"/>
      <c r="Q35" s="65"/>
      <c r="R35" s="65"/>
      <c r="V35" s="550"/>
    </row>
    <row r="36" spans="1:22">
      <c r="A36" s="1"/>
      <c r="B36" s="88"/>
      <c r="C36" s="552"/>
      <c r="D36" s="553"/>
      <c r="E36" s="158">
        <f>F36*120%</f>
        <v>0</v>
      </c>
      <c r="F36" s="158">
        <f>(D36-C36+1)*G36</f>
        <v>0</v>
      </c>
      <c r="G36" s="159">
        <f>M36*20</f>
        <v>0</v>
      </c>
      <c r="H36" s="215"/>
      <c r="I36" s="215"/>
      <c r="J36" s="322"/>
      <c r="K36" s="554"/>
      <c r="L36" s="65"/>
      <c r="M36" s="65"/>
      <c r="N36" s="163">
        <f>LEN(J36)</f>
        <v>0</v>
      </c>
      <c r="O36" s="243"/>
      <c r="P36" s="215"/>
      <c r="Q36" s="65"/>
      <c r="R36" s="65"/>
      <c r="V36" s="550"/>
    </row>
    <row r="37" spans="1:22">
      <c r="A37" s="1"/>
      <c r="B37" s="88"/>
      <c r="C37" s="552"/>
      <c r="D37" s="553"/>
      <c r="E37" s="158">
        <f>F37*120%</f>
        <v>0</v>
      </c>
      <c r="F37" s="158">
        <f>(D37-C37+1)*G37</f>
        <v>0</v>
      </c>
      <c r="G37" s="159">
        <f>M37*20</f>
        <v>0</v>
      </c>
      <c r="H37" s="215"/>
      <c r="I37" s="215"/>
      <c r="J37" s="322"/>
      <c r="K37" s="554"/>
      <c r="L37" s="65"/>
      <c r="M37" s="65"/>
      <c r="N37" s="163">
        <f>LEN(J37)</f>
        <v>0</v>
      </c>
      <c r="O37" s="243"/>
      <c r="P37" s="215"/>
      <c r="Q37" s="65"/>
      <c r="R37" s="65"/>
      <c r="V37" s="550"/>
    </row>
    <row r="38" spans="1:22">
      <c r="A38" s="1"/>
      <c r="B38" s="88"/>
      <c r="C38" s="552"/>
      <c r="D38" s="553"/>
      <c r="E38" s="158">
        <f>F38*120%</f>
        <v>0</v>
      </c>
      <c r="F38" s="158">
        <f>(D38-C38+1)*G38</f>
        <v>0</v>
      </c>
      <c r="G38" s="159">
        <f>M38*20</f>
        <v>0</v>
      </c>
      <c r="H38" s="215"/>
      <c r="I38" s="215"/>
      <c r="J38" s="322"/>
      <c r="K38" s="554"/>
      <c r="L38" s="65"/>
      <c r="M38" s="65"/>
      <c r="N38" s="163">
        <f>LEN(J38)</f>
        <v>0</v>
      </c>
      <c r="O38" s="243"/>
      <c r="P38" s="215"/>
      <c r="Q38" s="65"/>
      <c r="R38" s="65"/>
      <c r="V38" s="550"/>
    </row>
    <row r="39" spans="1:22">
      <c r="A39" s="1"/>
      <c r="B39" s="88"/>
      <c r="C39" s="552"/>
      <c r="D39" s="553"/>
      <c r="E39" s="158">
        <f>F39*120%</f>
        <v>0</v>
      </c>
      <c r="F39" s="158">
        <f>(D39-C39+1)*G39</f>
        <v>0</v>
      </c>
      <c r="G39" s="159">
        <f>M39*20</f>
        <v>0</v>
      </c>
      <c r="H39" s="215"/>
      <c r="I39" s="215"/>
      <c r="J39" s="322"/>
      <c r="K39" s="554"/>
      <c r="L39" s="65"/>
      <c r="M39" s="65"/>
      <c r="N39" s="163">
        <f>LEN(J39)</f>
        <v>0</v>
      </c>
      <c r="O39" s="243"/>
      <c r="P39" s="215"/>
      <c r="Q39" s="65"/>
      <c r="R39" s="65"/>
      <c r="V39" s="550"/>
    </row>
    <row r="40" spans="1:22">
      <c r="A40" s="1"/>
      <c r="B40" s="88"/>
      <c r="C40" s="552"/>
      <c r="D40" s="553"/>
      <c r="E40" s="158">
        <f>F40*120%</f>
        <v>0</v>
      </c>
      <c r="F40" s="158">
        <f>(D40-C40+1)*G40</f>
        <v>0</v>
      </c>
      <c r="G40" s="159">
        <f>M40*20</f>
        <v>0</v>
      </c>
      <c r="H40" s="215"/>
      <c r="I40" s="215"/>
      <c r="J40" s="322"/>
      <c r="K40" s="554"/>
      <c r="L40" s="65"/>
      <c r="M40" s="65"/>
      <c r="N40" s="163">
        <f>LEN(J40)</f>
        <v>0</v>
      </c>
      <c r="O40" s="243"/>
      <c r="P40" s="215"/>
      <c r="Q40" s="65"/>
      <c r="R40" s="65"/>
      <c r="V40" s="550"/>
    </row>
    <row r="41" spans="1:22">
      <c r="A41" s="1"/>
      <c r="B41" s="88"/>
      <c r="C41" s="552"/>
      <c r="D41" s="553"/>
      <c r="E41" s="158">
        <f>F41*120%</f>
        <v>0</v>
      </c>
      <c r="F41" s="158">
        <f>(D41-C41+1)*G41</f>
        <v>0</v>
      </c>
      <c r="G41" s="159">
        <f>M41*20</f>
        <v>0</v>
      </c>
      <c r="H41" s="215"/>
      <c r="I41" s="215"/>
      <c r="J41" s="322"/>
      <c r="K41" s="554"/>
      <c r="L41" s="65"/>
      <c r="M41" s="65"/>
      <c r="N41" s="163">
        <f>LEN(J41)</f>
        <v>0</v>
      </c>
      <c r="O41" s="243"/>
      <c r="P41" s="215"/>
      <c r="Q41" s="65"/>
      <c r="R41" s="65"/>
      <c r="V41" s="550"/>
    </row>
    <row r="42" spans="1:22">
      <c r="A42" s="1"/>
      <c r="B42" s="88"/>
      <c r="C42" s="552"/>
      <c r="D42" s="553"/>
      <c r="E42" s="158">
        <f>F42*120%</f>
        <v>0</v>
      </c>
      <c r="F42" s="158">
        <f>(D42-C42+1)*G42</f>
        <v>0</v>
      </c>
      <c r="G42" s="159">
        <f>M42*20</f>
        <v>0</v>
      </c>
      <c r="H42" s="215"/>
      <c r="I42" s="215"/>
      <c r="J42" s="322"/>
      <c r="K42" s="554"/>
      <c r="L42" s="65"/>
      <c r="M42" s="65"/>
      <c r="N42" s="163">
        <f>LEN(J42)</f>
        <v>0</v>
      </c>
      <c r="O42" s="243"/>
      <c r="P42" s="215"/>
      <c r="Q42" s="65"/>
      <c r="R42" s="65"/>
      <c r="V42" s="550"/>
    </row>
    <row r="43" spans="1:22">
      <c r="A43" s="1"/>
      <c r="B43" s="88"/>
      <c r="C43" s="552"/>
      <c r="D43" s="553"/>
      <c r="E43" s="158">
        <f>F43*120%</f>
        <v>0</v>
      </c>
      <c r="F43" s="158">
        <f>(D43-C43+1)*G43</f>
        <v>0</v>
      </c>
      <c r="G43" s="159">
        <f>M43*20</f>
        <v>0</v>
      </c>
      <c r="H43" s="215"/>
      <c r="I43" s="215"/>
      <c r="J43" s="322"/>
      <c r="K43" s="554"/>
      <c r="L43" s="65"/>
      <c r="M43" s="65"/>
      <c r="N43" s="163">
        <f>LEN(J43)</f>
        <v>0</v>
      </c>
      <c r="O43" s="243"/>
      <c r="P43" s="215"/>
      <c r="Q43" s="65"/>
      <c r="R43" s="65"/>
      <c r="V43" s="550"/>
    </row>
    <row r="44" spans="1:22">
      <c r="A44" s="1"/>
      <c r="B44" s="88"/>
      <c r="C44" s="552"/>
      <c r="D44" s="553"/>
      <c r="E44" s="158">
        <f>F44*120%</f>
        <v>0</v>
      </c>
      <c r="F44" s="158">
        <f>(D44-C44+1)*G44</f>
        <v>0</v>
      </c>
      <c r="G44" s="159">
        <f>M44*20</f>
        <v>0</v>
      </c>
      <c r="H44" s="215"/>
      <c r="I44" s="215"/>
      <c r="J44" s="322"/>
      <c r="K44" s="554"/>
      <c r="L44" s="65"/>
      <c r="M44" s="65"/>
      <c r="N44" s="163">
        <f>LEN(J44)</f>
        <v>0</v>
      </c>
      <c r="O44" s="243"/>
      <c r="P44" s="215"/>
      <c r="Q44" s="65"/>
      <c r="R44" s="65"/>
      <c r="V44" s="550"/>
    </row>
    <row r="45" spans="1:22">
      <c r="A45" s="1"/>
      <c r="B45" s="88"/>
      <c r="C45" s="552"/>
      <c r="D45" s="553"/>
      <c r="E45" s="158">
        <f>F45*120%</f>
        <v>0</v>
      </c>
      <c r="F45" s="158">
        <f>(D45-C45+1)*G45</f>
        <v>0</v>
      </c>
      <c r="G45" s="159">
        <f>M45*20</f>
        <v>0</v>
      </c>
      <c r="H45" s="215"/>
      <c r="I45" s="215"/>
      <c r="J45" s="322"/>
      <c r="K45" s="554"/>
      <c r="L45" s="65"/>
      <c r="M45" s="65"/>
      <c r="N45" s="163">
        <f>LEN(J45)</f>
        <v>0</v>
      </c>
      <c r="O45" s="243"/>
      <c r="P45" s="215"/>
      <c r="Q45" s="65"/>
      <c r="R45" s="65"/>
      <c r="V45" s="550"/>
    </row>
    <row r="46" spans="1:22">
      <c r="A46" s="1"/>
      <c r="B46" s="88"/>
      <c r="C46" s="552"/>
      <c r="D46" s="553"/>
      <c r="E46" s="158">
        <f>F46*120%</f>
        <v>0</v>
      </c>
      <c r="F46" s="158">
        <f>(D46-C46+1)*G46</f>
        <v>0</v>
      </c>
      <c r="G46" s="159">
        <f>M46*20</f>
        <v>0</v>
      </c>
      <c r="H46" s="215"/>
      <c r="I46" s="215"/>
      <c r="J46" s="322"/>
      <c r="K46" s="554"/>
      <c r="L46" s="65"/>
      <c r="M46" s="65"/>
      <c r="N46" s="163">
        <f>LEN(J46)</f>
        <v>0</v>
      </c>
      <c r="O46" s="243"/>
      <c r="P46" s="215"/>
      <c r="Q46" s="65"/>
      <c r="R46" s="65"/>
      <c r="V46" s="550"/>
    </row>
    <row r="47" spans="1:22">
      <c r="A47" s="1"/>
      <c r="B47" s="88"/>
      <c r="C47" s="552"/>
      <c r="D47" s="553"/>
      <c r="E47" s="158">
        <f>F47*120%</f>
        <v>0</v>
      </c>
      <c r="F47" s="158">
        <f>(D47-C47+1)*G47</f>
        <v>0</v>
      </c>
      <c r="G47" s="159">
        <f>M47*20</f>
        <v>0</v>
      </c>
      <c r="H47" s="215"/>
      <c r="I47" s="215"/>
      <c r="J47" s="322"/>
      <c r="K47" s="554"/>
      <c r="L47" s="65"/>
      <c r="M47" s="65"/>
      <c r="N47" s="163">
        <f>LEN(J47)</f>
        <v>0</v>
      </c>
      <c r="O47" s="243"/>
      <c r="P47" s="215"/>
      <c r="Q47" s="65"/>
      <c r="R47" s="65"/>
      <c r="V47" s="550"/>
    </row>
    <row r="48" spans="1:22">
      <c r="A48" s="1"/>
      <c r="B48" s="88"/>
      <c r="C48" s="552"/>
      <c r="D48" s="553"/>
      <c r="E48" s="158">
        <f>F48*120%</f>
        <v>0</v>
      </c>
      <c r="F48" s="158">
        <f>(D48-C48+1)*G48</f>
        <v>0</v>
      </c>
      <c r="G48" s="159">
        <f>M48*20</f>
        <v>0</v>
      </c>
      <c r="H48" s="215"/>
      <c r="I48" s="215"/>
      <c r="J48" s="322"/>
      <c r="K48" s="554"/>
      <c r="L48" s="65"/>
      <c r="M48" s="65"/>
      <c r="N48" s="163">
        <f>LEN(J48)</f>
        <v>0</v>
      </c>
      <c r="O48" s="243"/>
      <c r="P48" s="215"/>
      <c r="Q48" s="65"/>
      <c r="R48" s="65"/>
      <c r="V48" s="550"/>
    </row>
    <row r="49" spans="1:22">
      <c r="A49" s="1"/>
      <c r="B49" s="88"/>
      <c r="C49" s="552"/>
      <c r="D49" s="553"/>
      <c r="E49" s="158">
        <f>F49*120%</f>
        <v>0</v>
      </c>
      <c r="F49" s="158">
        <f>(D49-C49+1)*G49</f>
        <v>0</v>
      </c>
      <c r="G49" s="159">
        <f>M49*20</f>
        <v>0</v>
      </c>
      <c r="H49" s="215"/>
      <c r="I49" s="215"/>
      <c r="J49" s="322"/>
      <c r="K49" s="554"/>
      <c r="L49" s="65"/>
      <c r="M49" s="65"/>
      <c r="N49" s="163">
        <f>LEN(J49)</f>
        <v>0</v>
      </c>
      <c r="O49" s="243"/>
      <c r="P49" s="215"/>
      <c r="Q49" s="65"/>
      <c r="R49" s="65"/>
      <c r="V49" s="550"/>
    </row>
    <row r="50" spans="1:22">
      <c r="A50" s="1"/>
      <c r="B50" s="88"/>
      <c r="C50" s="552"/>
      <c r="D50" s="553"/>
      <c r="E50" s="158">
        <f>F50*120%</f>
        <v>0</v>
      </c>
      <c r="F50" s="158">
        <f>(D50-C50+1)*G50</f>
        <v>0</v>
      </c>
      <c r="G50" s="159">
        <f>M50*20</f>
        <v>0</v>
      </c>
      <c r="H50" s="215"/>
      <c r="I50" s="215"/>
      <c r="J50" s="322"/>
      <c r="K50" s="554"/>
      <c r="L50" s="65"/>
      <c r="M50" s="65"/>
      <c r="N50" s="163">
        <f>LEN(J50)</f>
        <v>0</v>
      </c>
      <c r="O50" s="243"/>
      <c r="P50" s="215"/>
      <c r="Q50" s="65"/>
      <c r="R50" s="65"/>
      <c r="V50" s="550"/>
    </row>
    <row r="51" spans="1:22">
      <c r="A51" s="1"/>
      <c r="B51" s="88"/>
      <c r="C51" s="552"/>
      <c r="D51" s="553"/>
      <c r="E51" s="158">
        <f>F51*120%</f>
        <v>0</v>
      </c>
      <c r="F51" s="158">
        <f>(D51-C51+1)*G51</f>
        <v>0</v>
      </c>
      <c r="G51" s="159">
        <f>M51*20</f>
        <v>0</v>
      </c>
      <c r="H51" s="215"/>
      <c r="I51" s="215"/>
      <c r="J51" s="322"/>
      <c r="K51" s="554"/>
      <c r="L51" s="65"/>
      <c r="M51" s="65"/>
      <c r="N51" s="163">
        <f>LEN(J51)</f>
        <v>0</v>
      </c>
      <c r="O51" s="243"/>
      <c r="P51" s="215"/>
      <c r="Q51" s="65"/>
      <c r="R51" s="65"/>
      <c r="V51" s="550"/>
    </row>
    <row r="52" spans="1:22">
      <c r="A52" s="1"/>
      <c r="B52" s="88"/>
      <c r="C52" s="552"/>
      <c r="D52" s="553"/>
      <c r="E52" s="158">
        <f>F52*120%</f>
        <v>0</v>
      </c>
      <c r="F52" s="158">
        <f>(D52-C52+1)*G52</f>
        <v>0</v>
      </c>
      <c r="G52" s="159">
        <f>M52*20</f>
        <v>0</v>
      </c>
      <c r="H52" s="215"/>
      <c r="I52" s="215"/>
      <c r="J52" s="322"/>
      <c r="K52" s="554"/>
      <c r="L52" s="65"/>
      <c r="M52" s="65"/>
      <c r="N52" s="163">
        <f>LEN(J52)</f>
        <v>0</v>
      </c>
      <c r="O52" s="243"/>
      <c r="P52" s="215"/>
      <c r="Q52" s="65"/>
      <c r="R52" s="65"/>
      <c r="V52" s="550"/>
    </row>
    <row r="53" spans="1:22">
      <c r="A53" s="1"/>
      <c r="B53" s="88"/>
      <c r="C53" s="552"/>
      <c r="D53" s="553"/>
      <c r="E53" s="158">
        <f>F53*120%</f>
        <v>0</v>
      </c>
      <c r="F53" s="158">
        <f>(D53-C53+1)*G53</f>
        <v>0</v>
      </c>
      <c r="G53" s="159">
        <f>M53*20</f>
        <v>0</v>
      </c>
      <c r="H53" s="215"/>
      <c r="I53" s="215"/>
      <c r="J53" s="322"/>
      <c r="K53" s="554"/>
      <c r="L53" s="65"/>
      <c r="M53" s="65"/>
      <c r="N53" s="163">
        <f>LEN(J53)</f>
        <v>0</v>
      </c>
      <c r="O53" s="243"/>
      <c r="P53" s="215"/>
      <c r="Q53" s="65"/>
      <c r="R53" s="65"/>
      <c r="V53" s="550"/>
    </row>
    <row r="54" spans="1:22">
      <c r="A54" s="1"/>
      <c r="B54" s="88"/>
      <c r="C54" s="552"/>
      <c r="D54" s="553"/>
      <c r="E54" s="158">
        <f>F54*120%</f>
        <v>0</v>
      </c>
      <c r="F54" s="158">
        <f>(D54-C54+1)*G54</f>
        <v>0</v>
      </c>
      <c r="G54" s="159">
        <f>M54*20</f>
        <v>0</v>
      </c>
      <c r="H54" s="215"/>
      <c r="I54" s="215"/>
      <c r="J54" s="322"/>
      <c r="K54" s="554"/>
      <c r="L54" s="65"/>
      <c r="M54" s="65"/>
      <c r="N54" s="163">
        <f>LEN(J54)</f>
        <v>0</v>
      </c>
      <c r="O54" s="243"/>
      <c r="P54" s="215"/>
      <c r="Q54" s="65"/>
      <c r="R54" s="65"/>
      <c r="V54" s="550"/>
    </row>
    <row r="55" spans="1:22">
      <c r="A55" s="1"/>
      <c r="B55" s="88"/>
      <c r="C55" s="552"/>
      <c r="D55" s="553"/>
      <c r="E55" s="158">
        <f>F55*120%</f>
        <v>0</v>
      </c>
      <c r="F55" s="158">
        <f>(D55-C55+1)*G55</f>
        <v>0</v>
      </c>
      <c r="G55" s="159">
        <f>M55*20</f>
        <v>0</v>
      </c>
      <c r="H55" s="215"/>
      <c r="I55" s="215"/>
      <c r="J55" s="322"/>
      <c r="K55" s="554"/>
      <c r="L55" s="65"/>
      <c r="M55" s="65"/>
      <c r="N55" s="163">
        <f>LEN(J55)</f>
        <v>0</v>
      </c>
      <c r="O55" s="243"/>
      <c r="P55" s="215"/>
      <c r="Q55" s="65"/>
      <c r="R55" s="65"/>
      <c r="V55" s="550"/>
    </row>
    <row r="56" spans="1:22">
      <c r="A56" s="1"/>
      <c r="B56" s="88"/>
      <c r="C56" s="552"/>
      <c r="D56" s="553"/>
      <c r="E56" s="158">
        <f>F56*120%</f>
        <v>0</v>
      </c>
      <c r="F56" s="158">
        <f>(D56-C56+1)*G56</f>
        <v>0</v>
      </c>
      <c r="G56" s="159">
        <f>M56*20</f>
        <v>0</v>
      </c>
      <c r="H56" s="215"/>
      <c r="I56" s="215"/>
      <c r="J56" s="322"/>
      <c r="K56" s="554"/>
      <c r="L56" s="65"/>
      <c r="M56" s="65"/>
      <c r="N56" s="163">
        <f>LEN(J56)</f>
        <v>0</v>
      </c>
      <c r="O56" s="243"/>
      <c r="P56" s="215"/>
      <c r="Q56" s="65"/>
      <c r="R56" s="65"/>
      <c r="V56" s="550"/>
    </row>
    <row r="57" spans="1:22">
      <c r="A57" s="1"/>
      <c r="B57" s="88"/>
      <c r="C57" s="552"/>
      <c r="D57" s="553"/>
      <c r="E57" s="158">
        <f>F57*120%</f>
        <v>0</v>
      </c>
      <c r="F57" s="158">
        <f>(D57-C57+1)*G57</f>
        <v>0</v>
      </c>
      <c r="G57" s="159">
        <f>M57*20</f>
        <v>0</v>
      </c>
      <c r="H57" s="215"/>
      <c r="I57" s="215"/>
      <c r="J57" s="322"/>
      <c r="K57" s="554"/>
      <c r="L57" s="65"/>
      <c r="M57" s="65"/>
      <c r="N57" s="163">
        <f>LEN(J57)</f>
        <v>0</v>
      </c>
      <c r="O57" s="243"/>
      <c r="P57" s="215"/>
      <c r="Q57" s="65"/>
      <c r="R57" s="65"/>
      <c r="V57" s="550"/>
    </row>
    <row r="58" spans="1:22">
      <c r="A58" s="1"/>
      <c r="B58" s="88"/>
      <c r="C58" s="552"/>
      <c r="D58" s="553"/>
      <c r="E58" s="158">
        <f>F58*120%</f>
        <v>0</v>
      </c>
      <c r="F58" s="158">
        <f>(D58-C58+1)*G58</f>
        <v>0</v>
      </c>
      <c r="G58" s="159">
        <f>M58*20</f>
        <v>0</v>
      </c>
      <c r="H58" s="215"/>
      <c r="I58" s="215"/>
      <c r="J58" s="322"/>
      <c r="K58" s="554"/>
      <c r="L58" s="65"/>
      <c r="M58" s="65"/>
      <c r="N58" s="163">
        <f>LEN(J58)</f>
        <v>0</v>
      </c>
      <c r="O58" s="243"/>
      <c r="P58" s="215"/>
      <c r="Q58" s="65"/>
      <c r="R58" s="65"/>
      <c r="V58" s="550"/>
    </row>
    <row r="59" spans="1:22">
      <c r="A59" s="1"/>
      <c r="B59" s="88"/>
      <c r="C59" s="552"/>
      <c r="D59" s="553"/>
      <c r="E59" s="158">
        <f>F59*120%</f>
        <v>0</v>
      </c>
      <c r="F59" s="158">
        <f>(D59-C59+1)*G59</f>
        <v>0</v>
      </c>
      <c r="G59" s="159">
        <f>M59*20</f>
        <v>0</v>
      </c>
      <c r="H59" s="215"/>
      <c r="I59" s="215"/>
      <c r="J59" s="322"/>
      <c r="K59" s="554"/>
      <c r="L59" s="65"/>
      <c r="M59" s="65"/>
      <c r="N59" s="163">
        <f>LEN(J59)</f>
        <v>0</v>
      </c>
      <c r="O59" s="243"/>
      <c r="P59" s="215"/>
      <c r="Q59" s="65"/>
      <c r="R59" s="65"/>
      <c r="V59" s="550"/>
    </row>
    <row r="60" spans="1:22">
      <c r="A60" s="1"/>
      <c r="B60" s="88"/>
      <c r="C60" s="552"/>
      <c r="D60" s="553"/>
      <c r="E60" s="158">
        <f>F60*120%</f>
        <v>0</v>
      </c>
      <c r="F60" s="158">
        <f>(D60-C60+1)*G60</f>
        <v>0</v>
      </c>
      <c r="G60" s="159">
        <f>M60*20</f>
        <v>0</v>
      </c>
      <c r="H60" s="215"/>
      <c r="I60" s="215"/>
      <c r="J60" s="322"/>
      <c r="K60" s="554"/>
      <c r="L60" s="65"/>
      <c r="M60" s="65"/>
      <c r="N60" s="163">
        <f>LEN(J60)</f>
        <v>0</v>
      </c>
      <c r="O60" s="243"/>
      <c r="P60" s="215"/>
      <c r="Q60" s="65"/>
      <c r="R60" s="65"/>
      <c r="V60" s="550"/>
    </row>
    <row r="61" spans="1:22">
      <c r="A61" s="1"/>
      <c r="B61" s="88"/>
      <c r="C61" s="552"/>
      <c r="D61" s="553"/>
      <c r="E61" s="158">
        <f>F61*120%</f>
        <v>0</v>
      </c>
      <c r="F61" s="158">
        <f>(D61-C61+1)*G61</f>
        <v>0</v>
      </c>
      <c r="G61" s="159">
        <f>M61*20</f>
        <v>0</v>
      </c>
      <c r="H61" s="215"/>
      <c r="I61" s="215"/>
      <c r="J61" s="322"/>
      <c r="K61" s="554"/>
      <c r="L61" s="65"/>
      <c r="M61" s="65"/>
      <c r="N61" s="163">
        <f>LEN(J61)</f>
        <v>0</v>
      </c>
      <c r="O61" s="243"/>
      <c r="P61" s="215"/>
      <c r="Q61" s="65"/>
      <c r="R61" s="65"/>
      <c r="V61" s="550"/>
    </row>
    <row r="62" spans="1:22">
      <c r="A62" s="1"/>
      <c r="B62" s="88"/>
      <c r="C62" s="552"/>
      <c r="D62" s="553"/>
      <c r="E62" s="158">
        <f>F62*120%</f>
        <v>0</v>
      </c>
      <c r="F62" s="158">
        <f>(D62-C62+1)*G62</f>
        <v>0</v>
      </c>
      <c r="G62" s="159">
        <f>M62*20</f>
        <v>0</v>
      </c>
      <c r="H62" s="215"/>
      <c r="I62" s="215"/>
      <c r="J62" s="322"/>
      <c r="K62" s="554"/>
      <c r="L62" s="65"/>
      <c r="M62" s="65"/>
      <c r="N62" s="163">
        <f>LEN(J62)</f>
        <v>0</v>
      </c>
      <c r="O62" s="243"/>
      <c r="P62" s="215"/>
      <c r="Q62" s="65"/>
      <c r="R62" s="65"/>
      <c r="V62" s="550"/>
    </row>
    <row r="63" spans="1:22">
      <c r="A63" s="1"/>
      <c r="B63" s="88"/>
      <c r="C63" s="552"/>
      <c r="D63" s="553"/>
      <c r="E63" s="158">
        <f>F63*120%</f>
        <v>0</v>
      </c>
      <c r="F63" s="158">
        <f>(D63-C63+1)*G63</f>
        <v>0</v>
      </c>
      <c r="G63" s="159">
        <f>M63*20</f>
        <v>0</v>
      </c>
      <c r="H63" s="215"/>
      <c r="I63" s="215"/>
      <c r="J63" s="322"/>
      <c r="K63" s="554"/>
      <c r="L63" s="65"/>
      <c r="M63" s="65"/>
      <c r="N63" s="163">
        <f>LEN(J63)</f>
        <v>0</v>
      </c>
      <c r="O63" s="243"/>
      <c r="P63" s="215"/>
      <c r="Q63" s="65"/>
      <c r="R63" s="65"/>
      <c r="V63" s="550"/>
    </row>
    <row r="64" spans="1:22">
      <c r="A64" s="1"/>
      <c r="B64" s="88"/>
      <c r="C64" s="552"/>
      <c r="D64" s="553"/>
      <c r="E64" s="158">
        <f>F64*120%</f>
        <v>0</v>
      </c>
      <c r="F64" s="158">
        <f>(D64-C64+1)*G64</f>
        <v>0</v>
      </c>
      <c r="G64" s="159">
        <f>M64*20</f>
        <v>0</v>
      </c>
      <c r="H64" s="215"/>
      <c r="I64" s="215"/>
      <c r="J64" s="322"/>
      <c r="K64" s="554"/>
      <c r="L64" s="65"/>
      <c r="M64" s="65"/>
      <c r="N64" s="163">
        <f>LEN(J64)</f>
        <v>0</v>
      </c>
      <c r="O64" s="243"/>
      <c r="P64" s="215"/>
      <c r="Q64" s="65"/>
      <c r="R64" s="65"/>
      <c r="V64" s="550"/>
    </row>
    <row r="65" spans="1:22">
      <c r="A65" s="1"/>
      <c r="B65" s="88"/>
      <c r="C65" s="552"/>
      <c r="D65" s="553"/>
      <c r="E65" s="158">
        <f>F65*120%</f>
        <v>0</v>
      </c>
      <c r="F65" s="158">
        <f>(D65-C65+1)*G65</f>
        <v>0</v>
      </c>
      <c r="G65" s="159">
        <f>M65*20</f>
        <v>0</v>
      </c>
      <c r="H65" s="215"/>
      <c r="I65" s="215"/>
      <c r="J65" s="322"/>
      <c r="K65" s="554"/>
      <c r="L65" s="65"/>
      <c r="M65" s="65"/>
      <c r="N65" s="163">
        <f>LEN(J65)</f>
        <v>0</v>
      </c>
      <c r="O65" s="243"/>
      <c r="P65" s="215"/>
      <c r="Q65" s="65"/>
      <c r="R65" s="65"/>
      <c r="V65" s="550"/>
    </row>
    <row r="66" spans="1:22">
      <c r="A66" s="1"/>
      <c r="B66" s="88"/>
      <c r="C66" s="552"/>
      <c r="D66" s="553"/>
      <c r="E66" s="158">
        <f>F66*120%</f>
        <v>0</v>
      </c>
      <c r="F66" s="158">
        <f>(D66-C66+1)*G66</f>
        <v>0</v>
      </c>
      <c r="G66" s="159">
        <f>M66*20</f>
        <v>0</v>
      </c>
      <c r="H66" s="215"/>
      <c r="I66" s="215"/>
      <c r="J66" s="322"/>
      <c r="K66" s="554"/>
      <c r="L66" s="65"/>
      <c r="M66" s="65"/>
      <c r="N66" s="163">
        <f>LEN(J66)</f>
        <v>0</v>
      </c>
      <c r="O66" s="243"/>
      <c r="P66" s="215"/>
      <c r="Q66" s="65"/>
      <c r="R66" s="65"/>
      <c r="V66" s="550"/>
    </row>
    <row r="67" spans="1:22">
      <c r="A67" s="1"/>
      <c r="B67" s="88"/>
      <c r="C67" s="552"/>
      <c r="D67" s="553"/>
      <c r="E67" s="158">
        <f>F67*120%</f>
        <v>0</v>
      </c>
      <c r="F67" s="158">
        <f>(D67-C67+1)*G67</f>
        <v>0</v>
      </c>
      <c r="G67" s="159">
        <f>M67*20</f>
        <v>0</v>
      </c>
      <c r="H67" s="215"/>
      <c r="I67" s="215"/>
      <c r="J67" s="322"/>
      <c r="K67" s="554"/>
      <c r="L67" s="65"/>
      <c r="M67" s="65"/>
      <c r="N67" s="163">
        <f>LEN(J67)</f>
        <v>0</v>
      </c>
      <c r="O67" s="243"/>
      <c r="P67" s="215"/>
      <c r="Q67" s="65"/>
      <c r="R67" s="65"/>
      <c r="V67" s="550"/>
    </row>
    <row r="68" spans="1:22">
      <c r="A68" s="1"/>
      <c r="B68" s="88"/>
      <c r="C68" s="552"/>
      <c r="D68" s="553"/>
      <c r="E68" s="158">
        <f>F68*120%</f>
        <v>0</v>
      </c>
      <c r="F68" s="158">
        <f>(D68-C68+1)*G68</f>
        <v>0</v>
      </c>
      <c r="G68" s="159">
        <f>M68*20</f>
        <v>0</v>
      </c>
      <c r="H68" s="215"/>
      <c r="I68" s="215"/>
      <c r="J68" s="322"/>
      <c r="K68" s="554"/>
      <c r="L68" s="65"/>
      <c r="M68" s="65"/>
      <c r="N68" s="163">
        <f>LEN(J68)</f>
        <v>0</v>
      </c>
      <c r="O68" s="243"/>
      <c r="P68" s="215"/>
      <c r="Q68" s="65"/>
      <c r="R68" s="65"/>
      <c r="V68" s="550"/>
    </row>
    <row r="69" spans="1:22">
      <c r="A69" s="1"/>
      <c r="B69" s="88"/>
      <c r="C69" s="552"/>
      <c r="D69" s="553"/>
      <c r="E69" s="158">
        <f>F69*120%</f>
        <v>0</v>
      </c>
      <c r="F69" s="158">
        <f>(D69-C69+1)*G69</f>
        <v>0</v>
      </c>
      <c r="G69" s="159">
        <f>M69*20</f>
        <v>0</v>
      </c>
      <c r="H69" s="215"/>
      <c r="I69" s="215"/>
      <c r="J69" s="322"/>
      <c r="K69" s="554"/>
      <c r="L69" s="65"/>
      <c r="M69" s="65"/>
      <c r="N69" s="163">
        <f>LEN(J69)</f>
        <v>0</v>
      </c>
      <c r="O69" s="243"/>
      <c r="P69" s="215"/>
      <c r="Q69" s="65"/>
      <c r="R69" s="65"/>
      <c r="V69" s="550"/>
    </row>
    <row r="70" spans="1:22">
      <c r="A70" s="1"/>
      <c r="B70" s="88"/>
      <c r="C70" s="552"/>
      <c r="D70" s="553"/>
      <c r="E70" s="158">
        <f>F70*120%</f>
        <v>0</v>
      </c>
      <c r="F70" s="158">
        <f>(D70-C70+1)*G70</f>
        <v>0</v>
      </c>
      <c r="G70" s="159">
        <f>M70*20</f>
        <v>0</v>
      </c>
      <c r="H70" s="215"/>
      <c r="I70" s="215"/>
      <c r="J70" s="322"/>
      <c r="K70" s="554"/>
      <c r="L70" s="65"/>
      <c r="M70" s="65"/>
      <c r="N70" s="163">
        <f>LEN(J70)</f>
        <v>0</v>
      </c>
      <c r="O70" s="243"/>
      <c r="P70" s="215"/>
      <c r="Q70" s="65"/>
      <c r="R70" s="65"/>
      <c r="V70" s="550"/>
    </row>
    <row r="71" spans="1:22">
      <c r="A71" s="1"/>
      <c r="B71" s="88"/>
      <c r="C71" s="552"/>
      <c r="D71" s="553"/>
      <c r="E71" s="158">
        <f>F71*120%</f>
        <v>0</v>
      </c>
      <c r="F71" s="158">
        <f>(D71-C71+1)*G71</f>
        <v>0</v>
      </c>
      <c r="G71" s="159">
        <f>M71*20</f>
        <v>0</v>
      </c>
      <c r="H71" s="215"/>
      <c r="I71" s="215"/>
      <c r="J71" s="322"/>
      <c r="K71" s="554"/>
      <c r="L71" s="65"/>
      <c r="M71" s="65"/>
      <c r="N71" s="163">
        <f>LEN(J71)</f>
        <v>0</v>
      </c>
      <c r="O71" s="243"/>
      <c r="P71" s="215"/>
      <c r="Q71" s="65"/>
      <c r="R71" s="65"/>
      <c r="V71" s="550"/>
    </row>
    <row r="72" spans="1:22">
      <c r="A72" s="1"/>
      <c r="B72" s="88"/>
      <c r="C72" s="552"/>
      <c r="D72" s="553"/>
      <c r="E72" s="158">
        <f>F72*120%</f>
        <v>0</v>
      </c>
      <c r="F72" s="158">
        <f>(D72-C72+1)*G72</f>
        <v>0</v>
      </c>
      <c r="G72" s="159">
        <f>M72*20</f>
        <v>0</v>
      </c>
      <c r="H72" s="215"/>
      <c r="I72" s="215"/>
      <c r="J72" s="322"/>
      <c r="K72" s="554"/>
      <c r="L72" s="65"/>
      <c r="M72" s="65"/>
      <c r="N72" s="163">
        <f>LEN(J72)</f>
        <v>0</v>
      </c>
      <c r="O72" s="243"/>
      <c r="P72" s="215"/>
      <c r="Q72" s="65"/>
      <c r="R72" s="65"/>
      <c r="V72" s="550"/>
    </row>
    <row r="73" spans="1:22">
      <c r="A73" s="1"/>
      <c r="B73" s="88"/>
      <c r="C73" s="552"/>
      <c r="D73" s="553"/>
      <c r="E73" s="158">
        <f>F73*120%</f>
        <v>0</v>
      </c>
      <c r="F73" s="158">
        <f>(D73-C73+1)*G73</f>
        <v>0</v>
      </c>
      <c r="G73" s="159">
        <f>M73*20</f>
        <v>0</v>
      </c>
      <c r="H73" s="215"/>
      <c r="I73" s="215"/>
      <c r="J73" s="322"/>
      <c r="K73" s="554"/>
      <c r="L73" s="65"/>
      <c r="M73" s="65"/>
      <c r="N73" s="163">
        <f>LEN(J73)</f>
        <v>0</v>
      </c>
      <c r="O73" s="243"/>
      <c r="P73" s="215"/>
      <c r="Q73" s="65"/>
      <c r="R73" s="65"/>
      <c r="V73" s="550"/>
    </row>
    <row r="74" spans="1:22">
      <c r="A74" s="1"/>
      <c r="B74" s="88"/>
      <c r="C74" s="552"/>
      <c r="D74" s="553"/>
      <c r="E74" s="158">
        <f>F74*120%</f>
        <v>0</v>
      </c>
      <c r="F74" s="158">
        <f>(D74-C74+1)*G74</f>
        <v>0</v>
      </c>
      <c r="G74" s="159">
        <f>M74*20</f>
        <v>0</v>
      </c>
      <c r="H74" s="215"/>
      <c r="I74" s="215"/>
      <c r="J74" s="322"/>
      <c r="K74" s="554"/>
      <c r="L74" s="65"/>
      <c r="M74" s="65"/>
      <c r="N74" s="163">
        <f>LEN(J74)</f>
        <v>0</v>
      </c>
      <c r="O74" s="243"/>
      <c r="P74" s="215"/>
      <c r="Q74" s="65"/>
      <c r="R74" s="65"/>
      <c r="V74" s="550"/>
    </row>
    <row r="75" spans="1:22">
      <c r="A75" s="1"/>
      <c r="B75" s="88"/>
      <c r="C75" s="552"/>
      <c r="D75" s="553"/>
      <c r="E75" s="158">
        <f>F75*120%</f>
        <v>0</v>
      </c>
      <c r="F75" s="158">
        <f>(D75-C75+1)*G75</f>
        <v>0</v>
      </c>
      <c r="G75" s="159">
        <f>M75*20</f>
        <v>0</v>
      </c>
      <c r="H75" s="215"/>
      <c r="I75" s="215"/>
      <c r="J75" s="322"/>
      <c r="K75" s="554"/>
      <c r="L75" s="65"/>
      <c r="M75" s="65"/>
      <c r="N75" s="163">
        <f>LEN(J75)</f>
        <v>0</v>
      </c>
      <c r="O75" s="243"/>
      <c r="P75" s="215"/>
      <c r="Q75" s="65"/>
      <c r="R75" s="65"/>
      <c r="V75" s="550"/>
    </row>
    <row r="76" spans="1:22">
      <c r="A76" s="1"/>
      <c r="B76" s="88"/>
      <c r="C76" s="552"/>
      <c r="D76" s="553"/>
      <c r="E76" s="158">
        <f>F76*120%</f>
        <v>0</v>
      </c>
      <c r="F76" s="158">
        <f>(D76-C76+1)*G76</f>
        <v>0</v>
      </c>
      <c r="G76" s="159">
        <f>M76*20</f>
        <v>0</v>
      </c>
      <c r="H76" s="215"/>
      <c r="I76" s="215"/>
      <c r="J76" s="322"/>
      <c r="K76" s="554"/>
      <c r="L76" s="65"/>
      <c r="M76" s="65"/>
      <c r="N76" s="163">
        <f>LEN(J76)</f>
        <v>0</v>
      </c>
      <c r="O76" s="243"/>
      <c r="P76" s="215"/>
      <c r="Q76" s="65"/>
      <c r="R76" s="65"/>
      <c r="V76" s="550"/>
    </row>
    <row r="77" spans="1:22">
      <c r="A77" s="1"/>
      <c r="B77" s="88"/>
      <c r="C77" s="552"/>
      <c r="D77" s="553"/>
      <c r="E77" s="158">
        <f>F77*120%</f>
        <v>0</v>
      </c>
      <c r="F77" s="158">
        <f>(D77-C77+1)*G77</f>
        <v>0</v>
      </c>
      <c r="G77" s="159">
        <f>M77*20</f>
        <v>0</v>
      </c>
      <c r="H77" s="215"/>
      <c r="I77" s="215"/>
      <c r="J77" s="322"/>
      <c r="K77" s="554"/>
      <c r="L77" s="65"/>
      <c r="M77" s="65"/>
      <c r="N77" s="163">
        <f>LEN(J77)</f>
        <v>0</v>
      </c>
      <c r="O77" s="243"/>
      <c r="P77" s="215"/>
      <c r="Q77" s="65"/>
      <c r="R77" s="65"/>
      <c r="V77" s="550"/>
    </row>
    <row r="78" spans="1:22">
      <c r="A78" s="1"/>
      <c r="B78" s="88"/>
      <c r="C78" s="552"/>
      <c r="D78" s="553"/>
      <c r="E78" s="158">
        <f>F78*120%</f>
        <v>0</v>
      </c>
      <c r="F78" s="158">
        <f>(D78-C78+1)*G78</f>
        <v>0</v>
      </c>
      <c r="G78" s="159">
        <f>M78*20</f>
        <v>0</v>
      </c>
      <c r="H78" s="215"/>
      <c r="I78" s="215"/>
      <c r="J78" s="322"/>
      <c r="K78" s="554"/>
      <c r="L78" s="65"/>
      <c r="M78" s="65"/>
      <c r="N78" s="163">
        <f>LEN(J78)</f>
        <v>0</v>
      </c>
      <c r="O78" s="243"/>
      <c r="P78" s="215"/>
      <c r="Q78" s="65"/>
      <c r="R78" s="65"/>
      <c r="V78" s="550"/>
    </row>
    <row r="79" spans="1:22">
      <c r="A79" s="1"/>
      <c r="B79" s="88"/>
      <c r="C79" s="552"/>
      <c r="D79" s="553"/>
      <c r="E79" s="158">
        <f>F79*120%</f>
        <v>0</v>
      </c>
      <c r="F79" s="158">
        <f>(D79-C79+1)*G79</f>
        <v>0</v>
      </c>
      <c r="G79" s="159">
        <f>M79*20</f>
        <v>0</v>
      </c>
      <c r="H79" s="215"/>
      <c r="I79" s="215"/>
      <c r="J79" s="322"/>
      <c r="K79" s="554"/>
      <c r="L79" s="65"/>
      <c r="M79" s="65"/>
      <c r="N79" s="163">
        <f>LEN(J79)</f>
        <v>0</v>
      </c>
      <c r="O79" s="243"/>
      <c r="P79" s="215"/>
      <c r="Q79" s="65"/>
      <c r="R79" s="65"/>
      <c r="V79" s="550"/>
    </row>
    <row r="80" spans="1:22">
      <c r="A80" s="1"/>
      <c r="B80" s="88"/>
      <c r="C80" s="552"/>
      <c r="D80" s="553"/>
      <c r="E80" s="158">
        <f>F80*120%</f>
        <v>0</v>
      </c>
      <c r="F80" s="158">
        <f>(D80-C80+1)*G80</f>
        <v>0</v>
      </c>
      <c r="G80" s="159">
        <f>M80*20</f>
        <v>0</v>
      </c>
      <c r="H80" s="215"/>
      <c r="I80" s="215"/>
      <c r="J80" s="322"/>
      <c r="K80" s="554"/>
      <c r="L80" s="65"/>
      <c r="M80" s="65"/>
      <c r="N80" s="163">
        <f>LEN(J80)</f>
        <v>0</v>
      </c>
      <c r="O80" s="243"/>
      <c r="P80" s="215"/>
      <c r="Q80" s="65"/>
      <c r="R80" s="65"/>
      <c r="V80" s="550"/>
    </row>
    <row r="81" spans="1:22">
      <c r="A81" s="1"/>
      <c r="B81" s="88"/>
      <c r="C81" s="552"/>
      <c r="D81" s="553"/>
      <c r="E81" s="158">
        <f>F81*120%</f>
        <v>0</v>
      </c>
      <c r="F81" s="158">
        <f>(D81-C81+1)*G81</f>
        <v>0</v>
      </c>
      <c r="G81" s="159">
        <f>M81*20</f>
        <v>0</v>
      </c>
      <c r="H81" s="215"/>
      <c r="I81" s="215"/>
      <c r="J81" s="322"/>
      <c r="K81" s="554"/>
      <c r="L81" s="65"/>
      <c r="M81" s="65"/>
      <c r="N81" s="163">
        <f>LEN(J81)</f>
        <v>0</v>
      </c>
      <c r="O81" s="243"/>
      <c r="P81" s="215"/>
      <c r="Q81" s="65"/>
      <c r="R81" s="65"/>
      <c r="V81" s="550"/>
    </row>
    <row r="82" spans="1:22">
      <c r="A82" s="1"/>
      <c r="B82" s="88"/>
      <c r="C82" s="552"/>
      <c r="D82" s="553"/>
      <c r="E82" s="158">
        <f>F82*120%</f>
        <v>0</v>
      </c>
      <c r="F82" s="158">
        <f>(D82-C82+1)*G82</f>
        <v>0</v>
      </c>
      <c r="G82" s="159">
        <f>M82*20</f>
        <v>0</v>
      </c>
      <c r="H82" s="215"/>
      <c r="I82" s="215"/>
      <c r="J82" s="322"/>
      <c r="K82" s="554"/>
      <c r="L82" s="65"/>
      <c r="M82" s="65"/>
      <c r="N82" s="163">
        <f>LEN(J82)</f>
        <v>0</v>
      </c>
      <c r="O82" s="243"/>
      <c r="P82" s="215"/>
      <c r="Q82" s="65"/>
      <c r="R82" s="65"/>
      <c r="V82" s="550"/>
    </row>
    <row r="83" spans="1:22">
      <c r="A83" s="1"/>
      <c r="B83" s="88"/>
      <c r="C83" s="552"/>
      <c r="D83" s="553"/>
      <c r="E83" s="158">
        <f>F83*120%</f>
        <v>0</v>
      </c>
      <c r="F83" s="158">
        <f>(D83-C83+1)*G83</f>
        <v>0</v>
      </c>
      <c r="G83" s="159">
        <f>M83*20</f>
        <v>0</v>
      </c>
      <c r="H83" s="215"/>
      <c r="I83" s="215"/>
      <c r="J83" s="322"/>
      <c r="K83" s="554"/>
      <c r="L83" s="65"/>
      <c r="M83" s="65"/>
      <c r="N83" s="163">
        <f>LEN(J83)</f>
        <v>0</v>
      </c>
      <c r="O83" s="243"/>
      <c r="P83" s="215"/>
      <c r="Q83" s="65"/>
      <c r="R83" s="65"/>
      <c r="V83" s="550"/>
    </row>
    <row r="84" spans="1:22">
      <c r="A84" s="1"/>
      <c r="B84" s="88"/>
      <c r="C84" s="552"/>
      <c r="D84" s="553"/>
      <c r="E84" s="158">
        <f>F84*120%</f>
        <v>0</v>
      </c>
      <c r="F84" s="158">
        <f>(D84-C84+1)*G84</f>
        <v>0</v>
      </c>
      <c r="G84" s="159">
        <f>M84*20</f>
        <v>0</v>
      </c>
      <c r="H84" s="215"/>
      <c r="I84" s="215"/>
      <c r="J84" s="322"/>
      <c r="K84" s="554"/>
      <c r="L84" s="65"/>
      <c r="M84" s="65"/>
      <c r="N84" s="163">
        <f>LEN(J84)</f>
        <v>0</v>
      </c>
      <c r="O84" s="243"/>
      <c r="P84" s="215"/>
      <c r="Q84" s="65"/>
      <c r="R84" s="65"/>
      <c r="V84" s="550"/>
    </row>
    <row r="85" spans="1:22">
      <c r="A85" s="1"/>
      <c r="B85" s="88"/>
      <c r="C85" s="552"/>
      <c r="D85" s="553"/>
      <c r="E85" s="158">
        <f>F85*120%</f>
        <v>0</v>
      </c>
      <c r="F85" s="158">
        <f>(D85-C85+1)*G85</f>
        <v>0</v>
      </c>
      <c r="G85" s="159">
        <f>M85*20</f>
        <v>0</v>
      </c>
      <c r="H85" s="215"/>
      <c r="I85" s="215"/>
      <c r="J85" s="322"/>
      <c r="K85" s="554"/>
      <c r="L85" s="65"/>
      <c r="M85" s="65"/>
      <c r="N85" s="163">
        <f>LEN(J85)</f>
        <v>0</v>
      </c>
      <c r="O85" s="243"/>
      <c r="P85" s="215"/>
      <c r="Q85" s="65"/>
      <c r="R85" s="65"/>
      <c r="V85" s="550"/>
    </row>
    <row r="86" spans="1:22">
      <c r="A86" s="1"/>
      <c r="B86" s="88"/>
      <c r="C86" s="552"/>
      <c r="D86" s="553"/>
      <c r="E86" s="158">
        <f>F86*120%</f>
        <v>0</v>
      </c>
      <c r="F86" s="158">
        <f>(D86-C86+1)*G86</f>
        <v>0</v>
      </c>
      <c r="G86" s="159">
        <f>M86*20</f>
        <v>0</v>
      </c>
      <c r="H86" s="215"/>
      <c r="I86" s="215"/>
      <c r="J86" s="322"/>
      <c r="K86" s="554"/>
      <c r="L86" s="65"/>
      <c r="M86" s="65"/>
      <c r="N86" s="163">
        <f>LEN(J86)</f>
        <v>0</v>
      </c>
      <c r="O86" s="243"/>
      <c r="P86" s="215"/>
      <c r="Q86" s="65"/>
      <c r="R86" s="65"/>
      <c r="V86" s="550"/>
    </row>
    <row r="87" spans="1:22">
      <c r="A87" s="1"/>
      <c r="B87" s="88"/>
      <c r="C87" s="552"/>
      <c r="D87" s="553"/>
      <c r="E87" s="158">
        <f>F87*120%</f>
        <v>0</v>
      </c>
      <c r="F87" s="158">
        <f>(D87-C87+1)*G87</f>
        <v>0</v>
      </c>
      <c r="G87" s="159">
        <f>M87*20</f>
        <v>0</v>
      </c>
      <c r="H87" s="215"/>
      <c r="I87" s="215"/>
      <c r="J87" s="322"/>
      <c r="K87" s="554"/>
      <c r="L87" s="65"/>
      <c r="M87" s="65"/>
      <c r="N87" s="163">
        <f>LEN(J87)</f>
        <v>0</v>
      </c>
      <c r="O87" s="243"/>
      <c r="P87" s="215"/>
      <c r="Q87" s="65"/>
      <c r="R87" s="65"/>
      <c r="V87" s="550"/>
    </row>
    <row r="88" spans="1:22">
      <c r="A88" s="1"/>
      <c r="B88" s="88"/>
      <c r="C88" s="552"/>
      <c r="D88" s="553"/>
      <c r="E88" s="158">
        <f>F88*120%</f>
        <v>0</v>
      </c>
      <c r="F88" s="158">
        <f>(D88-C88+1)*G88</f>
        <v>0</v>
      </c>
      <c r="G88" s="159">
        <f>M88*20</f>
        <v>0</v>
      </c>
      <c r="H88" s="215"/>
      <c r="I88" s="215"/>
      <c r="J88" s="322"/>
      <c r="K88" s="554"/>
      <c r="L88" s="65"/>
      <c r="M88" s="65"/>
      <c r="N88" s="163">
        <f>LEN(J88)</f>
        <v>0</v>
      </c>
      <c r="O88" s="243"/>
      <c r="P88" s="215"/>
      <c r="Q88" s="65"/>
      <c r="R88" s="65"/>
      <c r="V88" s="550"/>
    </row>
    <row r="89" spans="1:22">
      <c r="A89" s="1"/>
      <c r="B89" s="88"/>
      <c r="C89" s="552"/>
      <c r="D89" s="553"/>
      <c r="E89" s="158">
        <f>F89*120%</f>
        <v>0</v>
      </c>
      <c r="F89" s="158">
        <f>(D89-C89+1)*G89</f>
        <v>0</v>
      </c>
      <c r="G89" s="159">
        <f>M89*20</f>
        <v>0</v>
      </c>
      <c r="H89" s="215"/>
      <c r="I89" s="215"/>
      <c r="J89" s="322"/>
      <c r="K89" s="554"/>
      <c r="L89" s="65"/>
      <c r="M89" s="65"/>
      <c r="N89" s="163">
        <f>LEN(J89)</f>
        <v>0</v>
      </c>
      <c r="O89" s="243"/>
      <c r="P89" s="215"/>
      <c r="Q89" s="65"/>
      <c r="R89" s="65"/>
      <c r="V89" s="550"/>
    </row>
    <row r="90" spans="1:22">
      <c r="A90" s="1"/>
      <c r="B90" s="88"/>
      <c r="C90" s="552"/>
      <c r="D90" s="553"/>
      <c r="E90" s="158">
        <f>F90*120%</f>
        <v>0</v>
      </c>
      <c r="F90" s="158">
        <f>(D90-C90+1)*G90</f>
        <v>0</v>
      </c>
      <c r="G90" s="159">
        <f>M90*20</f>
        <v>0</v>
      </c>
      <c r="H90" s="215"/>
      <c r="I90" s="215"/>
      <c r="J90" s="322"/>
      <c r="K90" s="554"/>
      <c r="L90" s="65"/>
      <c r="M90" s="65"/>
      <c r="N90" s="163">
        <f>LEN(J90)</f>
        <v>0</v>
      </c>
      <c r="O90" s="243"/>
      <c r="P90" s="215"/>
      <c r="Q90" s="65"/>
      <c r="R90" s="65"/>
      <c r="V90" s="550"/>
    </row>
    <row r="91" spans="1:22">
      <c r="A91" s="1"/>
      <c r="B91" s="88"/>
      <c r="C91" s="552"/>
      <c r="D91" s="553"/>
      <c r="E91" s="158">
        <f>F91*120%</f>
        <v>0</v>
      </c>
      <c r="F91" s="158">
        <f>(D91-C91+1)*G91</f>
        <v>0</v>
      </c>
      <c r="G91" s="159">
        <f>M91*20</f>
        <v>0</v>
      </c>
      <c r="H91" s="215"/>
      <c r="I91" s="215"/>
      <c r="J91" s="322"/>
      <c r="K91" s="554"/>
      <c r="L91" s="65"/>
      <c r="M91" s="65"/>
      <c r="N91" s="163">
        <f>LEN(J91)</f>
        <v>0</v>
      </c>
      <c r="O91" s="243"/>
      <c r="P91" s="215"/>
      <c r="Q91" s="65"/>
      <c r="R91" s="65"/>
      <c r="V91" s="550"/>
    </row>
    <row r="92" spans="1:22">
      <c r="A92" s="1"/>
      <c r="B92" s="88"/>
      <c r="C92" s="552"/>
      <c r="D92" s="553"/>
      <c r="E92" s="158">
        <f>F92*120%</f>
        <v>0</v>
      </c>
      <c r="F92" s="158">
        <f>(D92-C92+1)*G92</f>
        <v>0</v>
      </c>
      <c r="G92" s="159">
        <f>M92*20</f>
        <v>0</v>
      </c>
      <c r="H92" s="215"/>
      <c r="I92" s="215"/>
      <c r="J92" s="322"/>
      <c r="K92" s="554"/>
      <c r="L92" s="65"/>
      <c r="M92" s="65"/>
      <c r="N92" s="163">
        <f>LEN(J92)</f>
        <v>0</v>
      </c>
      <c r="O92" s="243"/>
      <c r="P92" s="215"/>
      <c r="Q92" s="65"/>
      <c r="R92" s="65"/>
      <c r="V92" s="550"/>
    </row>
    <row r="93" spans="1:22">
      <c r="A93" s="1"/>
      <c r="B93" s="88"/>
      <c r="C93" s="552"/>
      <c r="D93" s="553"/>
      <c r="E93" s="158">
        <f>F93*120%</f>
        <v>0</v>
      </c>
      <c r="F93" s="158">
        <f>(D93-C93+1)*G93</f>
        <v>0</v>
      </c>
      <c r="G93" s="159">
        <f>M93*20</f>
        <v>0</v>
      </c>
      <c r="H93" s="215"/>
      <c r="I93" s="215"/>
      <c r="J93" s="322"/>
      <c r="K93" s="554"/>
      <c r="L93" s="65"/>
      <c r="M93" s="65"/>
      <c r="N93" s="163">
        <f>LEN(J93)</f>
        <v>0</v>
      </c>
      <c r="O93" s="243"/>
      <c r="P93" s="215"/>
      <c r="Q93" s="65"/>
      <c r="R93" s="65"/>
      <c r="V93" s="550"/>
    </row>
    <row r="94" spans="1:22">
      <c r="A94" s="1"/>
      <c r="B94" s="88"/>
      <c r="C94" s="552"/>
      <c r="D94" s="553"/>
      <c r="E94" s="158">
        <f>F94*120%</f>
        <v>0</v>
      </c>
      <c r="F94" s="158">
        <f>(D94-C94+1)*G94</f>
        <v>0</v>
      </c>
      <c r="G94" s="159">
        <f>M94*20</f>
        <v>0</v>
      </c>
      <c r="H94" s="215"/>
      <c r="I94" s="215"/>
      <c r="J94" s="322"/>
      <c r="K94" s="554"/>
      <c r="L94" s="65"/>
      <c r="M94" s="65"/>
      <c r="N94" s="163">
        <f>LEN(J94)</f>
        <v>0</v>
      </c>
      <c r="O94" s="243"/>
      <c r="P94" s="215"/>
      <c r="Q94" s="65"/>
      <c r="R94" s="65"/>
      <c r="V94" s="550"/>
    </row>
    <row r="95" spans="1:22">
      <c r="A95" s="1"/>
      <c r="B95" s="88"/>
      <c r="C95" s="552"/>
      <c r="D95" s="553"/>
      <c r="E95" s="158">
        <f>F95*120%</f>
        <v>0</v>
      </c>
      <c r="F95" s="158">
        <f>(D95-C95+1)*G95</f>
        <v>0</v>
      </c>
      <c r="G95" s="159">
        <f>M95*20</f>
        <v>0</v>
      </c>
      <c r="H95" s="215"/>
      <c r="I95" s="215"/>
      <c r="J95" s="322"/>
      <c r="K95" s="554"/>
      <c r="L95" s="65"/>
      <c r="M95" s="65"/>
      <c r="N95" s="163">
        <f>LEN(J95)</f>
        <v>0</v>
      </c>
      <c r="O95" s="243"/>
      <c r="P95" s="215"/>
      <c r="Q95" s="65"/>
      <c r="R95" s="65"/>
      <c r="V95" s="550"/>
    </row>
    <row r="96" spans="1:22">
      <c r="A96" s="1"/>
      <c r="B96" s="88"/>
      <c r="C96" s="552"/>
      <c r="D96" s="553"/>
      <c r="E96" s="158">
        <f>F96*120%</f>
        <v>0</v>
      </c>
      <c r="F96" s="158">
        <f>(D96-C96+1)*G96</f>
        <v>0</v>
      </c>
      <c r="G96" s="159">
        <f>M96*20</f>
        <v>0</v>
      </c>
      <c r="H96" s="215"/>
      <c r="I96" s="215"/>
      <c r="J96" s="322"/>
      <c r="K96" s="554"/>
      <c r="L96" s="65"/>
      <c r="M96" s="65"/>
      <c r="N96" s="163">
        <f>LEN(J96)</f>
        <v>0</v>
      </c>
      <c r="O96" s="243"/>
      <c r="P96" s="215"/>
      <c r="Q96" s="65"/>
      <c r="R96" s="65"/>
      <c r="V96" s="550"/>
    </row>
    <row r="97" spans="1:22">
      <c r="A97" s="1"/>
      <c r="B97" s="88"/>
      <c r="C97" s="552"/>
      <c r="D97" s="553"/>
      <c r="E97" s="158">
        <f>F97*120%</f>
        <v>0</v>
      </c>
      <c r="F97" s="158">
        <f>(D97-C97+1)*G97</f>
        <v>0</v>
      </c>
      <c r="G97" s="159">
        <f>M97*20</f>
        <v>0</v>
      </c>
      <c r="H97" s="215"/>
      <c r="I97" s="215"/>
      <c r="J97" s="322"/>
      <c r="K97" s="554"/>
      <c r="L97" s="65"/>
      <c r="M97" s="65"/>
      <c r="N97" s="163">
        <f>LEN(J97)</f>
        <v>0</v>
      </c>
      <c r="O97" s="243"/>
      <c r="P97" s="215"/>
      <c r="Q97" s="65"/>
      <c r="R97" s="65"/>
      <c r="V97" s="550"/>
    </row>
    <row r="98" spans="1:22">
      <c r="A98" s="1"/>
      <c r="B98" s="88"/>
      <c r="C98" s="552"/>
      <c r="D98" s="553"/>
      <c r="E98" s="158">
        <f>F98*120%</f>
        <v>0</v>
      </c>
      <c r="F98" s="158">
        <f>(D98-C98+1)*G98</f>
        <v>0</v>
      </c>
      <c r="G98" s="159">
        <f>M98*20</f>
        <v>0</v>
      </c>
      <c r="H98" s="215"/>
      <c r="I98" s="215"/>
      <c r="J98" s="322"/>
      <c r="K98" s="554"/>
      <c r="L98" s="65"/>
      <c r="M98" s="65"/>
      <c r="N98" s="163">
        <f>LEN(J98)</f>
        <v>0</v>
      </c>
      <c r="O98" s="243"/>
      <c r="P98" s="215"/>
      <c r="Q98" s="65"/>
      <c r="R98" s="65"/>
      <c r="V98" s="550"/>
    </row>
    <row r="99" spans="1:22">
      <c r="A99" s="1"/>
      <c r="B99" s="88"/>
      <c r="C99" s="552"/>
      <c r="D99" s="553"/>
      <c r="E99" s="158">
        <f>F99*120%</f>
        <v>0</v>
      </c>
      <c r="F99" s="158">
        <f>(D99-C99+1)*G99</f>
        <v>0</v>
      </c>
      <c r="G99" s="159">
        <f>M99*20</f>
        <v>0</v>
      </c>
      <c r="H99" s="215"/>
      <c r="I99" s="215"/>
      <c r="J99" s="322"/>
      <c r="K99" s="554"/>
      <c r="L99" s="65"/>
      <c r="M99" s="65"/>
      <c r="N99" s="163">
        <f>LEN(J99)</f>
        <v>0</v>
      </c>
      <c r="O99" s="243"/>
      <c r="P99" s="215"/>
      <c r="Q99" s="65"/>
      <c r="R99" s="65"/>
      <c r="V99" s="550"/>
    </row>
    <row r="100" spans="1:22">
      <c r="A100" s="1"/>
      <c r="B100" s="88"/>
      <c r="C100" s="552"/>
      <c r="D100" s="553"/>
      <c r="E100" s="158">
        <f>F100*120%</f>
        <v>0</v>
      </c>
      <c r="F100" s="158">
        <f>(D100-C100+1)*G100</f>
        <v>0</v>
      </c>
      <c r="G100" s="159">
        <f>M100*20</f>
        <v>0</v>
      </c>
      <c r="H100" s="215"/>
      <c r="I100" s="215"/>
      <c r="J100" s="322"/>
      <c r="K100" s="554"/>
      <c r="L100" s="65"/>
      <c r="M100" s="65"/>
      <c r="N100" s="163">
        <f>LEN(J100)</f>
        <v>0</v>
      </c>
      <c r="O100" s="243"/>
      <c r="P100" s="215"/>
      <c r="Q100" s="65"/>
      <c r="R100" s="65"/>
      <c r="V100" s="550"/>
    </row>
    <row r="101" spans="1:22">
      <c r="A101" s="1"/>
      <c r="B101" s="88"/>
      <c r="C101" s="552"/>
      <c r="D101" s="553"/>
      <c r="E101" s="158">
        <f>F101*120%</f>
        <v>0</v>
      </c>
      <c r="F101" s="158">
        <f>(D101-C101+1)*G101</f>
        <v>0</v>
      </c>
      <c r="G101" s="159">
        <f>M101*20</f>
        <v>0</v>
      </c>
      <c r="H101" s="215"/>
      <c r="I101" s="215"/>
      <c r="J101" s="322"/>
      <c r="K101" s="554"/>
      <c r="L101" s="65"/>
      <c r="M101" s="65"/>
      <c r="N101" s="163">
        <f>LEN(J101)</f>
        <v>0</v>
      </c>
      <c r="O101" s="243"/>
      <c r="P101" s="215"/>
      <c r="Q101" s="65"/>
      <c r="R101" s="65"/>
      <c r="V101" s="550"/>
    </row>
    <row r="102" spans="1:22">
      <c r="A102" s="1"/>
      <c r="B102" s="88"/>
      <c r="C102" s="552"/>
      <c r="D102" s="553"/>
      <c r="E102" s="158">
        <f>F102*120%</f>
        <v>0</v>
      </c>
      <c r="F102" s="158">
        <f>(D102-C102+1)*G102</f>
        <v>0</v>
      </c>
      <c r="G102" s="159">
        <f>M102*20</f>
        <v>0</v>
      </c>
      <c r="H102" s="215"/>
      <c r="I102" s="215"/>
      <c r="J102" s="322"/>
      <c r="K102" s="554"/>
      <c r="L102" s="65"/>
      <c r="M102" s="65"/>
      <c r="N102" s="163">
        <f>LEN(J102)</f>
        <v>0</v>
      </c>
      <c r="O102" s="243"/>
      <c r="P102" s="215"/>
      <c r="Q102" s="65"/>
      <c r="R102" s="65"/>
      <c r="V102" s="550"/>
    </row>
    <row r="103" spans="1:22">
      <c r="A103" s="1"/>
      <c r="B103" s="88"/>
      <c r="C103" s="552"/>
      <c r="D103" s="553"/>
      <c r="E103" s="158">
        <f>F103*120%</f>
        <v>0</v>
      </c>
      <c r="F103" s="158">
        <f>(D103-C103+1)*G103</f>
        <v>0</v>
      </c>
      <c r="G103" s="159">
        <f>M103*20</f>
        <v>0</v>
      </c>
      <c r="H103" s="215"/>
      <c r="I103" s="215"/>
      <c r="J103" s="322"/>
      <c r="K103" s="554"/>
      <c r="L103" s="65"/>
      <c r="M103" s="65"/>
      <c r="N103" s="163">
        <f>LEN(J103)</f>
        <v>0</v>
      </c>
      <c r="O103" s="243"/>
      <c r="P103" s="215"/>
      <c r="Q103" s="65"/>
      <c r="R103" s="65"/>
      <c r="V103" s="550"/>
    </row>
    <row r="104" spans="1:22">
      <c r="A104" s="1"/>
      <c r="B104" s="88"/>
      <c r="C104" s="552"/>
      <c r="D104" s="553"/>
      <c r="E104" s="158">
        <f>F104*120%</f>
        <v>0</v>
      </c>
      <c r="F104" s="158">
        <f>(D104-C104+1)*G104</f>
        <v>0</v>
      </c>
      <c r="G104" s="159">
        <f>M104*20</f>
        <v>0</v>
      </c>
      <c r="H104" s="215"/>
      <c r="I104" s="215"/>
      <c r="J104" s="322"/>
      <c r="K104" s="554"/>
      <c r="L104" s="65"/>
      <c r="M104" s="65"/>
      <c r="N104" s="163">
        <f>LEN(J104)</f>
        <v>0</v>
      </c>
      <c r="O104" s="243"/>
      <c r="P104" s="215"/>
      <c r="Q104" s="65"/>
      <c r="R104" s="65"/>
      <c r="V104" s="550"/>
    </row>
    <row r="105" spans="1:22">
      <c r="A105" s="1"/>
      <c r="B105" s="88"/>
      <c r="C105" s="552"/>
      <c r="D105" s="553"/>
      <c r="E105" s="158">
        <f>F105*120%</f>
        <v>0</v>
      </c>
      <c r="F105" s="158">
        <f>(D105-C105+1)*G105</f>
        <v>0</v>
      </c>
      <c r="G105" s="159">
        <f>M105*20</f>
        <v>0</v>
      </c>
      <c r="H105" s="215"/>
      <c r="I105" s="215"/>
      <c r="J105" s="322"/>
      <c r="K105" s="554"/>
      <c r="L105" s="65"/>
      <c r="M105" s="65"/>
      <c r="N105" s="163">
        <f>LEN(J105)</f>
        <v>0</v>
      </c>
      <c r="O105" s="243"/>
      <c r="P105" s="215"/>
      <c r="Q105" s="65"/>
      <c r="R105" s="65"/>
      <c r="V105" s="550"/>
    </row>
    <row r="106" spans="1:22">
      <c r="A106" s="1"/>
      <c r="B106" s="88"/>
      <c r="C106" s="552"/>
      <c r="D106" s="553"/>
      <c r="E106" s="158">
        <f>F106*120%</f>
        <v>0</v>
      </c>
      <c r="F106" s="158">
        <f>(D106-C106+1)*G106</f>
        <v>0</v>
      </c>
      <c r="G106" s="159">
        <f>M106*20</f>
        <v>0</v>
      </c>
      <c r="H106" s="215"/>
      <c r="I106" s="215"/>
      <c r="J106" s="322"/>
      <c r="K106" s="554"/>
      <c r="L106" s="65"/>
      <c r="M106" s="65"/>
      <c r="N106" s="163">
        <f>LEN(J106)</f>
        <v>0</v>
      </c>
      <c r="O106" s="243"/>
      <c r="P106" s="215"/>
      <c r="Q106" s="65"/>
      <c r="R106" s="65"/>
      <c r="V106" s="550"/>
    </row>
    <row r="107" spans="1:22">
      <c r="A107" s="1"/>
      <c r="B107" s="88"/>
      <c r="C107" s="552"/>
      <c r="D107" s="553"/>
      <c r="E107" s="158">
        <f>F107*120%</f>
        <v>0</v>
      </c>
      <c r="F107" s="158">
        <f>(D107-C107+1)*G107</f>
        <v>0</v>
      </c>
      <c r="G107" s="159">
        <f>M107*20</f>
        <v>0</v>
      </c>
      <c r="H107" s="215"/>
      <c r="I107" s="215"/>
      <c r="J107" s="322"/>
      <c r="K107" s="554"/>
      <c r="L107" s="65"/>
      <c r="M107" s="65"/>
      <c r="N107" s="163">
        <f>LEN(J107)</f>
        <v>0</v>
      </c>
      <c r="O107" s="243"/>
      <c r="P107" s="215"/>
      <c r="Q107" s="65"/>
      <c r="R107" s="65"/>
      <c r="V107" s="550"/>
    </row>
    <row r="108" spans="1:22">
      <c r="A108" s="1"/>
      <c r="B108" s="88"/>
      <c r="C108" s="552"/>
      <c r="D108" s="553"/>
      <c r="E108" s="158">
        <f>F108*120%</f>
        <v>0</v>
      </c>
      <c r="F108" s="158">
        <f>(D108-C108+1)*G108</f>
        <v>0</v>
      </c>
      <c r="G108" s="159">
        <f>M108*20</f>
        <v>0</v>
      </c>
      <c r="H108" s="215"/>
      <c r="I108" s="215"/>
      <c r="J108" s="322"/>
      <c r="K108" s="554"/>
      <c r="L108" s="65"/>
      <c r="M108" s="65"/>
      <c r="N108" s="163">
        <f>LEN(J108)</f>
        <v>0</v>
      </c>
      <c r="O108" s="243"/>
      <c r="P108" s="215"/>
      <c r="Q108" s="65"/>
      <c r="R108" s="65"/>
      <c r="V108" s="550"/>
    </row>
    <row r="109" spans="1:22">
      <c r="A109" s="1"/>
      <c r="B109" s="88"/>
      <c r="C109" s="552"/>
      <c r="D109" s="553"/>
      <c r="E109" s="158">
        <f>F109*120%</f>
        <v>0</v>
      </c>
      <c r="F109" s="158">
        <f>(D109-C109+1)*G109</f>
        <v>0</v>
      </c>
      <c r="G109" s="159">
        <f>M109*20</f>
        <v>0</v>
      </c>
      <c r="H109" s="215"/>
      <c r="I109" s="215"/>
      <c r="J109" s="322"/>
      <c r="K109" s="554"/>
      <c r="L109" s="65"/>
      <c r="M109" s="65"/>
      <c r="N109" s="163">
        <f>LEN(J109)</f>
        <v>0</v>
      </c>
      <c r="O109" s="243"/>
      <c r="P109" s="215"/>
      <c r="Q109" s="65"/>
      <c r="R109" s="65"/>
      <c r="V109" s="550"/>
    </row>
    <row r="110" spans="1:22">
      <c r="A110" s="1"/>
      <c r="B110" s="88"/>
      <c r="C110" s="552"/>
      <c r="D110" s="553"/>
      <c r="E110" s="158">
        <f>F110*120%</f>
        <v>0</v>
      </c>
      <c r="F110" s="158">
        <f>(D110-C110+1)*G110</f>
        <v>0</v>
      </c>
      <c r="G110" s="159">
        <f>M110*20</f>
        <v>0</v>
      </c>
      <c r="H110" s="215"/>
      <c r="I110" s="215"/>
      <c r="J110" s="322"/>
      <c r="K110" s="554"/>
      <c r="L110" s="65"/>
      <c r="M110" s="65"/>
      <c r="N110" s="163">
        <f>LEN(J110)</f>
        <v>0</v>
      </c>
      <c r="O110" s="243"/>
      <c r="P110" s="215"/>
      <c r="Q110" s="65"/>
      <c r="R110" s="65"/>
      <c r="V110" s="550"/>
    </row>
    <row r="111" spans="1:22">
      <c r="A111" s="1"/>
      <c r="B111" s="88"/>
      <c r="C111" s="552"/>
      <c r="D111" s="553"/>
      <c r="E111" s="158">
        <f>F111*120%</f>
        <v>0</v>
      </c>
      <c r="F111" s="158">
        <f>(D111-C111+1)*G111</f>
        <v>0</v>
      </c>
      <c r="G111" s="159">
        <f>M111*20</f>
        <v>0</v>
      </c>
      <c r="H111" s="215"/>
      <c r="I111" s="215"/>
      <c r="J111" s="322"/>
      <c r="K111" s="554"/>
      <c r="L111" s="65"/>
      <c r="M111" s="65"/>
      <c r="N111" s="163">
        <f>LEN(J111)</f>
        <v>0</v>
      </c>
      <c r="O111" s="243"/>
      <c r="P111" s="215"/>
      <c r="Q111" s="65"/>
      <c r="R111" s="65"/>
      <c r="V111" s="550"/>
    </row>
    <row r="112" spans="1:22">
      <c r="A112" s="1"/>
      <c r="B112" s="88"/>
      <c r="C112" s="552"/>
      <c r="D112" s="553"/>
      <c r="E112" s="158">
        <f>F112*120%</f>
        <v>0</v>
      </c>
      <c r="F112" s="158">
        <f>(D112-C112+1)*G112</f>
        <v>0</v>
      </c>
      <c r="G112" s="159">
        <f>M112*20</f>
        <v>0</v>
      </c>
      <c r="H112" s="215"/>
      <c r="I112" s="215"/>
      <c r="J112" s="322"/>
      <c r="K112" s="554"/>
      <c r="L112" s="65"/>
      <c r="M112" s="65"/>
      <c r="N112" s="163">
        <f>LEN(J112)</f>
        <v>0</v>
      </c>
      <c r="O112" s="243"/>
      <c r="P112" s="215"/>
      <c r="Q112" s="65"/>
      <c r="R112" s="65"/>
      <c r="V112" s="550"/>
    </row>
    <row r="113" spans="1:22">
      <c r="A113" s="1"/>
      <c r="B113" s="88"/>
      <c r="C113" s="552"/>
      <c r="D113" s="553"/>
      <c r="E113" s="158">
        <f>F113*120%</f>
        <v>0</v>
      </c>
      <c r="F113" s="158">
        <f>(D113-C113+1)*G113</f>
        <v>0</v>
      </c>
      <c r="G113" s="159">
        <f>M113*20</f>
        <v>0</v>
      </c>
      <c r="H113" s="215"/>
      <c r="I113" s="215"/>
      <c r="J113" s="322"/>
      <c r="K113" s="554"/>
      <c r="L113" s="65"/>
      <c r="M113" s="65"/>
      <c r="N113" s="163">
        <f>LEN(J113)</f>
        <v>0</v>
      </c>
      <c r="O113" s="243"/>
      <c r="P113" s="215"/>
      <c r="Q113" s="65"/>
      <c r="R113" s="65"/>
      <c r="V113" s="550"/>
    </row>
    <row r="114" spans="1:22">
      <c r="A114" s="1"/>
      <c r="B114" s="88"/>
      <c r="C114" s="552"/>
      <c r="D114" s="553"/>
      <c r="E114" s="158">
        <f>F114*120%</f>
        <v>0</v>
      </c>
      <c r="F114" s="158">
        <f>(D114-C114+1)*G114</f>
        <v>0</v>
      </c>
      <c r="G114" s="159">
        <f>M114*20</f>
        <v>0</v>
      </c>
      <c r="H114" s="215"/>
      <c r="I114" s="215"/>
      <c r="J114" s="322"/>
      <c r="K114" s="554"/>
      <c r="L114" s="65"/>
      <c r="M114" s="65"/>
      <c r="N114" s="163">
        <f>LEN(J114)</f>
        <v>0</v>
      </c>
      <c r="O114" s="243"/>
      <c r="P114" s="215"/>
      <c r="Q114" s="65"/>
      <c r="R114" s="65"/>
      <c r="V114" s="550"/>
    </row>
    <row r="115" spans="1:22">
      <c r="A115" s="1"/>
      <c r="B115" s="88"/>
      <c r="C115" s="552"/>
      <c r="D115" s="553"/>
      <c r="E115" s="158">
        <f>F115*120%</f>
        <v>0</v>
      </c>
      <c r="F115" s="158">
        <f>(D115-C115+1)*G115</f>
        <v>0</v>
      </c>
      <c r="G115" s="159">
        <f>M115*20</f>
        <v>0</v>
      </c>
      <c r="H115" s="215"/>
      <c r="I115" s="215"/>
      <c r="J115" s="322"/>
      <c r="K115" s="554"/>
      <c r="L115" s="65"/>
      <c r="M115" s="65"/>
      <c r="N115" s="163">
        <f>LEN(J115)</f>
        <v>0</v>
      </c>
      <c r="O115" s="243"/>
      <c r="P115" s="215"/>
      <c r="Q115" s="65"/>
      <c r="R115" s="65"/>
      <c r="V115" s="550"/>
    </row>
    <row r="116" spans="1:22">
      <c r="A116" s="1"/>
      <c r="B116" s="88"/>
      <c r="C116" s="552"/>
      <c r="D116" s="553"/>
      <c r="E116" s="158">
        <f>F116*120%</f>
        <v>0</v>
      </c>
      <c r="F116" s="158">
        <f>(D116-C116+1)*G116</f>
        <v>0</v>
      </c>
      <c r="G116" s="159">
        <f>M116*20</f>
        <v>0</v>
      </c>
      <c r="H116" s="215"/>
      <c r="I116" s="215"/>
      <c r="J116" s="322"/>
      <c r="K116" s="554"/>
      <c r="L116" s="65"/>
      <c r="M116" s="65"/>
      <c r="N116" s="163">
        <f>LEN(J116)</f>
        <v>0</v>
      </c>
      <c r="O116" s="243"/>
      <c r="P116" s="215"/>
      <c r="Q116" s="65"/>
      <c r="R116" s="65"/>
      <c r="V116" s="550"/>
    </row>
    <row r="117" spans="1:22">
      <c r="A117" s="1"/>
      <c r="B117" s="88"/>
      <c r="C117" s="552"/>
      <c r="D117" s="553"/>
      <c r="E117" s="158">
        <f>F117*120%</f>
        <v>0</v>
      </c>
      <c r="F117" s="158">
        <f>(D117-C117+1)*G117</f>
        <v>0</v>
      </c>
      <c r="G117" s="159">
        <f>M117*20</f>
        <v>0</v>
      </c>
      <c r="H117" s="215"/>
      <c r="I117" s="215"/>
      <c r="J117" s="322"/>
      <c r="K117" s="554"/>
      <c r="L117" s="65"/>
      <c r="M117" s="65"/>
      <c r="N117" s="163">
        <f>LEN(J117)</f>
        <v>0</v>
      </c>
      <c r="O117" s="243"/>
      <c r="P117" s="215"/>
      <c r="Q117" s="65"/>
      <c r="R117" s="65"/>
      <c r="V117" s="550"/>
    </row>
    <row r="118" spans="1:22">
      <c r="A118" s="1"/>
      <c r="B118" s="88"/>
      <c r="C118" s="552"/>
      <c r="D118" s="553"/>
      <c r="E118" s="158">
        <f>F118*120%</f>
        <v>0</v>
      </c>
      <c r="F118" s="158">
        <f>(D118-C118+1)*G118</f>
        <v>0</v>
      </c>
      <c r="G118" s="159">
        <f>M118*20</f>
        <v>0</v>
      </c>
      <c r="H118" s="215"/>
      <c r="I118" s="215"/>
      <c r="J118" s="322"/>
      <c r="K118" s="554"/>
      <c r="L118" s="65"/>
      <c r="M118" s="65"/>
      <c r="N118" s="163">
        <f>LEN(J118)</f>
        <v>0</v>
      </c>
      <c r="O118" s="243"/>
      <c r="P118" s="215"/>
      <c r="Q118" s="65"/>
      <c r="R118" s="65"/>
      <c r="V118" s="550"/>
    </row>
    <row r="119" spans="1:22">
      <c r="A119" s="1"/>
      <c r="B119" s="88"/>
      <c r="C119" s="552"/>
      <c r="D119" s="553"/>
      <c r="E119" s="158">
        <f>F119*120%</f>
        <v>0</v>
      </c>
      <c r="F119" s="158">
        <f>(D119-C119+1)*G119</f>
        <v>0</v>
      </c>
      <c r="G119" s="159">
        <f>M119*20</f>
        <v>0</v>
      </c>
      <c r="H119" s="215"/>
      <c r="I119" s="215"/>
      <c r="J119" s="322"/>
      <c r="K119" s="554"/>
      <c r="L119" s="65"/>
      <c r="M119" s="65"/>
      <c r="N119" s="163">
        <f>LEN(J119)</f>
        <v>0</v>
      </c>
      <c r="O119" s="243"/>
      <c r="P119" s="215"/>
      <c r="Q119" s="65"/>
      <c r="R119" s="65"/>
      <c r="V119" s="550"/>
    </row>
    <row r="120" spans="1:22">
      <c r="A120" s="1"/>
      <c r="B120" s="88"/>
      <c r="C120" s="552"/>
      <c r="D120" s="553"/>
      <c r="E120" s="158">
        <f>F120*120%</f>
        <v>0</v>
      </c>
      <c r="F120" s="158">
        <f>(D120-C120+1)*G120</f>
        <v>0</v>
      </c>
      <c r="G120" s="159">
        <f>M120*20</f>
        <v>0</v>
      </c>
      <c r="H120" s="215"/>
      <c r="I120" s="215"/>
      <c r="J120" s="322"/>
      <c r="K120" s="554"/>
      <c r="L120" s="65"/>
      <c r="M120" s="65"/>
      <c r="N120" s="163">
        <f>LEN(J120)</f>
        <v>0</v>
      </c>
      <c r="O120" s="243"/>
      <c r="P120" s="215"/>
      <c r="Q120" s="65"/>
      <c r="R120" s="65"/>
      <c r="V120" s="550"/>
    </row>
    <row r="121" spans="1:22">
      <c r="A121" s="1"/>
      <c r="B121" s="88"/>
      <c r="C121" s="552"/>
      <c r="D121" s="553"/>
      <c r="E121" s="158">
        <f>F121*120%</f>
        <v>0</v>
      </c>
      <c r="F121" s="158">
        <f>(D121-C121+1)*G121</f>
        <v>0</v>
      </c>
      <c r="G121" s="159">
        <f>M121*20</f>
        <v>0</v>
      </c>
      <c r="H121" s="215"/>
      <c r="I121" s="215"/>
      <c r="J121" s="322"/>
      <c r="K121" s="554"/>
      <c r="L121" s="65"/>
      <c r="M121" s="65"/>
      <c r="N121" s="163">
        <f>LEN(J121)</f>
        <v>0</v>
      </c>
      <c r="O121" s="243"/>
      <c r="P121" s="215"/>
      <c r="Q121" s="65"/>
      <c r="R121" s="65"/>
      <c r="V121" s="550"/>
    </row>
    <row r="122" spans="1:22">
      <c r="A122" s="1"/>
      <c r="B122" s="88"/>
      <c r="C122" s="552"/>
      <c r="D122" s="553"/>
      <c r="E122" s="158">
        <f>F122*120%</f>
        <v>0</v>
      </c>
      <c r="F122" s="158">
        <f>(D122-C122+1)*G122</f>
        <v>0</v>
      </c>
      <c r="G122" s="159">
        <f>M122*20</f>
        <v>0</v>
      </c>
      <c r="H122" s="215"/>
      <c r="I122" s="215"/>
      <c r="J122" s="322"/>
      <c r="K122" s="554"/>
      <c r="L122" s="65"/>
      <c r="M122" s="65"/>
      <c r="N122" s="163">
        <f>LEN(J122)</f>
        <v>0</v>
      </c>
      <c r="O122" s="243"/>
      <c r="P122" s="215"/>
      <c r="Q122" s="65"/>
      <c r="R122" s="65"/>
      <c r="V122" s="550"/>
    </row>
    <row r="123" spans="1:22">
      <c r="A123" s="1"/>
      <c r="B123" s="88"/>
      <c r="C123" s="552"/>
      <c r="D123" s="553"/>
      <c r="E123" s="158">
        <f>F123*120%</f>
        <v>0</v>
      </c>
      <c r="F123" s="158">
        <f>(D123-C123+1)*G123</f>
        <v>0</v>
      </c>
      <c r="G123" s="159">
        <f>M123*20</f>
        <v>0</v>
      </c>
      <c r="H123" s="215"/>
      <c r="I123" s="215"/>
      <c r="J123" s="322"/>
      <c r="K123" s="554"/>
      <c r="L123" s="65"/>
      <c r="M123" s="65"/>
      <c r="N123" s="163">
        <f>LEN(J123)</f>
        <v>0</v>
      </c>
      <c r="O123" s="243"/>
      <c r="P123" s="215"/>
      <c r="Q123" s="65"/>
      <c r="R123" s="65"/>
      <c r="V123" s="550"/>
    </row>
    <row r="124" spans="1:22">
      <c r="A124" s="1"/>
      <c r="B124" s="88"/>
      <c r="C124" s="552"/>
      <c r="D124" s="553"/>
      <c r="E124" s="158">
        <f>F124*120%</f>
        <v>0</v>
      </c>
      <c r="F124" s="158">
        <f>(D124-C124+1)*G124</f>
        <v>0</v>
      </c>
      <c r="G124" s="159">
        <f>M124*20</f>
        <v>0</v>
      </c>
      <c r="H124" s="215"/>
      <c r="I124" s="215"/>
      <c r="J124" s="322"/>
      <c r="K124" s="554"/>
      <c r="L124" s="65"/>
      <c r="M124" s="65"/>
      <c r="N124" s="163">
        <f>LEN(J124)</f>
        <v>0</v>
      </c>
      <c r="O124" s="243"/>
      <c r="P124" s="215"/>
      <c r="Q124" s="65"/>
      <c r="R124" s="65"/>
      <c r="V124" s="550"/>
    </row>
    <row r="125" spans="1:22">
      <c r="A125" s="1"/>
      <c r="B125" s="88"/>
      <c r="C125" s="552"/>
      <c r="D125" s="553"/>
      <c r="E125" s="158">
        <f>F125*120%</f>
        <v>0</v>
      </c>
      <c r="F125" s="158">
        <f>(D125-C125+1)*G125</f>
        <v>0</v>
      </c>
      <c r="G125" s="159">
        <f>M125*20</f>
        <v>0</v>
      </c>
      <c r="H125" s="215"/>
      <c r="I125" s="215"/>
      <c r="J125" s="322"/>
      <c r="K125" s="554"/>
      <c r="L125" s="65"/>
      <c r="M125" s="65"/>
      <c r="N125" s="163">
        <f>LEN(J125)</f>
        <v>0</v>
      </c>
      <c r="O125" s="243"/>
      <c r="P125" s="215"/>
      <c r="Q125" s="65"/>
      <c r="R125" s="65"/>
      <c r="V125" s="550"/>
    </row>
    <row r="126" spans="1:22">
      <c r="A126" s="1"/>
      <c r="B126" s="88"/>
      <c r="C126" s="552"/>
      <c r="D126" s="553"/>
      <c r="E126" s="158">
        <f>F126*120%</f>
        <v>0</v>
      </c>
      <c r="F126" s="158">
        <f>(D126-C126+1)*G126</f>
        <v>0</v>
      </c>
      <c r="G126" s="159">
        <f>M126*20</f>
        <v>0</v>
      </c>
      <c r="H126" s="215"/>
      <c r="I126" s="215"/>
      <c r="J126" s="322"/>
      <c r="K126" s="554"/>
      <c r="L126" s="65"/>
      <c r="M126" s="65"/>
      <c r="N126" s="163">
        <f>LEN(J126)</f>
        <v>0</v>
      </c>
      <c r="O126" s="243"/>
      <c r="P126" s="215"/>
      <c r="Q126" s="65"/>
      <c r="R126" s="65"/>
      <c r="V126" s="550"/>
    </row>
    <row r="127" spans="1:22">
      <c r="A127" s="1"/>
      <c r="B127" s="88"/>
      <c r="C127" s="552"/>
      <c r="D127" s="553"/>
      <c r="E127" s="158">
        <f>F127*120%</f>
        <v>0</v>
      </c>
      <c r="F127" s="158">
        <f>(D127-C127+1)*G127</f>
        <v>0</v>
      </c>
      <c r="G127" s="159">
        <f>M127*20</f>
        <v>0</v>
      </c>
      <c r="H127" s="215"/>
      <c r="I127" s="215"/>
      <c r="J127" s="322"/>
      <c r="K127" s="554"/>
      <c r="L127" s="65"/>
      <c r="M127" s="65"/>
      <c r="N127" s="163">
        <f>LEN(J127)</f>
        <v>0</v>
      </c>
      <c r="O127" s="243"/>
      <c r="P127" s="215"/>
      <c r="Q127" s="65"/>
      <c r="R127" s="65"/>
      <c r="V127" s="550"/>
    </row>
    <row r="128" spans="1:22">
      <c r="A128" s="1"/>
      <c r="B128" s="88"/>
      <c r="C128" s="552"/>
      <c r="D128" s="553"/>
      <c r="E128" s="158">
        <f>F128*120%</f>
        <v>0</v>
      </c>
      <c r="F128" s="158">
        <f>(D128-C128+1)*G128</f>
        <v>0</v>
      </c>
      <c r="G128" s="159">
        <f>M128*20</f>
        <v>0</v>
      </c>
      <c r="H128" s="215"/>
      <c r="I128" s="215"/>
      <c r="J128" s="322"/>
      <c r="K128" s="554"/>
      <c r="L128" s="65"/>
      <c r="M128" s="65"/>
      <c r="N128" s="163">
        <f>LEN(J128)</f>
        <v>0</v>
      </c>
      <c r="O128" s="243"/>
      <c r="P128" s="215"/>
      <c r="Q128" s="65"/>
      <c r="R128" s="65"/>
      <c r="V128" s="550"/>
    </row>
    <row r="129" spans="1:22">
      <c r="A129" s="1"/>
      <c r="B129" s="88"/>
      <c r="C129" s="552"/>
      <c r="D129" s="553"/>
      <c r="E129" s="158">
        <f>F129*120%</f>
        <v>0</v>
      </c>
      <c r="F129" s="158">
        <f>(D129-C129+1)*G129</f>
        <v>0</v>
      </c>
      <c r="G129" s="159">
        <f>M129*20</f>
        <v>0</v>
      </c>
      <c r="H129" s="215"/>
      <c r="I129" s="215"/>
      <c r="J129" s="322"/>
      <c r="K129" s="554"/>
      <c r="L129" s="65"/>
      <c r="M129" s="65"/>
      <c r="N129" s="163">
        <f>LEN(J129)</f>
        <v>0</v>
      </c>
      <c r="O129" s="243"/>
      <c r="P129" s="215"/>
      <c r="Q129" s="65"/>
      <c r="R129" s="65"/>
      <c r="V129" s="550"/>
    </row>
    <row r="130" spans="1:22">
      <c r="A130" s="1"/>
      <c r="B130" s="88"/>
      <c r="C130" s="552"/>
      <c r="D130" s="553"/>
      <c r="E130" s="158">
        <f>F130*120%</f>
        <v>0</v>
      </c>
      <c r="F130" s="158">
        <f>(D130-C130+1)*G130</f>
        <v>0</v>
      </c>
      <c r="G130" s="159">
        <f>M130*20</f>
        <v>0</v>
      </c>
      <c r="H130" s="215"/>
      <c r="I130" s="215"/>
      <c r="J130" s="322"/>
      <c r="K130" s="554"/>
      <c r="L130" s="65"/>
      <c r="M130" s="65"/>
      <c r="N130" s="163">
        <f>LEN(J130)</f>
        <v>0</v>
      </c>
      <c r="O130" s="243"/>
      <c r="P130" s="215"/>
      <c r="Q130" s="65"/>
      <c r="R130" s="65"/>
      <c r="V130" s="550"/>
    </row>
    <row r="131" spans="1:22">
      <c r="A131" s="1"/>
      <c r="B131" s="88"/>
      <c r="C131" s="552"/>
      <c r="D131" s="553"/>
      <c r="E131" s="158">
        <f>F131*120%</f>
        <v>0</v>
      </c>
      <c r="F131" s="158">
        <f>(D131-C131+1)*G131</f>
        <v>0</v>
      </c>
      <c r="G131" s="159">
        <f>M131*20</f>
        <v>0</v>
      </c>
      <c r="H131" s="215"/>
      <c r="I131" s="215"/>
      <c r="J131" s="322"/>
      <c r="K131" s="554"/>
      <c r="L131" s="65"/>
      <c r="M131" s="65"/>
      <c r="N131" s="163">
        <f>LEN(J131)</f>
        <v>0</v>
      </c>
      <c r="O131" s="243"/>
      <c r="P131" s="215"/>
      <c r="Q131" s="65"/>
      <c r="R131" s="65"/>
      <c r="V131" s="550"/>
    </row>
    <row r="132" spans="1:22">
      <c r="A132" s="1"/>
      <c r="B132" s="88"/>
      <c r="C132" s="552"/>
      <c r="D132" s="553"/>
      <c r="E132" s="158">
        <f>F132*120%</f>
        <v>0</v>
      </c>
      <c r="F132" s="158">
        <f>(D132-C132+1)*G132</f>
        <v>0</v>
      </c>
      <c r="G132" s="159">
        <f>M132*20</f>
        <v>0</v>
      </c>
      <c r="H132" s="215"/>
      <c r="I132" s="215"/>
      <c r="J132" s="322"/>
      <c r="K132" s="554"/>
      <c r="L132" s="65"/>
      <c r="M132" s="65"/>
      <c r="N132" s="163">
        <f>LEN(J132)</f>
        <v>0</v>
      </c>
      <c r="O132" s="243"/>
      <c r="P132" s="215"/>
      <c r="Q132" s="65"/>
      <c r="R132" s="65"/>
      <c r="V132" s="550"/>
    </row>
    <row r="133" spans="1:22">
      <c r="A133" s="1"/>
      <c r="B133" s="88"/>
      <c r="C133" s="552"/>
      <c r="D133" s="553"/>
      <c r="E133" s="158">
        <f>F133*120%</f>
        <v>0</v>
      </c>
      <c r="F133" s="158">
        <f>(D133-C133+1)*G133</f>
        <v>0</v>
      </c>
      <c r="G133" s="159">
        <f>M133*20</f>
        <v>0</v>
      </c>
      <c r="H133" s="215"/>
      <c r="I133" s="215"/>
      <c r="J133" s="322"/>
      <c r="K133" s="554"/>
      <c r="L133" s="65"/>
      <c r="M133" s="65"/>
      <c r="N133" s="163">
        <f>LEN(J133)</f>
        <v>0</v>
      </c>
      <c r="O133" s="243"/>
      <c r="P133" s="215"/>
      <c r="Q133" s="65"/>
      <c r="R133" s="65"/>
      <c r="V133" s="550"/>
    </row>
    <row r="134" spans="1:22">
      <c r="A134" s="1"/>
      <c r="B134" s="88"/>
      <c r="C134" s="552"/>
      <c r="D134" s="553"/>
      <c r="E134" s="158">
        <f>F134*120%</f>
        <v>0</v>
      </c>
      <c r="F134" s="158">
        <f>(D134-C134+1)*G134</f>
        <v>0</v>
      </c>
      <c r="G134" s="159">
        <f>M134*20</f>
        <v>0</v>
      </c>
      <c r="H134" s="215"/>
      <c r="I134" s="215"/>
      <c r="J134" s="322"/>
      <c r="K134" s="554"/>
      <c r="L134" s="65"/>
      <c r="M134" s="65"/>
      <c r="N134" s="163">
        <f>LEN(J134)</f>
        <v>0</v>
      </c>
      <c r="O134" s="243"/>
      <c r="P134" s="215"/>
      <c r="Q134" s="65"/>
      <c r="R134" s="65"/>
      <c r="V134" s="550"/>
    </row>
    <row r="135" spans="1:22">
      <c r="A135" s="1"/>
      <c r="B135" s="88"/>
      <c r="C135" s="552"/>
      <c r="D135" s="553"/>
      <c r="E135" s="158">
        <f>F135*120%</f>
        <v>0</v>
      </c>
      <c r="F135" s="158">
        <f>(D135-C135+1)*G135</f>
        <v>0</v>
      </c>
      <c r="G135" s="159">
        <f>M135*20</f>
        <v>0</v>
      </c>
      <c r="H135" s="215"/>
      <c r="I135" s="215"/>
      <c r="J135" s="322"/>
      <c r="K135" s="554"/>
      <c r="L135" s="65"/>
      <c r="M135" s="65"/>
      <c r="N135" s="163">
        <f>LEN(J135)</f>
        <v>0</v>
      </c>
      <c r="O135" s="243"/>
      <c r="P135" s="215"/>
      <c r="Q135" s="65"/>
      <c r="R135" s="65"/>
      <c r="V135" s="550"/>
    </row>
    <row r="136" spans="1:22">
      <c r="A136" s="1"/>
      <c r="B136" s="88"/>
      <c r="C136" s="552"/>
      <c r="D136" s="553"/>
      <c r="E136" s="158">
        <f>F136*120%</f>
        <v>0</v>
      </c>
      <c r="F136" s="158">
        <f>(D136-C136+1)*G136</f>
        <v>0</v>
      </c>
      <c r="G136" s="159">
        <f>M136*20</f>
        <v>0</v>
      </c>
      <c r="H136" s="215"/>
      <c r="I136" s="215"/>
      <c r="J136" s="322"/>
      <c r="K136" s="554"/>
      <c r="L136" s="65"/>
      <c r="M136" s="65"/>
      <c r="N136" s="163">
        <f>LEN(J136)</f>
        <v>0</v>
      </c>
      <c r="O136" s="243"/>
      <c r="P136" s="215"/>
      <c r="Q136" s="65"/>
      <c r="R136" s="65"/>
      <c r="V136" s="550"/>
    </row>
    <row r="137" spans="1:22">
      <c r="A137" s="1"/>
      <c r="B137" s="88"/>
      <c r="C137" s="552"/>
      <c r="D137" s="553"/>
      <c r="E137" s="158">
        <f>F137*120%</f>
        <v>0</v>
      </c>
      <c r="F137" s="158">
        <f>(D137-C137+1)*G137</f>
        <v>0</v>
      </c>
      <c r="G137" s="159">
        <f>M137*20</f>
        <v>0</v>
      </c>
      <c r="H137" s="215"/>
      <c r="I137" s="215"/>
      <c r="J137" s="322"/>
      <c r="K137" s="554"/>
      <c r="L137" s="65"/>
      <c r="M137" s="65"/>
      <c r="N137" s="163">
        <f>LEN(J137)</f>
        <v>0</v>
      </c>
      <c r="O137" s="243"/>
      <c r="P137" s="215"/>
      <c r="Q137" s="65"/>
      <c r="R137" s="65"/>
      <c r="V137" s="550"/>
    </row>
    <row r="138" spans="1:22">
      <c r="A138" s="1"/>
      <c r="B138" s="88"/>
      <c r="C138" s="552"/>
      <c r="D138" s="553"/>
      <c r="E138" s="158">
        <f>F138*120%</f>
        <v>0</v>
      </c>
      <c r="F138" s="158">
        <f>(D138-C138+1)*G138</f>
        <v>0</v>
      </c>
      <c r="G138" s="159">
        <f>M138*20</f>
        <v>0</v>
      </c>
      <c r="H138" s="215"/>
      <c r="I138" s="215"/>
      <c r="J138" s="322"/>
      <c r="K138" s="554"/>
      <c r="L138" s="65"/>
      <c r="M138" s="65"/>
      <c r="N138" s="163">
        <f>LEN(J138)</f>
        <v>0</v>
      </c>
      <c r="O138" s="243"/>
      <c r="P138" s="215"/>
      <c r="Q138" s="65"/>
      <c r="R138" s="65"/>
      <c r="V138" s="550"/>
    </row>
    <row r="139" spans="1:22">
      <c r="A139" s="1"/>
      <c r="B139" s="88"/>
      <c r="C139" s="552"/>
      <c r="D139" s="553"/>
      <c r="E139" s="158">
        <f>F139*120%</f>
        <v>0</v>
      </c>
      <c r="F139" s="158">
        <f>(D139-C139+1)*G139</f>
        <v>0</v>
      </c>
      <c r="G139" s="159">
        <f>M139*20</f>
        <v>0</v>
      </c>
      <c r="H139" s="215"/>
      <c r="I139" s="215"/>
      <c r="J139" s="322"/>
      <c r="K139" s="554"/>
      <c r="L139" s="65"/>
      <c r="M139" s="65"/>
      <c r="N139" s="163">
        <f>LEN(J139)</f>
        <v>0</v>
      </c>
      <c r="O139" s="243"/>
      <c r="P139" s="215"/>
      <c r="Q139" s="65"/>
      <c r="R139" s="65"/>
      <c r="V139" s="550"/>
    </row>
    <row r="140" spans="1:22">
      <c r="A140" s="1"/>
      <c r="B140" s="88"/>
      <c r="C140" s="552"/>
      <c r="D140" s="553"/>
      <c r="E140" s="158">
        <f>F140*120%</f>
        <v>0</v>
      </c>
      <c r="F140" s="158">
        <f>(D140-C140+1)*G140</f>
        <v>0</v>
      </c>
      <c r="G140" s="159">
        <f>M140*20</f>
        <v>0</v>
      </c>
      <c r="H140" s="215"/>
      <c r="I140" s="215"/>
      <c r="J140" s="322"/>
      <c r="K140" s="554"/>
      <c r="L140" s="65"/>
      <c r="M140" s="65"/>
      <c r="N140" s="163">
        <f>LEN(J140)</f>
        <v>0</v>
      </c>
      <c r="O140" s="243"/>
      <c r="P140" s="215"/>
      <c r="Q140" s="65"/>
      <c r="R140" s="65"/>
      <c r="V140" s="550"/>
    </row>
    <row r="141" spans="1:22">
      <c r="A141" s="1"/>
      <c r="B141" s="88"/>
      <c r="C141" s="552"/>
      <c r="D141" s="553"/>
      <c r="E141" s="158">
        <f>F141*120%</f>
        <v>0</v>
      </c>
      <c r="F141" s="158">
        <f>(D141-C141+1)*G141</f>
        <v>0</v>
      </c>
      <c r="G141" s="159">
        <f>M141*20</f>
        <v>0</v>
      </c>
      <c r="H141" s="215"/>
      <c r="I141" s="215"/>
      <c r="J141" s="322"/>
      <c r="K141" s="554"/>
      <c r="L141" s="65"/>
      <c r="M141" s="65"/>
      <c r="N141" s="163">
        <f>LEN(J141)</f>
        <v>0</v>
      </c>
      <c r="O141" s="243"/>
      <c r="P141" s="215"/>
      <c r="Q141" s="65"/>
      <c r="R141" s="65"/>
      <c r="V141" s="550"/>
    </row>
    <row r="142" spans="1:22">
      <c r="A142" s="1"/>
      <c r="B142" s="88"/>
      <c r="C142" s="552"/>
      <c r="D142" s="553"/>
      <c r="E142" s="158">
        <f>F142*120%</f>
        <v>0</v>
      </c>
      <c r="F142" s="158">
        <f>(D142-C142+1)*G142</f>
        <v>0</v>
      </c>
      <c r="G142" s="159">
        <f>M142*20</f>
        <v>0</v>
      </c>
      <c r="H142" s="215"/>
      <c r="I142" s="215"/>
      <c r="J142" s="322"/>
      <c r="K142" s="554"/>
      <c r="L142" s="65"/>
      <c r="M142" s="65"/>
      <c r="N142" s="163">
        <f>LEN(J142)</f>
        <v>0</v>
      </c>
      <c r="O142" s="243"/>
      <c r="P142" s="215"/>
      <c r="Q142" s="65"/>
      <c r="R142" s="65"/>
      <c r="V142" s="550"/>
    </row>
    <row r="143" spans="1:22">
      <c r="A143" s="1"/>
      <c r="B143" s="88"/>
      <c r="C143" s="552"/>
      <c r="D143" s="553"/>
      <c r="E143" s="158">
        <f>F143*120%</f>
        <v>0</v>
      </c>
      <c r="F143" s="158">
        <f>(D143-C143+1)*G143</f>
        <v>0</v>
      </c>
      <c r="G143" s="159">
        <f>M143*20</f>
        <v>0</v>
      </c>
      <c r="H143" s="215"/>
      <c r="I143" s="215"/>
      <c r="J143" s="322"/>
      <c r="K143" s="554"/>
      <c r="L143" s="65"/>
      <c r="M143" s="65"/>
      <c r="N143" s="163">
        <f>LEN(J143)</f>
        <v>0</v>
      </c>
      <c r="O143" s="243"/>
      <c r="P143" s="215"/>
      <c r="Q143" s="65"/>
      <c r="R143" s="65"/>
      <c r="V143" s="550"/>
    </row>
    <row r="144" spans="1:22">
      <c r="A144" s="1"/>
      <c r="B144" s="88"/>
      <c r="C144" s="552"/>
      <c r="D144" s="553"/>
      <c r="E144" s="158">
        <f>F144*120%</f>
        <v>0</v>
      </c>
      <c r="F144" s="158">
        <f>(D144-C144+1)*G144</f>
        <v>0</v>
      </c>
      <c r="G144" s="159">
        <f>M144*20</f>
        <v>0</v>
      </c>
      <c r="H144" s="215"/>
      <c r="I144" s="215"/>
      <c r="J144" s="322"/>
      <c r="K144" s="554"/>
      <c r="L144" s="65"/>
      <c r="M144" s="65"/>
      <c r="N144" s="163">
        <f>LEN(J144)</f>
        <v>0</v>
      </c>
      <c r="O144" s="243"/>
      <c r="P144" s="215"/>
      <c r="Q144" s="65"/>
      <c r="R144" s="65"/>
      <c r="V144" s="550"/>
    </row>
    <row r="145" spans="1:22">
      <c r="A145" s="1"/>
      <c r="B145" s="88"/>
      <c r="C145" s="552"/>
      <c r="D145" s="553"/>
      <c r="E145" s="158">
        <f>F145*120%</f>
        <v>0</v>
      </c>
      <c r="F145" s="158">
        <f>(D145-C145+1)*G145</f>
        <v>0</v>
      </c>
      <c r="G145" s="159">
        <f>M145*20</f>
        <v>0</v>
      </c>
      <c r="H145" s="215"/>
      <c r="I145" s="215"/>
      <c r="J145" s="322"/>
      <c r="K145" s="554"/>
      <c r="L145" s="65"/>
      <c r="M145" s="65"/>
      <c r="N145" s="163">
        <f>LEN(J145)</f>
        <v>0</v>
      </c>
      <c r="O145" s="243"/>
      <c r="P145" s="215"/>
      <c r="Q145" s="65"/>
      <c r="R145" s="65"/>
      <c r="V145" s="550"/>
    </row>
    <row r="146" spans="1:22">
      <c r="A146" s="1"/>
      <c r="B146" s="88"/>
      <c r="C146" s="552"/>
      <c r="D146" s="553"/>
      <c r="E146" s="158">
        <f>F146*120%</f>
        <v>0</v>
      </c>
      <c r="F146" s="158">
        <f>(D146-C146+1)*G146</f>
        <v>0</v>
      </c>
      <c r="G146" s="159">
        <f>M146*20</f>
        <v>0</v>
      </c>
      <c r="H146" s="215"/>
      <c r="I146" s="215"/>
      <c r="J146" s="322"/>
      <c r="K146" s="554"/>
      <c r="L146" s="65"/>
      <c r="M146" s="65"/>
      <c r="N146" s="163">
        <f>LEN(J146)</f>
        <v>0</v>
      </c>
      <c r="O146" s="243"/>
      <c r="P146" s="215"/>
      <c r="Q146" s="65"/>
      <c r="R146" s="65"/>
      <c r="V146" s="550"/>
    </row>
    <row r="147" spans="1:22">
      <c r="A147" s="1"/>
      <c r="B147" s="88"/>
      <c r="C147" s="552"/>
      <c r="D147" s="553"/>
      <c r="E147" s="158">
        <f>F147*120%</f>
        <v>0</v>
      </c>
      <c r="F147" s="158">
        <f>(D147-C147+1)*G147</f>
        <v>0</v>
      </c>
      <c r="G147" s="159">
        <f>M147*20</f>
        <v>0</v>
      </c>
      <c r="H147" s="215"/>
      <c r="I147" s="215"/>
      <c r="J147" s="322"/>
      <c r="K147" s="554"/>
      <c r="L147" s="65"/>
      <c r="M147" s="65"/>
      <c r="N147" s="163">
        <f>LEN(J147)</f>
        <v>0</v>
      </c>
      <c r="O147" s="243"/>
      <c r="P147" s="215"/>
      <c r="Q147" s="65"/>
      <c r="R147" s="65"/>
      <c r="V147" s="550"/>
    </row>
    <row r="148" spans="1:22">
      <c r="A148" s="1"/>
      <c r="B148" s="88"/>
      <c r="C148" s="552"/>
      <c r="D148" s="553"/>
      <c r="E148" s="158">
        <f>F148*120%</f>
        <v>0</v>
      </c>
      <c r="F148" s="158">
        <f>(D148-C148+1)*G148</f>
        <v>0</v>
      </c>
      <c r="G148" s="159">
        <f>M148*20</f>
        <v>0</v>
      </c>
      <c r="H148" s="215"/>
      <c r="I148" s="215"/>
      <c r="J148" s="322"/>
      <c r="K148" s="554"/>
      <c r="L148" s="65"/>
      <c r="M148" s="65"/>
      <c r="N148" s="163">
        <f>LEN(J148)</f>
        <v>0</v>
      </c>
      <c r="O148" s="243"/>
      <c r="P148" s="215"/>
      <c r="Q148" s="65"/>
      <c r="R148" s="65"/>
      <c r="V148" s="550"/>
    </row>
    <row r="149" spans="1:22">
      <c r="A149" s="1"/>
      <c r="B149" s="88"/>
      <c r="C149" s="552"/>
      <c r="D149" s="553"/>
      <c r="E149" s="158">
        <f>F149*120%</f>
        <v>0</v>
      </c>
      <c r="F149" s="158">
        <f>(D149-C149+1)*G149</f>
        <v>0</v>
      </c>
      <c r="G149" s="159">
        <f>M149*20</f>
        <v>0</v>
      </c>
      <c r="H149" s="215"/>
      <c r="I149" s="215"/>
      <c r="J149" s="322"/>
      <c r="K149" s="554"/>
      <c r="L149" s="65"/>
      <c r="M149" s="65"/>
      <c r="N149" s="163">
        <f>LEN(J149)</f>
        <v>0</v>
      </c>
      <c r="O149" s="243"/>
      <c r="P149" s="215"/>
      <c r="Q149" s="65"/>
      <c r="R149" s="65"/>
      <c r="V149" s="550"/>
    </row>
    <row r="150" spans="1:22">
      <c r="A150" s="1"/>
      <c r="B150" s="88"/>
      <c r="C150" s="552"/>
      <c r="D150" s="553"/>
      <c r="E150" s="158">
        <f>F150*120%</f>
        <v>0</v>
      </c>
      <c r="F150" s="158">
        <f>(D150-C150+1)*G150</f>
        <v>0</v>
      </c>
      <c r="G150" s="159">
        <f>M150*20</f>
        <v>0</v>
      </c>
      <c r="H150" s="215"/>
      <c r="I150" s="215"/>
      <c r="J150" s="322"/>
      <c r="K150" s="554"/>
      <c r="L150" s="65"/>
      <c r="M150" s="65"/>
      <c r="N150" s="163">
        <f>LEN(J150)</f>
        <v>0</v>
      </c>
      <c r="O150" s="243"/>
      <c r="P150" s="215"/>
      <c r="Q150" s="65"/>
      <c r="R150" s="65"/>
      <c r="V150" s="550"/>
    </row>
    <row r="151" spans="1:22">
      <c r="A151" s="1"/>
      <c r="B151" s="88"/>
      <c r="C151" s="552"/>
      <c r="D151" s="553"/>
      <c r="E151" s="158">
        <f>F151*120%</f>
        <v>0</v>
      </c>
      <c r="F151" s="158">
        <f>(D151-C151+1)*G151</f>
        <v>0</v>
      </c>
      <c r="G151" s="159">
        <f>M151*20</f>
        <v>0</v>
      </c>
      <c r="H151" s="215"/>
      <c r="I151" s="215"/>
      <c r="J151" s="322"/>
      <c r="K151" s="554"/>
      <c r="L151" s="65"/>
      <c r="M151" s="65"/>
      <c r="N151" s="163">
        <f>LEN(J151)</f>
        <v>0</v>
      </c>
      <c r="O151" s="243"/>
      <c r="P151" s="215"/>
      <c r="Q151" s="65"/>
      <c r="R151" s="65"/>
      <c r="V151" s="550"/>
    </row>
    <row r="152" spans="1:22">
      <c r="A152" s="1"/>
      <c r="B152" s="88"/>
      <c r="C152" s="552"/>
      <c r="D152" s="553"/>
      <c r="E152" s="158">
        <f>F152*120%</f>
        <v>0</v>
      </c>
      <c r="F152" s="158">
        <f>(D152-C152+1)*G152</f>
        <v>0</v>
      </c>
      <c r="G152" s="159">
        <f>M152*20</f>
        <v>0</v>
      </c>
      <c r="H152" s="215"/>
      <c r="I152" s="215"/>
      <c r="J152" s="322"/>
      <c r="K152" s="554"/>
      <c r="L152" s="65"/>
      <c r="M152" s="65"/>
      <c r="N152" s="163">
        <f>LEN(J152)</f>
        <v>0</v>
      </c>
      <c r="O152" s="243"/>
      <c r="P152" s="215"/>
      <c r="Q152" s="65"/>
      <c r="R152" s="65"/>
      <c r="V152" s="550"/>
    </row>
    <row r="153" spans="1:22">
      <c r="A153" s="1"/>
      <c r="B153" s="88"/>
      <c r="C153" s="552"/>
      <c r="D153" s="553"/>
      <c r="E153" s="158">
        <f>F153*120%</f>
        <v>0</v>
      </c>
      <c r="F153" s="158">
        <f>(D153-C153+1)*G153</f>
        <v>0</v>
      </c>
      <c r="G153" s="159">
        <f>M153*20</f>
        <v>0</v>
      </c>
      <c r="H153" s="215"/>
      <c r="I153" s="215"/>
      <c r="J153" s="322"/>
      <c r="K153" s="554"/>
      <c r="L153" s="65"/>
      <c r="M153" s="65"/>
      <c r="N153" s="163">
        <f>LEN(J153)</f>
        <v>0</v>
      </c>
      <c r="O153" s="243"/>
      <c r="P153" s="215"/>
      <c r="Q153" s="65"/>
      <c r="R153" s="65"/>
      <c r="V153" s="550"/>
    </row>
    <row r="154" spans="1:22">
      <c r="A154" s="1"/>
      <c r="B154" s="88"/>
      <c r="C154" s="552"/>
      <c r="D154" s="553"/>
      <c r="E154" s="158">
        <f>F154*120%</f>
        <v>0</v>
      </c>
      <c r="F154" s="158">
        <f>(D154-C154+1)*G154</f>
        <v>0</v>
      </c>
      <c r="G154" s="159">
        <f>M154*20</f>
        <v>0</v>
      </c>
      <c r="H154" s="215"/>
      <c r="I154" s="215"/>
      <c r="J154" s="322"/>
      <c r="K154" s="554"/>
      <c r="L154" s="65"/>
      <c r="M154" s="65"/>
      <c r="N154" s="163">
        <f>LEN(J154)</f>
        <v>0</v>
      </c>
      <c r="O154" s="243"/>
      <c r="P154" s="215"/>
      <c r="Q154" s="65"/>
      <c r="R154" s="65"/>
      <c r="V154" s="550"/>
    </row>
    <row r="155" spans="1:22">
      <c r="A155" s="1"/>
      <c r="B155" s="88"/>
      <c r="C155" s="552"/>
      <c r="D155" s="553"/>
      <c r="E155" s="158">
        <f>F155*120%</f>
        <v>0</v>
      </c>
      <c r="F155" s="158">
        <f>(D155-C155+1)*G155</f>
        <v>0</v>
      </c>
      <c r="G155" s="159">
        <f>M155*20</f>
        <v>0</v>
      </c>
      <c r="H155" s="215"/>
      <c r="I155" s="215"/>
      <c r="J155" s="322"/>
      <c r="K155" s="554"/>
      <c r="L155" s="65"/>
      <c r="M155" s="65"/>
      <c r="N155" s="163">
        <f>LEN(J155)</f>
        <v>0</v>
      </c>
      <c r="O155" s="243"/>
      <c r="P155" s="215"/>
      <c r="Q155" s="65"/>
      <c r="R155" s="65"/>
      <c r="V155" s="550"/>
    </row>
    <row r="156" spans="1:22">
      <c r="A156" s="1"/>
      <c r="B156" s="88"/>
      <c r="C156" s="552"/>
      <c r="D156" s="553"/>
      <c r="E156" s="158">
        <f>F156*120%</f>
        <v>0</v>
      </c>
      <c r="F156" s="158">
        <f>(D156-C156+1)*G156</f>
        <v>0</v>
      </c>
      <c r="G156" s="159">
        <f>M156*20</f>
        <v>0</v>
      </c>
      <c r="H156" s="215"/>
      <c r="I156" s="215"/>
      <c r="J156" s="322"/>
      <c r="K156" s="554"/>
      <c r="L156" s="65"/>
      <c r="M156" s="65"/>
      <c r="N156" s="163">
        <f>LEN(J156)</f>
        <v>0</v>
      </c>
      <c r="O156" s="243"/>
      <c r="P156" s="215"/>
      <c r="Q156" s="65"/>
      <c r="R156" s="65"/>
      <c r="V156" s="550"/>
    </row>
    <row r="157" spans="1:22">
      <c r="A157" s="1"/>
      <c r="B157" s="88"/>
      <c r="C157" s="552"/>
      <c r="D157" s="553"/>
      <c r="E157" s="158">
        <f>F157*120%</f>
        <v>0</v>
      </c>
      <c r="F157" s="158">
        <f>(D157-C157+1)*G157</f>
        <v>0</v>
      </c>
      <c r="G157" s="159">
        <f>M157*20</f>
        <v>0</v>
      </c>
      <c r="H157" s="215"/>
      <c r="I157" s="215"/>
      <c r="J157" s="322"/>
      <c r="K157" s="554"/>
      <c r="L157" s="65"/>
      <c r="M157" s="65"/>
      <c r="N157" s="163">
        <f>LEN(J157)</f>
        <v>0</v>
      </c>
      <c r="O157" s="243"/>
      <c r="P157" s="215"/>
      <c r="Q157" s="65"/>
      <c r="R157" s="65"/>
      <c r="V157" s="550"/>
    </row>
    <row r="158" spans="1:22">
      <c r="A158" s="1"/>
      <c r="B158" s="88"/>
      <c r="C158" s="552"/>
      <c r="D158" s="553"/>
      <c r="E158" s="158">
        <f>F158*120%</f>
        <v>0</v>
      </c>
      <c r="F158" s="158">
        <f>(D158-C158+1)*G158</f>
        <v>0</v>
      </c>
      <c r="G158" s="159">
        <f>M158*20</f>
        <v>0</v>
      </c>
      <c r="H158" s="215"/>
      <c r="I158" s="215"/>
      <c r="J158" s="322"/>
      <c r="K158" s="554"/>
      <c r="L158" s="65"/>
      <c r="M158" s="65"/>
      <c r="N158" s="163">
        <f>LEN(J158)</f>
        <v>0</v>
      </c>
      <c r="O158" s="243"/>
      <c r="P158" s="215"/>
      <c r="Q158" s="65"/>
      <c r="R158" s="65"/>
      <c r="V158" s="550"/>
    </row>
    <row r="159" spans="1:22">
      <c r="A159" s="1"/>
      <c r="B159" s="88"/>
      <c r="C159" s="552"/>
      <c r="D159" s="553"/>
      <c r="E159" s="158">
        <f>F159*120%</f>
        <v>0</v>
      </c>
      <c r="F159" s="158">
        <f>(D159-C159+1)*G159</f>
        <v>0</v>
      </c>
      <c r="G159" s="159">
        <f>M159*20</f>
        <v>0</v>
      </c>
      <c r="H159" s="215"/>
      <c r="I159" s="215"/>
      <c r="J159" s="322"/>
      <c r="K159" s="554"/>
      <c r="L159" s="65"/>
      <c r="M159" s="65"/>
      <c r="N159" s="163">
        <f>LEN(J159)</f>
        <v>0</v>
      </c>
      <c r="O159" s="243"/>
      <c r="P159" s="215"/>
      <c r="Q159" s="65"/>
      <c r="R159" s="65"/>
      <c r="V159" s="550"/>
    </row>
    <row r="160" spans="1:22">
      <c r="A160" s="1"/>
      <c r="B160" s="88"/>
      <c r="C160" s="552"/>
      <c r="D160" s="553"/>
      <c r="E160" s="158">
        <f>F160*120%</f>
        <v>0</v>
      </c>
      <c r="F160" s="158">
        <f>(D160-C160+1)*G160</f>
        <v>0</v>
      </c>
      <c r="G160" s="159">
        <f>M160*20</f>
        <v>0</v>
      </c>
      <c r="H160" s="215"/>
      <c r="I160" s="215"/>
      <c r="J160" s="322"/>
      <c r="K160" s="554"/>
      <c r="L160" s="65"/>
      <c r="M160" s="65"/>
      <c r="N160" s="163">
        <f>LEN(J160)</f>
        <v>0</v>
      </c>
      <c r="O160" s="243"/>
      <c r="P160" s="215"/>
      <c r="Q160" s="65"/>
      <c r="R160" s="65"/>
      <c r="V160" s="550"/>
    </row>
    <row r="161" spans="1:22">
      <c r="A161" s="1"/>
      <c r="B161" s="88"/>
      <c r="C161" s="552"/>
      <c r="D161" s="553"/>
      <c r="E161" s="158">
        <f>F161*120%</f>
        <v>0</v>
      </c>
      <c r="F161" s="158">
        <f>(D161-C161+1)*G161</f>
        <v>0</v>
      </c>
      <c r="G161" s="159">
        <f>M161*20</f>
        <v>0</v>
      </c>
      <c r="H161" s="215"/>
      <c r="I161" s="215"/>
      <c r="J161" s="322"/>
      <c r="K161" s="554"/>
      <c r="L161" s="65"/>
      <c r="M161" s="65"/>
      <c r="N161" s="163">
        <f>LEN(J161)</f>
        <v>0</v>
      </c>
      <c r="O161" s="243"/>
      <c r="P161" s="215"/>
      <c r="Q161" s="65"/>
      <c r="R161" s="65"/>
      <c r="V161" s="550"/>
    </row>
    <row r="162" spans="1:22">
      <c r="A162" s="1"/>
      <c r="B162" s="88"/>
      <c r="C162" s="552"/>
      <c r="D162" s="553"/>
      <c r="E162" s="158">
        <f>F162*120%</f>
        <v>0</v>
      </c>
      <c r="F162" s="158">
        <f>(D162-C162+1)*G162</f>
        <v>0</v>
      </c>
      <c r="G162" s="159">
        <f>M162*20</f>
        <v>0</v>
      </c>
      <c r="H162" s="215"/>
      <c r="I162" s="215"/>
      <c r="J162" s="322"/>
      <c r="K162" s="554"/>
      <c r="L162" s="65"/>
      <c r="M162" s="65"/>
      <c r="N162" s="163">
        <f>LEN(J162)</f>
        <v>0</v>
      </c>
      <c r="O162" s="243"/>
      <c r="P162" s="215"/>
      <c r="Q162" s="65"/>
      <c r="R162" s="65"/>
      <c r="V162" s="550"/>
    </row>
    <row r="163" spans="1:22">
      <c r="A163" s="1"/>
      <c r="B163" s="88"/>
      <c r="C163" s="552"/>
      <c r="D163" s="553"/>
      <c r="E163" s="158">
        <f>F163*120%</f>
        <v>0</v>
      </c>
      <c r="F163" s="158">
        <f>(D163-C163+1)*G163</f>
        <v>0</v>
      </c>
      <c r="G163" s="159">
        <f>M163*20</f>
        <v>0</v>
      </c>
      <c r="H163" s="215"/>
      <c r="I163" s="215"/>
      <c r="J163" s="322"/>
      <c r="K163" s="554"/>
      <c r="L163" s="65"/>
      <c r="M163" s="65"/>
      <c r="N163" s="163">
        <f>LEN(J163)</f>
        <v>0</v>
      </c>
      <c r="O163" s="243"/>
      <c r="P163" s="215"/>
      <c r="Q163" s="65"/>
      <c r="R163" s="65"/>
      <c r="V163" s="550"/>
    </row>
    <row r="164" spans="1:22">
      <c r="A164" s="1"/>
      <c r="B164" s="88"/>
      <c r="C164" s="552"/>
      <c r="D164" s="553"/>
      <c r="E164" s="158">
        <f>F164*120%</f>
        <v>0</v>
      </c>
      <c r="F164" s="158">
        <f>(D164-C164+1)*G164</f>
        <v>0</v>
      </c>
      <c r="G164" s="159">
        <f>M164*20</f>
        <v>0</v>
      </c>
      <c r="H164" s="215"/>
      <c r="I164" s="215"/>
      <c r="J164" s="322"/>
      <c r="K164" s="554"/>
      <c r="L164" s="65"/>
      <c r="M164" s="65"/>
      <c r="N164" s="163">
        <f>LEN(J164)</f>
        <v>0</v>
      </c>
      <c r="O164" s="243"/>
      <c r="P164" s="215"/>
      <c r="Q164" s="65"/>
      <c r="R164" s="65"/>
      <c r="V164" s="550"/>
    </row>
    <row r="165" spans="1:22">
      <c r="A165" s="1"/>
      <c r="B165" s="88"/>
      <c r="C165" s="552"/>
      <c r="D165" s="553"/>
      <c r="E165" s="158">
        <f>F165*120%</f>
        <v>0</v>
      </c>
      <c r="F165" s="158">
        <f>(D165-C165+1)*G165</f>
        <v>0</v>
      </c>
      <c r="G165" s="159">
        <f>M165*20</f>
        <v>0</v>
      </c>
      <c r="H165" s="215"/>
      <c r="I165" s="215"/>
      <c r="J165" s="322"/>
      <c r="K165" s="554"/>
      <c r="L165" s="65"/>
      <c r="M165" s="65"/>
      <c r="N165" s="163">
        <f>LEN(J165)</f>
        <v>0</v>
      </c>
      <c r="O165" s="243"/>
      <c r="P165" s="215"/>
      <c r="Q165" s="65"/>
      <c r="R165" s="65"/>
      <c r="V165" s="550"/>
    </row>
    <row r="166" spans="1:22">
      <c r="A166" s="1"/>
      <c r="B166" s="88"/>
      <c r="C166" s="552"/>
      <c r="D166" s="553"/>
      <c r="E166" s="158">
        <f>F166*120%</f>
        <v>0</v>
      </c>
      <c r="F166" s="158">
        <f>(D166-C166+1)*G166</f>
        <v>0</v>
      </c>
      <c r="G166" s="159">
        <f>M166*20</f>
        <v>0</v>
      </c>
      <c r="H166" s="215"/>
      <c r="I166" s="215"/>
      <c r="J166" s="322"/>
      <c r="K166" s="554"/>
      <c r="L166" s="65"/>
      <c r="M166" s="65"/>
      <c r="N166" s="163">
        <f>LEN(J166)</f>
        <v>0</v>
      </c>
      <c r="O166" s="243"/>
      <c r="P166" s="215"/>
      <c r="Q166" s="65"/>
      <c r="R166" s="65"/>
      <c r="V166" s="550"/>
    </row>
    <row r="167" spans="1:22">
      <c r="A167" s="1"/>
      <c r="B167" s="88"/>
      <c r="C167" s="552"/>
      <c r="D167" s="553"/>
      <c r="E167" s="158">
        <f>F167*120%</f>
        <v>0</v>
      </c>
      <c r="F167" s="158">
        <f>(D167-C167+1)*G167</f>
        <v>0</v>
      </c>
      <c r="G167" s="159">
        <f>M167*20</f>
        <v>0</v>
      </c>
      <c r="H167" s="215"/>
      <c r="I167" s="215"/>
      <c r="J167" s="322"/>
      <c r="K167" s="554"/>
      <c r="L167" s="65"/>
      <c r="M167" s="65"/>
      <c r="N167" s="163">
        <f>LEN(J167)</f>
        <v>0</v>
      </c>
      <c r="O167" s="243"/>
      <c r="P167" s="215"/>
      <c r="Q167" s="65"/>
      <c r="R167" s="65"/>
      <c r="V167" s="550"/>
    </row>
    <row r="168" spans="1:22">
      <c r="A168" s="1"/>
      <c r="B168" s="88"/>
      <c r="C168" s="552"/>
      <c r="D168" s="553"/>
      <c r="E168" s="158">
        <f>F168*120%</f>
        <v>0</v>
      </c>
      <c r="F168" s="158">
        <f>(D168-C168+1)*G168</f>
        <v>0</v>
      </c>
      <c r="G168" s="159">
        <f>M168*20</f>
        <v>0</v>
      </c>
      <c r="H168" s="215"/>
      <c r="I168" s="215"/>
      <c r="J168" s="322"/>
      <c r="K168" s="554"/>
      <c r="L168" s="65"/>
      <c r="M168" s="65"/>
      <c r="N168" s="163">
        <f>LEN(J168)</f>
        <v>0</v>
      </c>
      <c r="O168" s="243"/>
      <c r="P168" s="215"/>
      <c r="Q168" s="65"/>
      <c r="R168" s="65"/>
      <c r="V168" s="550"/>
    </row>
    <row r="169" spans="1:22">
      <c r="A169" s="1"/>
      <c r="B169" s="88"/>
      <c r="C169" s="552"/>
      <c r="D169" s="553"/>
      <c r="E169" s="158">
        <f>F169*120%</f>
        <v>0</v>
      </c>
      <c r="F169" s="158">
        <f>(D169-C169+1)*G169</f>
        <v>0</v>
      </c>
      <c r="G169" s="159">
        <f>M169*20</f>
        <v>0</v>
      </c>
      <c r="H169" s="215"/>
      <c r="I169" s="215"/>
      <c r="J169" s="322"/>
      <c r="K169" s="554"/>
      <c r="L169" s="65"/>
      <c r="M169" s="65"/>
      <c r="N169" s="163">
        <f>LEN(J169)</f>
        <v>0</v>
      </c>
      <c r="O169" s="243"/>
      <c r="P169" s="215"/>
      <c r="Q169" s="65"/>
      <c r="R169" s="65"/>
      <c r="V169" s="550"/>
    </row>
    <row r="170" spans="1:22">
      <c r="A170" s="1"/>
      <c r="B170" s="88"/>
      <c r="C170" s="552"/>
      <c r="D170" s="553"/>
      <c r="E170" s="158">
        <f>F170*120%</f>
        <v>0</v>
      </c>
      <c r="F170" s="158">
        <f>(D170-C170+1)*G170</f>
        <v>0</v>
      </c>
      <c r="G170" s="159">
        <f>M170*20</f>
        <v>0</v>
      </c>
      <c r="H170" s="215"/>
      <c r="I170" s="215"/>
      <c r="J170" s="322"/>
      <c r="K170" s="554"/>
      <c r="L170" s="65"/>
      <c r="M170" s="65"/>
      <c r="N170" s="163">
        <f>LEN(J170)</f>
        <v>0</v>
      </c>
      <c r="O170" s="243"/>
      <c r="P170" s="215"/>
      <c r="Q170" s="65"/>
      <c r="R170" s="65"/>
      <c r="V170" s="550"/>
    </row>
    <row r="171" spans="1:22">
      <c r="A171" s="1"/>
      <c r="B171" s="88"/>
      <c r="C171" s="552"/>
      <c r="D171" s="553"/>
      <c r="E171" s="158">
        <f>F171*120%</f>
        <v>0</v>
      </c>
      <c r="F171" s="158">
        <f>(D171-C171+1)*G171</f>
        <v>0</v>
      </c>
      <c r="G171" s="159">
        <f>M171*20</f>
        <v>0</v>
      </c>
      <c r="H171" s="215"/>
      <c r="I171" s="215"/>
      <c r="J171" s="322"/>
      <c r="K171" s="554"/>
      <c r="L171" s="65"/>
      <c r="M171" s="65"/>
      <c r="N171" s="163">
        <f>LEN(J171)</f>
        <v>0</v>
      </c>
      <c r="O171" s="243"/>
      <c r="P171" s="215"/>
      <c r="Q171" s="65"/>
      <c r="R171" s="65"/>
      <c r="V171" s="550"/>
    </row>
    <row r="172" spans="1:22">
      <c r="A172" s="1"/>
      <c r="B172" s="88"/>
      <c r="C172" s="552"/>
      <c r="D172" s="553"/>
      <c r="E172" s="158">
        <f>F172*120%</f>
        <v>0</v>
      </c>
      <c r="F172" s="158">
        <f>(D172-C172+1)*G172</f>
        <v>0</v>
      </c>
      <c r="G172" s="159">
        <f>M172*20</f>
        <v>0</v>
      </c>
      <c r="H172" s="215"/>
      <c r="I172" s="215"/>
      <c r="J172" s="322"/>
      <c r="K172" s="554"/>
      <c r="L172" s="65"/>
      <c r="M172" s="65"/>
      <c r="N172" s="163">
        <f>LEN(J172)</f>
        <v>0</v>
      </c>
      <c r="O172" s="243"/>
      <c r="P172" s="215"/>
      <c r="Q172" s="65"/>
      <c r="R172" s="65"/>
      <c r="V172" s="550"/>
    </row>
    <row r="173" spans="1:22">
      <c r="A173" s="1"/>
      <c r="B173" s="88"/>
      <c r="C173" s="552"/>
      <c r="D173" s="553"/>
      <c r="E173" s="158">
        <f>F173*120%</f>
        <v>0</v>
      </c>
      <c r="F173" s="158">
        <f>(D173-C173+1)*G173</f>
        <v>0</v>
      </c>
      <c r="G173" s="159">
        <f>M173*20</f>
        <v>0</v>
      </c>
      <c r="H173" s="215"/>
      <c r="I173" s="215"/>
      <c r="J173" s="322"/>
      <c r="K173" s="554"/>
      <c r="L173" s="65"/>
      <c r="M173" s="65"/>
      <c r="N173" s="163">
        <f>LEN(J173)</f>
        <v>0</v>
      </c>
      <c r="O173" s="243"/>
      <c r="P173" s="215"/>
      <c r="Q173" s="65"/>
      <c r="R173" s="65"/>
      <c r="V173" s="550"/>
    </row>
    <row r="174" spans="1:22">
      <c r="A174" s="1"/>
      <c r="B174" s="88"/>
      <c r="C174" s="552"/>
      <c r="D174" s="553"/>
      <c r="E174" s="158">
        <f>F174*120%</f>
        <v>0</v>
      </c>
      <c r="F174" s="158">
        <f>(D174-C174+1)*G174</f>
        <v>0</v>
      </c>
      <c r="G174" s="159">
        <f>M174*20</f>
        <v>0</v>
      </c>
      <c r="H174" s="215"/>
      <c r="I174" s="215"/>
      <c r="J174" s="322"/>
      <c r="K174" s="554"/>
      <c r="L174" s="65"/>
      <c r="M174" s="65"/>
      <c r="N174" s="163">
        <f>LEN(J174)</f>
        <v>0</v>
      </c>
      <c r="O174" s="243"/>
      <c r="P174" s="215"/>
      <c r="Q174" s="65"/>
      <c r="R174" s="65"/>
      <c r="V174" s="550"/>
    </row>
    <row r="175" spans="1:22">
      <c r="A175" s="1"/>
      <c r="B175" s="88"/>
      <c r="C175" s="552"/>
      <c r="D175" s="553"/>
      <c r="E175" s="158">
        <f>F175*120%</f>
        <v>0</v>
      </c>
      <c r="F175" s="158">
        <f>(D175-C175+1)*G175</f>
        <v>0</v>
      </c>
      <c r="G175" s="159">
        <f>M175*20</f>
        <v>0</v>
      </c>
      <c r="H175" s="215"/>
      <c r="I175" s="215"/>
      <c r="J175" s="322"/>
      <c r="K175" s="554"/>
      <c r="L175" s="65"/>
      <c r="M175" s="65"/>
      <c r="N175" s="163">
        <f>LEN(J175)</f>
        <v>0</v>
      </c>
      <c r="O175" s="243"/>
      <c r="P175" s="215"/>
      <c r="Q175" s="65"/>
      <c r="R175" s="65"/>
      <c r="V175" s="550"/>
    </row>
    <row r="176" spans="1:22">
      <c r="A176" s="1"/>
      <c r="B176" s="88"/>
      <c r="C176" s="552"/>
      <c r="D176" s="553"/>
      <c r="E176" s="158">
        <f>F176*120%</f>
        <v>0</v>
      </c>
      <c r="F176" s="158">
        <f>(D176-C176+1)*G176</f>
        <v>0</v>
      </c>
      <c r="G176" s="159">
        <f>M176*20</f>
        <v>0</v>
      </c>
      <c r="H176" s="215"/>
      <c r="I176" s="215"/>
      <c r="J176" s="322"/>
      <c r="K176" s="554"/>
      <c r="L176" s="65"/>
      <c r="M176" s="65"/>
      <c r="N176" s="163">
        <f>LEN(J176)</f>
        <v>0</v>
      </c>
      <c r="O176" s="243"/>
      <c r="P176" s="215"/>
      <c r="Q176" s="65"/>
      <c r="R176" s="65"/>
      <c r="V176" s="550"/>
    </row>
    <row r="177" spans="1:22">
      <c r="A177" s="1"/>
      <c r="B177" s="88"/>
      <c r="C177" s="552"/>
      <c r="D177" s="553"/>
      <c r="E177" s="158">
        <f>F177*120%</f>
        <v>0</v>
      </c>
      <c r="F177" s="158">
        <f>(D177-C177+1)*G177</f>
        <v>0</v>
      </c>
      <c r="G177" s="159">
        <f>M177*20</f>
        <v>0</v>
      </c>
      <c r="H177" s="215"/>
      <c r="I177" s="215"/>
      <c r="J177" s="322"/>
      <c r="K177" s="554"/>
      <c r="L177" s="65"/>
      <c r="M177" s="65"/>
      <c r="N177" s="163">
        <f>LEN(J177)</f>
        <v>0</v>
      </c>
      <c r="O177" s="243"/>
      <c r="P177" s="215"/>
      <c r="Q177" s="65"/>
      <c r="R177" s="65"/>
      <c r="V177" s="550"/>
    </row>
    <row r="178" spans="1:22">
      <c r="A178" s="1"/>
      <c r="B178" s="88"/>
      <c r="C178" s="552"/>
      <c r="D178" s="553"/>
      <c r="E178" s="158">
        <f>F178*120%</f>
        <v>0</v>
      </c>
      <c r="F178" s="158">
        <f>(D178-C178+1)*G178</f>
        <v>0</v>
      </c>
      <c r="G178" s="159">
        <f>M178*20</f>
        <v>0</v>
      </c>
      <c r="H178" s="215"/>
      <c r="I178" s="215"/>
      <c r="J178" s="322"/>
      <c r="K178" s="554"/>
      <c r="L178" s="65"/>
      <c r="M178" s="65"/>
      <c r="N178" s="163">
        <f>LEN(J178)</f>
        <v>0</v>
      </c>
      <c r="O178" s="243"/>
      <c r="P178" s="215"/>
      <c r="Q178" s="65"/>
      <c r="R178" s="65"/>
      <c r="V178" s="550"/>
    </row>
    <row r="179" spans="1:22">
      <c r="A179" s="1"/>
      <c r="B179" s="88"/>
      <c r="C179" s="552"/>
      <c r="D179" s="553"/>
      <c r="E179" s="158">
        <f>F179*120%</f>
        <v>0</v>
      </c>
      <c r="F179" s="158">
        <f>(D179-C179+1)*G179</f>
        <v>0</v>
      </c>
      <c r="G179" s="159">
        <f>M179*20</f>
        <v>0</v>
      </c>
      <c r="H179" s="215"/>
      <c r="I179" s="215"/>
      <c r="J179" s="322"/>
      <c r="K179" s="554"/>
      <c r="L179" s="65"/>
      <c r="M179" s="65"/>
      <c r="N179" s="163">
        <f>LEN(J179)</f>
        <v>0</v>
      </c>
      <c r="O179" s="243"/>
      <c r="P179" s="215"/>
      <c r="Q179" s="65"/>
      <c r="R179" s="65"/>
      <c r="V179" s="550"/>
    </row>
    <row r="180" spans="1:22">
      <c r="A180" s="1"/>
      <c r="B180" s="88"/>
      <c r="C180" s="552"/>
      <c r="D180" s="553"/>
      <c r="E180" s="158">
        <f>F180*120%</f>
        <v>0</v>
      </c>
      <c r="F180" s="158">
        <f>(D180-C180+1)*G180</f>
        <v>0</v>
      </c>
      <c r="G180" s="159">
        <f>M180*20</f>
        <v>0</v>
      </c>
      <c r="H180" s="215"/>
      <c r="I180" s="215"/>
      <c r="J180" s="322"/>
      <c r="K180" s="554"/>
      <c r="L180" s="65"/>
      <c r="M180" s="65"/>
      <c r="N180" s="163">
        <f>LEN(J180)</f>
        <v>0</v>
      </c>
      <c r="O180" s="243"/>
      <c r="P180" s="215"/>
      <c r="Q180" s="65"/>
      <c r="R180" s="65"/>
      <c r="V180" s="550"/>
    </row>
    <row r="181" spans="1:22">
      <c r="A181" s="1"/>
      <c r="B181" s="88"/>
      <c r="C181" s="552"/>
      <c r="D181" s="553"/>
      <c r="E181" s="158">
        <f>F181*120%</f>
        <v>0</v>
      </c>
      <c r="F181" s="158">
        <f>(D181-C181+1)*G181</f>
        <v>0</v>
      </c>
      <c r="G181" s="159">
        <f>M181*20</f>
        <v>0</v>
      </c>
      <c r="H181" s="215"/>
      <c r="I181" s="215"/>
      <c r="J181" s="322"/>
      <c r="K181" s="554"/>
      <c r="L181" s="65"/>
      <c r="M181" s="65"/>
      <c r="N181" s="163">
        <f>LEN(J181)</f>
        <v>0</v>
      </c>
      <c r="O181" s="243"/>
      <c r="P181" s="215"/>
      <c r="Q181" s="65"/>
      <c r="R181" s="65"/>
      <c r="V181" s="550"/>
    </row>
    <row r="182" spans="1:22">
      <c r="A182" s="1"/>
      <c r="B182" s="88"/>
      <c r="C182" s="552"/>
      <c r="D182" s="553"/>
      <c r="E182" s="158">
        <f>F182*120%</f>
        <v>0</v>
      </c>
      <c r="F182" s="158">
        <f>(D182-C182+1)*G182</f>
        <v>0</v>
      </c>
      <c r="G182" s="159">
        <f>M182*20</f>
        <v>0</v>
      </c>
      <c r="H182" s="215"/>
      <c r="I182" s="215"/>
      <c r="J182" s="322"/>
      <c r="K182" s="554"/>
      <c r="L182" s="65"/>
      <c r="M182" s="65"/>
      <c r="N182" s="163">
        <f>LEN(J182)</f>
        <v>0</v>
      </c>
      <c r="O182" s="243"/>
      <c r="P182" s="215"/>
      <c r="Q182" s="65"/>
      <c r="R182" s="65"/>
      <c r="V182" s="550"/>
    </row>
    <row r="183" spans="1:22">
      <c r="A183" s="1"/>
      <c r="B183" s="88"/>
      <c r="C183" s="552"/>
      <c r="D183" s="553"/>
      <c r="E183" s="158">
        <f>F183*120%</f>
        <v>0</v>
      </c>
      <c r="F183" s="158">
        <f>(D183-C183+1)*G183</f>
        <v>0</v>
      </c>
      <c r="G183" s="159">
        <f>M183*20</f>
        <v>0</v>
      </c>
      <c r="H183" s="215"/>
      <c r="I183" s="215"/>
      <c r="J183" s="322"/>
      <c r="K183" s="554"/>
      <c r="L183" s="65"/>
      <c r="M183" s="65"/>
      <c r="N183" s="163">
        <f>LEN(J183)</f>
        <v>0</v>
      </c>
      <c r="O183" s="243"/>
      <c r="P183" s="215"/>
      <c r="Q183" s="65"/>
      <c r="R183" s="65"/>
      <c r="V183" s="550"/>
    </row>
    <row r="184" spans="1:22">
      <c r="A184" s="1"/>
      <c r="B184" s="88"/>
      <c r="C184" s="552"/>
      <c r="D184" s="553"/>
      <c r="E184" s="158">
        <f>F184*120%</f>
        <v>0</v>
      </c>
      <c r="F184" s="158">
        <f>(D184-C184+1)*G184</f>
        <v>0</v>
      </c>
      <c r="G184" s="159">
        <f>M184*20</f>
        <v>0</v>
      </c>
      <c r="H184" s="215"/>
      <c r="I184" s="215"/>
      <c r="J184" s="322"/>
      <c r="K184" s="554"/>
      <c r="L184" s="65"/>
      <c r="M184" s="65"/>
      <c r="N184" s="163">
        <f>LEN(J184)</f>
        <v>0</v>
      </c>
      <c r="O184" s="243"/>
      <c r="P184" s="215"/>
      <c r="Q184" s="65"/>
      <c r="R184" s="65"/>
      <c r="V184" s="550"/>
    </row>
    <row r="185" spans="1:22">
      <c r="A185" s="1"/>
      <c r="B185" s="88"/>
      <c r="C185" s="552"/>
      <c r="D185" s="553"/>
      <c r="E185" s="158">
        <f>F185*120%</f>
        <v>0</v>
      </c>
      <c r="F185" s="158">
        <f>(D185-C185+1)*G185</f>
        <v>0</v>
      </c>
      <c r="G185" s="159">
        <f>M185*20</f>
        <v>0</v>
      </c>
      <c r="H185" s="215"/>
      <c r="I185" s="215"/>
      <c r="J185" s="322"/>
      <c r="K185" s="554"/>
      <c r="L185" s="65"/>
      <c r="M185" s="65"/>
      <c r="N185" s="163">
        <f>LEN(J185)</f>
        <v>0</v>
      </c>
      <c r="O185" s="243"/>
      <c r="P185" s="215"/>
      <c r="Q185" s="65"/>
      <c r="R185" s="65"/>
      <c r="V185" s="550"/>
    </row>
    <row r="186" spans="1:22">
      <c r="A186" s="1"/>
      <c r="B186" s="88"/>
      <c r="C186" s="552"/>
      <c r="D186" s="553"/>
      <c r="E186" s="158">
        <f>F186*120%</f>
        <v>0</v>
      </c>
      <c r="F186" s="158">
        <f>(D186-C186+1)*G186</f>
        <v>0</v>
      </c>
      <c r="G186" s="159">
        <f>M186*20</f>
        <v>0</v>
      </c>
      <c r="H186" s="215"/>
      <c r="I186" s="215"/>
      <c r="J186" s="322"/>
      <c r="K186" s="554"/>
      <c r="L186" s="65"/>
      <c r="M186" s="65"/>
      <c r="N186" s="163">
        <f>LEN(J186)</f>
        <v>0</v>
      </c>
      <c r="O186" s="243"/>
      <c r="P186" s="215"/>
      <c r="Q186" s="65"/>
      <c r="R186" s="65"/>
      <c r="V186" s="550"/>
    </row>
    <row r="187" spans="1:22">
      <c r="A187" s="1"/>
      <c r="B187" s="88"/>
      <c r="C187" s="552"/>
      <c r="D187" s="553"/>
      <c r="E187" s="158">
        <f>F187*120%</f>
        <v>0</v>
      </c>
      <c r="F187" s="158">
        <f>(D187-C187+1)*G187</f>
        <v>0</v>
      </c>
      <c r="G187" s="159">
        <f>M187*20</f>
        <v>0</v>
      </c>
      <c r="H187" s="215"/>
      <c r="I187" s="215"/>
      <c r="J187" s="322"/>
      <c r="K187" s="554"/>
      <c r="L187" s="65"/>
      <c r="M187" s="65"/>
      <c r="N187" s="163">
        <f>LEN(J187)</f>
        <v>0</v>
      </c>
      <c r="O187" s="243"/>
      <c r="P187" s="215"/>
      <c r="Q187" s="65"/>
      <c r="R187" s="65"/>
      <c r="V187" s="550"/>
    </row>
    <row r="188" spans="1:22">
      <c r="A188" s="1"/>
      <c r="B188" s="88"/>
      <c r="C188" s="552"/>
      <c r="D188" s="553"/>
      <c r="E188" s="158">
        <f>F188*120%</f>
        <v>0</v>
      </c>
      <c r="F188" s="158">
        <f>(D188-C188+1)*G188</f>
        <v>0</v>
      </c>
      <c r="G188" s="159">
        <f>M188*20</f>
        <v>0</v>
      </c>
      <c r="H188" s="215"/>
      <c r="I188" s="215"/>
      <c r="J188" s="322"/>
      <c r="K188" s="554"/>
      <c r="L188" s="65"/>
      <c r="M188" s="65"/>
      <c r="N188" s="163">
        <f>LEN(J188)</f>
        <v>0</v>
      </c>
      <c r="O188" s="243"/>
      <c r="P188" s="215"/>
      <c r="Q188" s="65"/>
      <c r="R188" s="65"/>
      <c r="V188" s="550"/>
    </row>
    <row r="189" spans="1:22">
      <c r="A189" s="1"/>
      <c r="B189" s="88"/>
      <c r="C189" s="552"/>
      <c r="D189" s="553"/>
      <c r="E189" s="158">
        <f>F189*120%</f>
        <v>0</v>
      </c>
      <c r="F189" s="158">
        <f>(D189-C189+1)*G189</f>
        <v>0</v>
      </c>
      <c r="G189" s="159">
        <f>M189*20</f>
        <v>0</v>
      </c>
      <c r="H189" s="215"/>
      <c r="I189" s="215"/>
      <c r="J189" s="322"/>
      <c r="K189" s="554"/>
      <c r="L189" s="65"/>
      <c r="M189" s="65"/>
      <c r="N189" s="163">
        <f>LEN(J189)</f>
        <v>0</v>
      </c>
      <c r="O189" s="243"/>
      <c r="P189" s="215"/>
      <c r="Q189" s="65"/>
      <c r="R189" s="65"/>
      <c r="V189" s="550"/>
    </row>
    <row r="190" spans="1:22">
      <c r="A190" s="1"/>
      <c r="B190" s="88"/>
      <c r="C190" s="552"/>
      <c r="D190" s="553"/>
      <c r="E190" s="158">
        <f>F190*120%</f>
        <v>0</v>
      </c>
      <c r="F190" s="158">
        <f>(D190-C190+1)*G190</f>
        <v>0</v>
      </c>
      <c r="G190" s="159">
        <f>M190*20</f>
        <v>0</v>
      </c>
      <c r="H190" s="215"/>
      <c r="I190" s="215"/>
      <c r="J190" s="322"/>
      <c r="K190" s="554"/>
      <c r="L190" s="65"/>
      <c r="M190" s="65"/>
      <c r="N190" s="163">
        <f>LEN(J190)</f>
        <v>0</v>
      </c>
      <c r="O190" s="243"/>
      <c r="P190" s="215"/>
      <c r="Q190" s="65"/>
      <c r="R190" s="65"/>
      <c r="V190" s="550"/>
    </row>
    <row r="191" spans="1:22">
      <c r="A191" s="1"/>
      <c r="B191" s="88"/>
      <c r="C191" s="552"/>
      <c r="D191" s="553"/>
      <c r="E191" s="158">
        <f>F191*120%</f>
        <v>0</v>
      </c>
      <c r="F191" s="158">
        <f>(D191-C191+1)*G191</f>
        <v>0</v>
      </c>
      <c r="G191" s="159">
        <f>M191*20</f>
        <v>0</v>
      </c>
      <c r="H191" s="215"/>
      <c r="I191" s="215"/>
      <c r="J191" s="322"/>
      <c r="K191" s="554"/>
      <c r="L191" s="65"/>
      <c r="M191" s="65"/>
      <c r="N191" s="163">
        <f>LEN(J191)</f>
        <v>0</v>
      </c>
      <c r="O191" s="243"/>
      <c r="P191" s="215"/>
      <c r="Q191" s="65"/>
      <c r="R191" s="65"/>
      <c r="V191" s="550"/>
    </row>
    <row r="192" spans="1:22">
      <c r="A192" s="1"/>
      <c r="B192" s="88"/>
      <c r="C192" s="552"/>
      <c r="D192" s="553"/>
      <c r="E192" s="158">
        <f>F192*120%</f>
        <v>0</v>
      </c>
      <c r="F192" s="158">
        <f>(D192-C192+1)*G192</f>
        <v>0</v>
      </c>
      <c r="G192" s="159">
        <f>M192*20</f>
        <v>0</v>
      </c>
      <c r="H192" s="215"/>
      <c r="I192" s="215"/>
      <c r="J192" s="322"/>
      <c r="K192" s="554"/>
      <c r="L192" s="65"/>
      <c r="M192" s="65"/>
      <c r="N192" s="163">
        <f>LEN(J192)</f>
        <v>0</v>
      </c>
      <c r="O192" s="243"/>
      <c r="P192" s="215"/>
      <c r="Q192" s="65"/>
      <c r="R192" s="65"/>
      <c r="V192" s="550"/>
    </row>
    <row r="193" spans="1:22">
      <c r="A193" s="1"/>
      <c r="B193" s="88"/>
      <c r="C193" s="552"/>
      <c r="D193" s="553"/>
      <c r="E193" s="158">
        <f>F193*120%</f>
        <v>0</v>
      </c>
      <c r="F193" s="158">
        <f>(D193-C193+1)*G193</f>
        <v>0</v>
      </c>
      <c r="G193" s="159">
        <f>M193*20</f>
        <v>0</v>
      </c>
      <c r="H193" s="215"/>
      <c r="I193" s="215"/>
      <c r="J193" s="322"/>
      <c r="K193" s="554"/>
      <c r="L193" s="65"/>
      <c r="M193" s="65"/>
      <c r="N193" s="163"/>
      <c r="O193" s="243"/>
      <c r="P193" s="215"/>
      <c r="Q193" s="65"/>
      <c r="R193" s="65"/>
      <c r="V193" s="550"/>
    </row>
    <row r="194" spans="1:22">
      <c r="A194" s="1"/>
      <c r="B194" s="88"/>
      <c r="C194" s="552"/>
      <c r="D194" s="553"/>
      <c r="E194" s="158">
        <f>F194*120%</f>
        <v>0</v>
      </c>
      <c r="F194" s="158">
        <f>(D194-C194+1)*G194</f>
        <v>0</v>
      </c>
      <c r="G194" s="159">
        <f>M194*20</f>
        <v>0</v>
      </c>
      <c r="H194" s="215"/>
      <c r="I194" s="215"/>
      <c r="J194" s="322"/>
      <c r="K194" s="554"/>
      <c r="L194" s="65"/>
      <c r="M194" s="65"/>
      <c r="N194" s="163"/>
      <c r="O194" s="243"/>
      <c r="P194" s="215"/>
      <c r="Q194" s="65"/>
      <c r="R194" s="65"/>
      <c r="V194" s="550"/>
    </row>
    <row r="195" spans="1:22">
      <c r="A195" s="1"/>
      <c r="B195" s="88"/>
      <c r="C195" s="552"/>
      <c r="D195" s="553"/>
      <c r="E195" s="158">
        <f>F195*120%</f>
        <v>0</v>
      </c>
      <c r="F195" s="158">
        <f>(D195-C195+1)*G195</f>
        <v>0</v>
      </c>
      <c r="G195" s="159">
        <f>M195*20</f>
        <v>0</v>
      </c>
      <c r="H195" s="215"/>
      <c r="I195" s="215"/>
      <c r="J195" s="322"/>
      <c r="K195" s="554"/>
      <c r="L195" s="65"/>
      <c r="M195" s="65"/>
      <c r="N195" s="163"/>
      <c r="O195" s="243"/>
      <c r="P195" s="215"/>
      <c r="Q195" s="65"/>
      <c r="R195" s="65"/>
      <c r="V195" s="550"/>
    </row>
    <row r="196" spans="1:22">
      <c r="A196" s="1"/>
      <c r="B196" s="88"/>
      <c r="C196" s="552"/>
      <c r="D196" s="553"/>
      <c r="E196" s="158">
        <f>F196*120%</f>
        <v>0</v>
      </c>
      <c r="F196" s="158">
        <f>(D196-C196+1)*G196</f>
        <v>0</v>
      </c>
      <c r="G196" s="159">
        <f>M196*20</f>
        <v>0</v>
      </c>
      <c r="H196" s="215"/>
      <c r="I196" s="215"/>
      <c r="J196" s="322"/>
      <c r="K196" s="554"/>
      <c r="L196" s="65"/>
      <c r="M196" s="65"/>
      <c r="N196" s="163"/>
      <c r="O196" s="243"/>
      <c r="P196" s="215"/>
      <c r="Q196" s="65"/>
      <c r="R196" s="65"/>
      <c r="V196" s="550"/>
    </row>
    <row r="197" spans="1:22">
      <c r="A197" s="1"/>
      <c r="B197" s="88"/>
      <c r="C197" s="552"/>
      <c r="D197" s="553"/>
      <c r="E197" s="158">
        <f>F197*120%</f>
        <v>0</v>
      </c>
      <c r="F197" s="158">
        <f>(D197-C197+1)*G197</f>
        <v>0</v>
      </c>
      <c r="G197" s="159">
        <f>M197*20</f>
        <v>0</v>
      </c>
      <c r="H197" s="215"/>
      <c r="I197" s="215"/>
      <c r="J197" s="322"/>
      <c r="K197" s="554"/>
      <c r="L197" s="65"/>
      <c r="M197" s="65"/>
      <c r="N197" s="163"/>
      <c r="O197" s="243"/>
      <c r="P197" s="215"/>
      <c r="Q197" s="65"/>
      <c r="R197" s="65"/>
      <c r="V197" s="550"/>
    </row>
    <row r="198" spans="1:22">
      <c r="A198" s="1"/>
      <c r="B198" s="88"/>
      <c r="C198" s="552"/>
      <c r="D198" s="553"/>
      <c r="E198" s="158">
        <f>F198*120%</f>
        <v>0</v>
      </c>
      <c r="F198" s="158">
        <f>(D198-C198+1)*G198</f>
        <v>0</v>
      </c>
      <c r="G198" s="159">
        <f>M198*20</f>
        <v>0</v>
      </c>
      <c r="H198" s="215"/>
      <c r="I198" s="215"/>
      <c r="J198" s="322"/>
      <c r="K198" s="554"/>
      <c r="L198" s="65"/>
      <c r="M198" s="65"/>
      <c r="N198" s="163"/>
      <c r="O198" s="243"/>
      <c r="P198" s="215"/>
      <c r="Q198" s="65"/>
      <c r="R198" s="65"/>
      <c r="V198" s="550"/>
    </row>
    <row r="199" spans="1:22">
      <c r="A199" s="1"/>
      <c r="B199" s="88"/>
      <c r="C199" s="552"/>
      <c r="D199" s="553"/>
      <c r="E199" s="158">
        <f>F199*120%</f>
        <v>0</v>
      </c>
      <c r="F199" s="158">
        <f>(D199-C199+1)*G199</f>
        <v>0</v>
      </c>
      <c r="G199" s="159">
        <f>M199*20</f>
        <v>0</v>
      </c>
      <c r="H199" s="215"/>
      <c r="I199" s="215"/>
      <c r="J199" s="322"/>
      <c r="K199" s="554"/>
      <c r="L199" s="65"/>
      <c r="M199" s="65"/>
      <c r="N199" s="163"/>
      <c r="O199" s="243"/>
      <c r="P199" s="215"/>
      <c r="Q199" s="65"/>
      <c r="R199" s="65"/>
      <c r="V199" s="550"/>
    </row>
    <row r="200" spans="1:22">
      <c r="A200" s="1"/>
      <c r="B200" s="88"/>
      <c r="C200" s="552"/>
      <c r="D200" s="553"/>
      <c r="E200" s="158">
        <f>F200*120%</f>
        <v>0</v>
      </c>
      <c r="F200" s="158">
        <f>(D200-C200+1)*G200</f>
        <v>0</v>
      </c>
      <c r="G200" s="159">
        <f>M200*20</f>
        <v>0</v>
      </c>
      <c r="H200" s="215"/>
      <c r="I200" s="215"/>
      <c r="J200" s="322"/>
      <c r="K200" s="554"/>
      <c r="L200" s="65"/>
      <c r="M200" s="65"/>
      <c r="N200" s="163"/>
      <c r="O200" s="243"/>
      <c r="P200" s="215"/>
      <c r="Q200" s="65"/>
      <c r="R200" s="65"/>
      <c r="V200" s="550"/>
    </row>
    <row r="201" spans="1:22">
      <c r="A201" s="1"/>
      <c r="B201" s="88"/>
      <c r="C201" s="552"/>
      <c r="D201" s="553"/>
      <c r="E201" s="158">
        <f>F201*120%</f>
        <v>0</v>
      </c>
      <c r="F201" s="158">
        <f>(D201-C201+1)*G201</f>
        <v>0</v>
      </c>
      <c r="G201" s="159">
        <f>M201*20</f>
        <v>0</v>
      </c>
      <c r="H201" s="215"/>
      <c r="I201" s="215"/>
      <c r="J201" s="322"/>
      <c r="K201" s="554"/>
      <c r="L201" s="65"/>
      <c r="M201" s="65"/>
      <c r="N201" s="163"/>
      <c r="O201" s="243"/>
      <c r="P201" s="215"/>
      <c r="Q201" s="65"/>
      <c r="R201" s="65"/>
      <c r="V201" s="550"/>
    </row>
    <row r="202" spans="1:22">
      <c r="A202" s="1"/>
      <c r="B202" s="88"/>
      <c r="C202" s="552"/>
      <c r="D202" s="553"/>
      <c r="E202" s="158">
        <f>F202*120%</f>
        <v>0</v>
      </c>
      <c r="F202" s="158">
        <f>(D202-C202+1)*G202</f>
        <v>0</v>
      </c>
      <c r="G202" s="159">
        <f>M202*20</f>
        <v>0</v>
      </c>
      <c r="H202" s="215"/>
      <c r="I202" s="215"/>
      <c r="J202" s="322"/>
      <c r="K202" s="554"/>
      <c r="L202" s="65"/>
      <c r="M202" s="65"/>
      <c r="N202" s="163"/>
      <c r="O202" s="243"/>
      <c r="P202" s="215"/>
      <c r="Q202" s="65"/>
      <c r="R202" s="65"/>
      <c r="V202" s="550"/>
    </row>
    <row r="203" spans="1:22">
      <c r="A203" s="1"/>
      <c r="B203" s="88"/>
      <c r="C203" s="552"/>
      <c r="D203" s="553"/>
      <c r="E203" s="158">
        <f>F203*120%</f>
        <v>0</v>
      </c>
      <c r="F203" s="158">
        <f>(D203-C203+1)*G203</f>
        <v>0</v>
      </c>
      <c r="G203" s="159">
        <f>M203*20</f>
        <v>0</v>
      </c>
      <c r="H203" s="215"/>
      <c r="I203" s="215"/>
      <c r="J203" s="322"/>
      <c r="K203" s="554"/>
      <c r="L203" s="65"/>
      <c r="M203" s="65"/>
      <c r="N203" s="163"/>
      <c r="O203" s="243"/>
      <c r="P203" s="215"/>
      <c r="Q203" s="65"/>
      <c r="R203" s="65"/>
      <c r="V203" s="550"/>
    </row>
    <row r="204" spans="1:22">
      <c r="A204" s="1"/>
      <c r="B204" s="88"/>
      <c r="C204" s="552"/>
      <c r="D204" s="553"/>
      <c r="E204" s="158">
        <f>F204*120%</f>
        <v>0</v>
      </c>
      <c r="F204" s="158">
        <f>(D204-C204+1)*G204</f>
        <v>0</v>
      </c>
      <c r="G204" s="159">
        <f>M204*20</f>
        <v>0</v>
      </c>
      <c r="H204" s="215"/>
      <c r="I204" s="215"/>
      <c r="J204" s="322"/>
      <c r="K204" s="554"/>
      <c r="L204" s="65"/>
      <c r="M204" s="65"/>
      <c r="N204" s="163"/>
      <c r="O204" s="243"/>
      <c r="P204" s="215"/>
      <c r="Q204" s="65"/>
      <c r="R204" s="65"/>
      <c r="V204" s="550"/>
    </row>
    <row r="205" spans="1:22">
      <c r="A205" s="1"/>
      <c r="B205" s="88"/>
      <c r="C205" s="552"/>
      <c r="D205" s="553"/>
      <c r="E205" s="158">
        <f>F205*120%</f>
        <v>0</v>
      </c>
      <c r="F205" s="158">
        <f>(D205-C205+1)*G205</f>
        <v>0</v>
      </c>
      <c r="G205" s="159">
        <f>M205*20</f>
        <v>0</v>
      </c>
      <c r="H205" s="215"/>
      <c r="I205" s="215"/>
      <c r="J205" s="322"/>
      <c r="K205" s="554"/>
      <c r="L205" s="65"/>
      <c r="M205" s="65"/>
      <c r="N205" s="163"/>
      <c r="O205" s="243"/>
      <c r="P205" s="215"/>
      <c r="Q205" s="65"/>
      <c r="R205" s="65"/>
      <c r="V205" s="550"/>
    </row>
    <row r="206" spans="1:22">
      <c r="A206" s="1"/>
      <c r="B206" s="88"/>
      <c r="C206" s="552"/>
      <c r="D206" s="553"/>
      <c r="E206" s="158">
        <f>F206*120%</f>
        <v>0</v>
      </c>
      <c r="F206" s="158">
        <f>(D206-C206+1)*G206</f>
        <v>0</v>
      </c>
      <c r="G206" s="159">
        <f>M206*20</f>
        <v>0</v>
      </c>
      <c r="H206" s="215"/>
      <c r="I206" s="215"/>
      <c r="J206" s="322"/>
      <c r="K206" s="554"/>
      <c r="L206" s="65"/>
      <c r="M206" s="65"/>
      <c r="N206" s="163"/>
      <c r="O206" s="243"/>
      <c r="P206" s="215"/>
      <c r="Q206" s="65"/>
      <c r="R206" s="65"/>
      <c r="V206" s="550"/>
    </row>
    <row r="207" spans="1:22">
      <c r="A207" s="1"/>
      <c r="B207" s="88"/>
      <c r="C207" s="552"/>
      <c r="D207" s="553"/>
      <c r="E207" s="158">
        <f>F207*120%</f>
        <v>0</v>
      </c>
      <c r="F207" s="158">
        <f>(D207-C207+1)*G207</f>
        <v>0</v>
      </c>
      <c r="G207" s="159">
        <f>M207*20</f>
        <v>0</v>
      </c>
      <c r="H207" s="215"/>
      <c r="I207" s="215"/>
      <c r="J207" s="322"/>
      <c r="K207" s="554"/>
      <c r="L207" s="65"/>
      <c r="M207" s="65"/>
      <c r="N207" s="163"/>
      <c r="O207" s="243"/>
      <c r="P207" s="215"/>
      <c r="Q207" s="65"/>
      <c r="R207" s="65"/>
      <c r="V207" s="550"/>
    </row>
    <row r="208" spans="1:22">
      <c r="A208" s="1"/>
      <c r="B208" s="88"/>
      <c r="C208" s="552"/>
      <c r="D208" s="553"/>
      <c r="E208" s="158">
        <f>F208*120%</f>
        <v>0</v>
      </c>
      <c r="F208" s="158">
        <f>(D208-C208+1)*G208</f>
        <v>0</v>
      </c>
      <c r="G208" s="159">
        <f>M208*20</f>
        <v>0</v>
      </c>
      <c r="H208" s="215"/>
      <c r="I208" s="215"/>
      <c r="J208" s="322"/>
      <c r="K208" s="554"/>
      <c r="L208" s="65"/>
      <c r="M208" s="65"/>
      <c r="N208" s="163"/>
      <c r="O208" s="243"/>
      <c r="P208" s="215"/>
      <c r="Q208" s="65"/>
      <c r="R208" s="65"/>
      <c r="V208" s="550"/>
    </row>
    <row r="209" spans="1:22">
      <c r="A209" s="1"/>
      <c r="B209" s="88"/>
      <c r="C209" s="552"/>
      <c r="D209" s="553"/>
      <c r="E209" s="158">
        <f>F209*120%</f>
        <v>0</v>
      </c>
      <c r="F209" s="158">
        <f>(D209-C209+1)*G209</f>
        <v>0</v>
      </c>
      <c r="G209" s="159">
        <f>M209*20</f>
        <v>0</v>
      </c>
      <c r="H209" s="215"/>
      <c r="I209" s="215"/>
      <c r="J209" s="322"/>
      <c r="K209" s="554"/>
      <c r="L209" s="65"/>
      <c r="M209" s="65"/>
      <c r="N209" s="163"/>
      <c r="O209" s="243"/>
      <c r="P209" s="215"/>
      <c r="Q209" s="65"/>
      <c r="R209" s="65"/>
      <c r="V209" s="550"/>
    </row>
    <row r="210" spans="1:22">
      <c r="A210" s="1"/>
      <c r="B210" s="88"/>
      <c r="C210" s="552"/>
      <c r="D210" s="553"/>
      <c r="E210" s="158">
        <f>F210*120%</f>
        <v>0</v>
      </c>
      <c r="F210" s="158">
        <f>(D210-C210+1)*G210</f>
        <v>0</v>
      </c>
      <c r="G210" s="159">
        <f>M210*20</f>
        <v>0</v>
      </c>
      <c r="H210" s="215"/>
      <c r="I210" s="215"/>
      <c r="J210" s="322"/>
      <c r="K210" s="554"/>
      <c r="L210" s="65"/>
      <c r="M210" s="65"/>
      <c r="N210" s="163"/>
      <c r="O210" s="243"/>
      <c r="P210" s="215"/>
      <c r="Q210" s="65"/>
      <c r="R210" s="65"/>
      <c r="V210" s="550"/>
    </row>
    <row r="211" spans="1:22">
      <c r="A211" s="1"/>
      <c r="B211" s="88"/>
      <c r="C211" s="552"/>
      <c r="D211" s="553"/>
      <c r="E211" s="158">
        <f>F211*120%</f>
        <v>0</v>
      </c>
      <c r="F211" s="158">
        <f>(D211-C211+1)*G211</f>
        <v>0</v>
      </c>
      <c r="G211" s="159">
        <f>M211*20</f>
        <v>0</v>
      </c>
      <c r="H211" s="215"/>
      <c r="I211" s="215"/>
      <c r="J211" s="322"/>
      <c r="K211" s="554"/>
      <c r="L211" s="65"/>
      <c r="M211" s="65"/>
      <c r="N211" s="163"/>
      <c r="O211" s="243"/>
      <c r="P211" s="215"/>
      <c r="Q211" s="65"/>
      <c r="R211" s="65"/>
      <c r="V211" s="550"/>
    </row>
    <row r="212" spans="1:22">
      <c r="A212" s="1"/>
      <c r="B212" s="88"/>
      <c r="C212" s="552"/>
      <c r="D212" s="553"/>
      <c r="E212" s="158">
        <f>F212*120%</f>
        <v>0</v>
      </c>
      <c r="F212" s="158">
        <f>(D212-C212+1)*G212</f>
        <v>0</v>
      </c>
      <c r="G212" s="159">
        <f>M212*20</f>
        <v>0</v>
      </c>
      <c r="H212" s="215"/>
      <c r="I212" s="215"/>
      <c r="J212" s="322"/>
      <c r="K212" s="554"/>
      <c r="L212" s="65"/>
      <c r="M212" s="65"/>
      <c r="N212" s="163"/>
      <c r="O212" s="243"/>
      <c r="P212" s="215"/>
      <c r="Q212" s="65"/>
      <c r="R212" s="65"/>
      <c r="V212" s="550"/>
    </row>
    <row r="213" spans="1:22">
      <c r="A213" s="1"/>
      <c r="B213" s="88"/>
      <c r="C213" s="552"/>
      <c r="D213" s="553"/>
      <c r="E213" s="158">
        <f>F213*120%</f>
        <v>0</v>
      </c>
      <c r="F213" s="158">
        <f>(D213-C213+1)*G213</f>
        <v>0</v>
      </c>
      <c r="G213" s="159">
        <f>M213*20</f>
        <v>0</v>
      </c>
      <c r="H213" s="215"/>
      <c r="I213" s="215"/>
      <c r="J213" s="322"/>
      <c r="K213" s="554"/>
      <c r="L213" s="65"/>
      <c r="M213" s="65"/>
      <c r="N213" s="163"/>
      <c r="O213" s="243"/>
      <c r="P213" s="215"/>
      <c r="Q213" s="65"/>
      <c r="R213" s="65"/>
      <c r="V213" s="550"/>
    </row>
    <row r="214" spans="1:22">
      <c r="A214" s="1"/>
      <c r="B214" s="88"/>
      <c r="C214" s="552"/>
      <c r="D214" s="553"/>
      <c r="E214" s="158">
        <f>F214*120%</f>
        <v>0</v>
      </c>
      <c r="F214" s="158">
        <f>(D214-C214+1)*G214</f>
        <v>0</v>
      </c>
      <c r="G214" s="159">
        <f>M214*20</f>
        <v>0</v>
      </c>
      <c r="H214" s="215"/>
      <c r="I214" s="215"/>
      <c r="J214" s="322"/>
      <c r="K214" s="554"/>
      <c r="L214" s="65"/>
      <c r="M214" s="65"/>
      <c r="N214" s="163"/>
      <c r="O214" s="243"/>
      <c r="P214" s="215"/>
      <c r="Q214" s="65"/>
      <c r="R214" s="65"/>
      <c r="V214" s="550"/>
    </row>
    <row r="215" spans="1:22">
      <c r="A215" s="1"/>
      <c r="B215" s="88"/>
      <c r="C215" s="552"/>
      <c r="D215" s="553"/>
      <c r="E215" s="158">
        <f>F215*120%</f>
        <v>0</v>
      </c>
      <c r="F215" s="158">
        <f>(D215-C215+1)*G215</f>
        <v>0</v>
      </c>
      <c r="G215" s="159">
        <f>M215*20</f>
        <v>0</v>
      </c>
      <c r="H215" s="215"/>
      <c r="I215" s="215"/>
      <c r="J215" s="322"/>
      <c r="K215" s="554"/>
      <c r="L215" s="65"/>
      <c r="M215" s="65"/>
      <c r="N215" s="163"/>
      <c r="O215" s="243"/>
      <c r="P215" s="215"/>
      <c r="Q215" s="65"/>
      <c r="R215" s="65"/>
      <c r="V215" s="550"/>
    </row>
    <row r="216" spans="1:22">
      <c r="A216" s="1"/>
      <c r="B216" s="88"/>
      <c r="C216" s="552"/>
      <c r="D216" s="553"/>
      <c r="E216" s="158">
        <f>F216*120%</f>
        <v>0</v>
      </c>
      <c r="F216" s="158">
        <f>(D216-C216+1)*G216</f>
        <v>0</v>
      </c>
      <c r="G216" s="159">
        <f>M216*20</f>
        <v>0</v>
      </c>
      <c r="H216" s="215"/>
      <c r="I216" s="215"/>
      <c r="J216" s="322"/>
      <c r="K216" s="554"/>
      <c r="L216" s="65"/>
      <c r="M216" s="65"/>
      <c r="N216" s="163"/>
      <c r="O216" s="243"/>
      <c r="P216" s="215"/>
      <c r="Q216" s="65"/>
      <c r="R216" s="65"/>
      <c r="V216" s="550"/>
    </row>
    <row r="217" spans="1:22">
      <c r="A217" s="1"/>
      <c r="B217" s="88"/>
      <c r="C217" s="552"/>
      <c r="D217" s="553"/>
      <c r="E217" s="158">
        <f>F217*120%</f>
        <v>0</v>
      </c>
      <c r="F217" s="158">
        <f>(D217-C217+1)*G217</f>
        <v>0</v>
      </c>
      <c r="G217" s="159">
        <f>M217*20</f>
        <v>0</v>
      </c>
      <c r="H217" s="215"/>
      <c r="I217" s="215"/>
      <c r="J217" s="322"/>
      <c r="K217" s="554"/>
      <c r="L217" s="65"/>
      <c r="M217" s="65"/>
      <c r="N217" s="163"/>
      <c r="O217" s="243"/>
      <c r="P217" s="215"/>
      <c r="Q217" s="65"/>
      <c r="R217" s="65"/>
      <c r="V217" s="550"/>
    </row>
    <row r="218" spans="1:22">
      <c r="A218" s="1"/>
      <c r="B218" s="88"/>
      <c r="C218" s="552"/>
      <c r="D218" s="553"/>
      <c r="E218" s="158">
        <f>F218*120%</f>
        <v>0</v>
      </c>
      <c r="F218" s="158">
        <f>(D218-C218+1)*G218</f>
        <v>0</v>
      </c>
      <c r="G218" s="159">
        <f>M218*20</f>
        <v>0</v>
      </c>
      <c r="H218" s="215"/>
      <c r="I218" s="215"/>
      <c r="J218" s="322"/>
      <c r="K218" s="554"/>
      <c r="L218" s="65"/>
      <c r="M218" s="65"/>
      <c r="N218" s="163"/>
      <c r="O218" s="243"/>
      <c r="P218" s="215"/>
      <c r="Q218" s="65"/>
      <c r="R218" s="65"/>
      <c r="V218" s="550"/>
    </row>
    <row r="219" spans="1:22">
      <c r="A219" s="1"/>
      <c r="B219" s="88"/>
      <c r="C219" s="552"/>
      <c r="D219" s="553"/>
      <c r="E219" s="158">
        <f>F219*120%</f>
        <v>0</v>
      </c>
      <c r="F219" s="158">
        <f>(D219-C219+1)*G219</f>
        <v>0</v>
      </c>
      <c r="G219" s="159">
        <f>M219*20</f>
        <v>0</v>
      </c>
      <c r="H219" s="215"/>
      <c r="I219" s="215"/>
      <c r="J219" s="322"/>
      <c r="K219" s="554"/>
      <c r="L219" s="65"/>
      <c r="M219" s="65"/>
      <c r="N219" s="163"/>
      <c r="O219" s="243"/>
      <c r="P219" s="215"/>
      <c r="Q219" s="65"/>
      <c r="R219" s="65"/>
      <c r="V219" s="550"/>
    </row>
    <row r="220" spans="1:22">
      <c r="A220" s="1"/>
      <c r="B220" s="88"/>
      <c r="C220" s="552"/>
      <c r="D220" s="553"/>
      <c r="E220" s="158">
        <f>F220*120%</f>
        <v>0</v>
      </c>
      <c r="F220" s="158">
        <f>(D220-C220+1)*G220</f>
        <v>0</v>
      </c>
      <c r="G220" s="159">
        <f>M220*20</f>
        <v>0</v>
      </c>
      <c r="H220" s="215"/>
      <c r="I220" s="215"/>
      <c r="J220" s="322"/>
      <c r="K220" s="554"/>
      <c r="L220" s="65"/>
      <c r="M220" s="65"/>
      <c r="N220" s="163"/>
      <c r="O220" s="243"/>
      <c r="P220" s="215"/>
      <c r="Q220" s="65"/>
      <c r="R220" s="65"/>
      <c r="V220" s="550"/>
    </row>
    <row r="221" spans="1:22">
      <c r="A221" s="1"/>
      <c r="B221" s="88"/>
      <c r="C221" s="552"/>
      <c r="D221" s="553"/>
      <c r="E221" s="158">
        <f>F221*120%</f>
        <v>0</v>
      </c>
      <c r="F221" s="158">
        <f>(D221-C221+1)*G221</f>
        <v>0</v>
      </c>
      <c r="G221" s="159">
        <f>M221*20</f>
        <v>0</v>
      </c>
      <c r="H221" s="215"/>
      <c r="I221" s="215"/>
      <c r="J221" s="322"/>
      <c r="K221" s="554"/>
      <c r="L221" s="65"/>
      <c r="M221" s="65"/>
      <c r="N221" s="163"/>
      <c r="O221" s="243"/>
      <c r="P221" s="215"/>
      <c r="Q221" s="65"/>
      <c r="R221" s="65"/>
      <c r="V221" s="550"/>
    </row>
    <row r="222" spans="1:22">
      <c r="A222" s="1"/>
      <c r="B222" s="88"/>
      <c r="C222" s="552"/>
      <c r="D222" s="553"/>
      <c r="E222" s="158">
        <f>F222*120%</f>
        <v>0</v>
      </c>
      <c r="F222" s="158">
        <f>(D222-C222+1)*G222</f>
        <v>0</v>
      </c>
      <c r="G222" s="159">
        <f>M222*20</f>
        <v>0</v>
      </c>
      <c r="H222" s="215"/>
      <c r="I222" s="215"/>
      <c r="J222" s="322"/>
      <c r="K222" s="554"/>
      <c r="L222" s="65"/>
      <c r="M222" s="65"/>
      <c r="N222" s="163"/>
      <c r="O222" s="243"/>
      <c r="P222" s="215"/>
      <c r="Q222" s="65"/>
      <c r="R222" s="65"/>
      <c r="V222" s="550"/>
    </row>
    <row r="223" spans="1:22">
      <c r="A223" s="1"/>
      <c r="B223" s="88"/>
      <c r="C223" s="552"/>
      <c r="D223" s="553"/>
      <c r="E223" s="158">
        <f>F223*120%</f>
        <v>0</v>
      </c>
      <c r="F223" s="158">
        <f>(D223-C223+1)*G223</f>
        <v>0</v>
      </c>
      <c r="G223" s="159">
        <f>M223*20</f>
        <v>0</v>
      </c>
      <c r="H223" s="215"/>
      <c r="I223" s="215"/>
      <c r="J223" s="322"/>
      <c r="K223" s="554"/>
      <c r="L223" s="65"/>
      <c r="M223" s="65"/>
      <c r="N223" s="163"/>
      <c r="O223" s="243"/>
      <c r="P223" s="215"/>
      <c r="Q223" s="65"/>
      <c r="R223" s="65"/>
      <c r="V223" s="550"/>
    </row>
    <row r="224" spans="1:22">
      <c r="A224" s="1"/>
      <c r="B224" s="88"/>
      <c r="C224" s="552"/>
      <c r="D224" s="553"/>
      <c r="E224" s="158">
        <f>F224*120%</f>
        <v>0</v>
      </c>
      <c r="F224" s="158">
        <f>(D224-C224+1)*G224</f>
        <v>0</v>
      </c>
      <c r="G224" s="159">
        <f>M224*20</f>
        <v>0</v>
      </c>
      <c r="H224" s="215"/>
      <c r="I224" s="215"/>
      <c r="J224" s="322"/>
      <c r="K224" s="554"/>
      <c r="L224" s="65"/>
      <c r="M224" s="65"/>
      <c r="N224" s="163"/>
      <c r="O224" s="243"/>
      <c r="P224" s="215"/>
      <c r="Q224" s="65"/>
      <c r="R224" s="65"/>
      <c r="V224" s="550"/>
    </row>
    <row r="225" spans="1:22">
      <c r="A225" s="1"/>
      <c r="B225" s="88"/>
      <c r="C225" s="552"/>
      <c r="D225" s="553"/>
      <c r="E225" s="158">
        <f>F225*120%</f>
        <v>0</v>
      </c>
      <c r="F225" s="158">
        <f>(D225-C225+1)*G225</f>
        <v>0</v>
      </c>
      <c r="G225" s="159">
        <f>M225*20</f>
        <v>0</v>
      </c>
      <c r="H225" s="215"/>
      <c r="I225" s="215"/>
      <c r="J225" s="322"/>
      <c r="K225" s="554"/>
      <c r="L225" s="65"/>
      <c r="M225" s="65"/>
      <c r="N225" s="163"/>
      <c r="O225" s="243"/>
      <c r="P225" s="215"/>
      <c r="Q225" s="65"/>
      <c r="R225" s="65"/>
      <c r="V225" s="550"/>
    </row>
    <row r="226" spans="1:22">
      <c r="A226" s="1"/>
      <c r="B226" s="88"/>
      <c r="C226" s="552"/>
      <c r="D226" s="553"/>
      <c r="E226" s="158">
        <f>F226*120%</f>
        <v>0</v>
      </c>
      <c r="F226" s="158">
        <f>(D226-C226+1)*G226</f>
        <v>0</v>
      </c>
      <c r="G226" s="159">
        <f>M226*20</f>
        <v>0</v>
      </c>
      <c r="H226" s="215"/>
      <c r="I226" s="215"/>
      <c r="J226" s="322"/>
      <c r="K226" s="554"/>
      <c r="L226" s="65"/>
      <c r="M226" s="65"/>
      <c r="N226" s="163"/>
      <c r="O226" s="243"/>
      <c r="P226" s="215"/>
      <c r="Q226" s="65"/>
      <c r="R226" s="65"/>
      <c r="V226" s="550"/>
    </row>
    <row r="227" spans="1:22">
      <c r="A227" s="1"/>
      <c r="B227" s="88"/>
      <c r="C227" s="552"/>
      <c r="D227" s="553"/>
      <c r="E227" s="158">
        <f>F227*120%</f>
        <v>0</v>
      </c>
      <c r="F227" s="158">
        <f>(D227-C227+1)*G227</f>
        <v>0</v>
      </c>
      <c r="G227" s="159">
        <f>M227*20</f>
        <v>0</v>
      </c>
      <c r="H227" s="215"/>
      <c r="I227" s="215"/>
      <c r="J227" s="322"/>
      <c r="K227" s="554"/>
      <c r="L227" s="65"/>
      <c r="M227" s="65"/>
      <c r="N227" s="163"/>
      <c r="O227" s="243"/>
      <c r="P227" s="215"/>
      <c r="Q227" s="65"/>
      <c r="R227" s="65"/>
      <c r="V227" s="550"/>
    </row>
    <row r="228" spans="1:22">
      <c r="A228" s="1"/>
      <c r="B228" s="88"/>
      <c r="C228" s="552"/>
      <c r="D228" s="553"/>
      <c r="E228" s="158">
        <f>F228*120%</f>
        <v>0</v>
      </c>
      <c r="F228" s="158">
        <f>(D228-C228+1)*G228</f>
        <v>0</v>
      </c>
      <c r="G228" s="159">
        <f>M228*20</f>
        <v>0</v>
      </c>
      <c r="H228" s="215"/>
      <c r="I228" s="215"/>
      <c r="J228" s="322"/>
      <c r="K228" s="554"/>
      <c r="L228" s="65"/>
      <c r="M228" s="65"/>
      <c r="N228" s="163"/>
      <c r="O228" s="243"/>
      <c r="P228" s="215"/>
      <c r="Q228" s="65"/>
      <c r="R228" s="65"/>
      <c r="V228" s="550"/>
    </row>
    <row r="229" spans="1:22">
      <c r="A229" s="1"/>
      <c r="B229" s="88"/>
      <c r="C229" s="552"/>
      <c r="D229" s="553"/>
      <c r="E229" s="158">
        <f>F229*120%</f>
        <v>0</v>
      </c>
      <c r="F229" s="158">
        <f>(D229-C229+1)*G229</f>
        <v>0</v>
      </c>
      <c r="G229" s="159">
        <f>M229*20</f>
        <v>0</v>
      </c>
      <c r="H229" s="215"/>
      <c r="I229" s="215"/>
      <c r="J229" s="322"/>
      <c r="K229" s="554"/>
      <c r="L229" s="65"/>
      <c r="M229" s="65"/>
      <c r="N229" s="163"/>
      <c r="O229" s="243"/>
      <c r="P229" s="215"/>
      <c r="Q229" s="65"/>
      <c r="R229" s="65"/>
      <c r="V229" s="550"/>
    </row>
    <row r="230" spans="1:22">
      <c r="A230" s="1"/>
      <c r="B230" s="88"/>
      <c r="C230" s="552"/>
      <c r="D230" s="553"/>
      <c r="E230" s="158">
        <f>F230*120%</f>
        <v>0</v>
      </c>
      <c r="F230" s="158">
        <f>(D230-C230+1)*G230</f>
        <v>0</v>
      </c>
      <c r="G230" s="159">
        <f>M230*20</f>
        <v>0</v>
      </c>
      <c r="H230" s="215"/>
      <c r="I230" s="215"/>
      <c r="J230" s="322"/>
      <c r="K230" s="554"/>
      <c r="L230" s="65"/>
      <c r="M230" s="65"/>
      <c r="N230" s="163"/>
      <c r="O230" s="243"/>
      <c r="P230" s="215"/>
      <c r="Q230" s="65"/>
      <c r="R230" s="65"/>
      <c r="V230" s="550"/>
    </row>
    <row r="231" spans="1:22">
      <c r="A231" s="1"/>
      <c r="B231" s="88"/>
      <c r="C231" s="552"/>
      <c r="D231" s="553"/>
      <c r="E231" s="158">
        <f>F231*120%</f>
        <v>0</v>
      </c>
      <c r="F231" s="158">
        <f>(D231-C231+1)*G231</f>
        <v>0</v>
      </c>
      <c r="G231" s="159">
        <f>M231*20</f>
        <v>0</v>
      </c>
      <c r="H231" s="215"/>
      <c r="I231" s="215"/>
      <c r="J231" s="322"/>
      <c r="K231" s="554"/>
      <c r="L231" s="65"/>
      <c r="M231" s="65"/>
      <c r="N231" s="163"/>
      <c r="O231" s="243"/>
      <c r="P231" s="215"/>
      <c r="Q231" s="65"/>
      <c r="R231" s="65"/>
      <c r="V231" s="550"/>
    </row>
    <row r="232" spans="1:22">
      <c r="A232" s="1"/>
      <c r="B232" s="88"/>
      <c r="C232" s="552"/>
      <c r="D232" s="553"/>
      <c r="E232" s="158">
        <f>F232*120%</f>
        <v>0</v>
      </c>
      <c r="F232" s="158">
        <f>(D232-C232+1)*G232</f>
        <v>0</v>
      </c>
      <c r="G232" s="159">
        <f>M232*20</f>
        <v>0</v>
      </c>
      <c r="H232" s="215"/>
      <c r="I232" s="215"/>
      <c r="J232" s="322"/>
      <c r="K232" s="554"/>
      <c r="L232" s="65"/>
      <c r="M232" s="65"/>
      <c r="N232" s="163"/>
      <c r="O232" s="243"/>
      <c r="P232" s="215"/>
      <c r="Q232" s="65"/>
      <c r="R232" s="65"/>
      <c r="V232" s="550"/>
    </row>
    <row r="233" spans="1:22">
      <c r="A233" s="1"/>
      <c r="B233" s="88"/>
      <c r="C233" s="552"/>
      <c r="D233" s="553"/>
      <c r="E233" s="158">
        <f>F233*120%</f>
        <v>0</v>
      </c>
      <c r="F233" s="158">
        <f>(D233-C233+1)*G233</f>
        <v>0</v>
      </c>
      <c r="G233" s="159">
        <f>M233*20</f>
        <v>0</v>
      </c>
      <c r="H233" s="215"/>
      <c r="I233" s="215"/>
      <c r="J233" s="322"/>
      <c r="K233" s="554"/>
      <c r="L233" s="65"/>
      <c r="M233" s="65"/>
      <c r="N233" s="163"/>
      <c r="O233" s="243"/>
      <c r="P233" s="215"/>
      <c r="Q233" s="65"/>
      <c r="R233" s="65"/>
      <c r="V233" s="550"/>
    </row>
    <row r="234" spans="1:22">
      <c r="A234" s="1"/>
      <c r="B234" s="88"/>
      <c r="C234" s="552"/>
      <c r="D234" s="553"/>
      <c r="E234" s="158">
        <f>F234*120%</f>
        <v>0</v>
      </c>
      <c r="F234" s="158">
        <f>(D234-C234+1)*G234</f>
        <v>0</v>
      </c>
      <c r="G234" s="159">
        <f>M234*20</f>
        <v>0</v>
      </c>
      <c r="H234" s="215"/>
      <c r="I234" s="215"/>
      <c r="J234" s="322"/>
      <c r="K234" s="554"/>
      <c r="L234" s="65"/>
      <c r="M234" s="65"/>
      <c r="N234" s="163"/>
      <c r="O234" s="243"/>
      <c r="P234" s="215"/>
      <c r="Q234" s="65"/>
      <c r="R234" s="65"/>
      <c r="V234" s="550"/>
    </row>
    <row r="235" spans="1:22">
      <c r="A235" s="1"/>
      <c r="B235" s="88"/>
      <c r="C235" s="552"/>
      <c r="D235" s="553"/>
      <c r="E235" s="158">
        <f>F235*120%</f>
        <v>0</v>
      </c>
      <c r="F235" s="158">
        <f>(D235-C235+1)*G235</f>
        <v>0</v>
      </c>
      <c r="G235" s="159">
        <f>M235*20</f>
        <v>0</v>
      </c>
      <c r="H235" s="215"/>
      <c r="I235" s="215"/>
      <c r="J235" s="322"/>
      <c r="K235" s="554"/>
      <c r="L235" s="65"/>
      <c r="M235" s="65"/>
      <c r="N235" s="163"/>
      <c r="O235" s="243"/>
      <c r="P235" s="215"/>
      <c r="Q235" s="65"/>
      <c r="R235" s="65"/>
      <c r="V235" s="550"/>
    </row>
    <row r="236" spans="1:22">
      <c r="A236" s="1"/>
      <c r="B236" s="88"/>
      <c r="C236" s="552"/>
      <c r="D236" s="553"/>
      <c r="E236" s="158">
        <f>F236*120%</f>
        <v>0</v>
      </c>
      <c r="F236" s="158">
        <f>(D236-C236+1)*G236</f>
        <v>0</v>
      </c>
      <c r="G236" s="159">
        <f>M236*20</f>
        <v>0</v>
      </c>
      <c r="H236" s="215"/>
      <c r="I236" s="215"/>
      <c r="J236" s="322"/>
      <c r="K236" s="554"/>
      <c r="L236" s="65"/>
      <c r="M236" s="65"/>
      <c r="N236" s="163"/>
      <c r="O236" s="243"/>
      <c r="P236" s="215"/>
      <c r="Q236" s="65"/>
      <c r="R236" s="65"/>
      <c r="V236" s="550"/>
    </row>
    <row r="237" spans="1:22">
      <c r="A237" s="1"/>
      <c r="B237" s="88"/>
      <c r="C237" s="552"/>
      <c r="D237" s="553"/>
      <c r="E237" s="158">
        <f>F237*120%</f>
        <v>0</v>
      </c>
      <c r="F237" s="158">
        <f>(D237-C237+1)*G237</f>
        <v>0</v>
      </c>
      <c r="G237" s="159">
        <f>M237*20</f>
        <v>0</v>
      </c>
      <c r="H237" s="215"/>
      <c r="I237" s="215"/>
      <c r="J237" s="322"/>
      <c r="K237" s="554"/>
      <c r="L237" s="65"/>
      <c r="M237" s="65"/>
      <c r="N237" s="163"/>
      <c r="O237" s="243"/>
      <c r="P237" s="215"/>
      <c r="Q237" s="65"/>
      <c r="R237" s="65"/>
      <c r="V237" s="550"/>
    </row>
    <row r="238" spans="1:22">
      <c r="A238" s="1"/>
      <c r="B238" s="88"/>
      <c r="C238" s="552"/>
      <c r="D238" s="553"/>
      <c r="E238" s="158">
        <f>F238*120%</f>
        <v>0</v>
      </c>
      <c r="F238" s="158">
        <f>(D238-C238+1)*G238</f>
        <v>0</v>
      </c>
      <c r="G238" s="159">
        <f>M238*20</f>
        <v>0</v>
      </c>
      <c r="H238" s="215"/>
      <c r="I238" s="215"/>
      <c r="J238" s="322"/>
      <c r="K238" s="554"/>
      <c r="L238" s="65"/>
      <c r="M238" s="65"/>
      <c r="N238" s="163"/>
      <c r="O238" s="243"/>
      <c r="P238" s="215"/>
      <c r="Q238" s="65"/>
      <c r="R238" s="65"/>
      <c r="V238" s="550"/>
    </row>
    <row r="239" spans="1:22">
      <c r="A239" s="1"/>
      <c r="B239" s="88"/>
      <c r="C239" s="552"/>
      <c r="D239" s="553"/>
      <c r="E239" s="158">
        <f>F239*120%</f>
        <v>0</v>
      </c>
      <c r="F239" s="158">
        <f>(D239-C239+1)*G239</f>
        <v>0</v>
      </c>
      <c r="G239" s="159">
        <f>M239*20</f>
        <v>0</v>
      </c>
      <c r="H239" s="215"/>
      <c r="I239" s="215"/>
      <c r="J239" s="322"/>
      <c r="K239" s="554"/>
      <c r="L239" s="65"/>
      <c r="M239" s="65"/>
      <c r="N239" s="163"/>
      <c r="O239" s="243"/>
      <c r="P239" s="215"/>
      <c r="Q239" s="65"/>
      <c r="R239" s="65"/>
      <c r="V239" s="550"/>
    </row>
    <row r="240" spans="1:22">
      <c r="A240" s="1"/>
      <c r="B240" s="88"/>
      <c r="C240" s="552"/>
      <c r="D240" s="553"/>
      <c r="E240" s="158">
        <f>F240*120%</f>
        <v>0</v>
      </c>
      <c r="F240" s="158">
        <f>(D240-C240+1)*G240</f>
        <v>0</v>
      </c>
      <c r="G240" s="159">
        <f>M240*20</f>
        <v>0</v>
      </c>
      <c r="H240" s="215"/>
      <c r="I240" s="215"/>
      <c r="J240" s="322"/>
      <c r="K240" s="554"/>
      <c r="L240" s="65"/>
      <c r="M240" s="65"/>
      <c r="N240" s="163"/>
      <c r="O240" s="243"/>
      <c r="P240" s="215"/>
      <c r="Q240" s="65"/>
      <c r="R240" s="65"/>
      <c r="V240" s="550"/>
    </row>
    <row r="241" spans="1:22">
      <c r="A241" s="1"/>
      <c r="B241" s="88"/>
      <c r="C241" s="552"/>
      <c r="D241" s="553"/>
      <c r="E241" s="158">
        <f>F241*120%</f>
        <v>0</v>
      </c>
      <c r="F241" s="158">
        <f>(D241-C241+1)*G241</f>
        <v>0</v>
      </c>
      <c r="G241" s="159">
        <f>M241*20</f>
        <v>0</v>
      </c>
      <c r="H241" s="215"/>
      <c r="I241" s="215"/>
      <c r="J241" s="322"/>
      <c r="K241" s="554"/>
      <c r="L241" s="65"/>
      <c r="M241" s="65"/>
      <c r="N241" s="163"/>
      <c r="O241" s="243"/>
      <c r="P241" s="215"/>
      <c r="Q241" s="65"/>
      <c r="R241" s="65"/>
      <c r="V241" s="550"/>
    </row>
    <row r="242" spans="1:22">
      <c r="A242" s="1"/>
      <c r="B242" s="88"/>
      <c r="C242" s="552"/>
      <c r="D242" s="553"/>
      <c r="E242" s="158">
        <f>F242*120%</f>
        <v>0</v>
      </c>
      <c r="F242" s="158">
        <f>(D242-C242+1)*G242</f>
        <v>0</v>
      </c>
      <c r="G242" s="159">
        <f>M242*20</f>
        <v>0</v>
      </c>
      <c r="H242" s="215"/>
      <c r="I242" s="215"/>
      <c r="J242" s="322"/>
      <c r="K242" s="554"/>
      <c r="L242" s="65"/>
      <c r="M242" s="65"/>
      <c r="N242" s="163"/>
      <c r="O242" s="243"/>
      <c r="P242" s="215"/>
      <c r="Q242" s="65"/>
      <c r="R242" s="65"/>
      <c r="V242" s="550"/>
    </row>
    <row r="243" spans="1:22">
      <c r="A243" s="1"/>
      <c r="B243" s="88"/>
      <c r="C243" s="552"/>
      <c r="D243" s="553"/>
      <c r="E243" s="158">
        <f>F243*120%</f>
        <v>0</v>
      </c>
      <c r="F243" s="158">
        <f>(D243-C243+1)*G243</f>
        <v>0</v>
      </c>
      <c r="G243" s="159">
        <f>M243*20</f>
        <v>0</v>
      </c>
      <c r="H243" s="215"/>
      <c r="I243" s="215"/>
      <c r="J243" s="322"/>
      <c r="K243" s="554"/>
      <c r="L243" s="65"/>
      <c r="M243" s="65"/>
      <c r="N243" s="163"/>
      <c r="O243" s="243"/>
      <c r="P243" s="215"/>
      <c r="Q243" s="65"/>
      <c r="R243" s="65"/>
      <c r="V243" s="550"/>
    </row>
    <row r="244" spans="1:22">
      <c r="A244" s="1"/>
      <c r="B244" s="88"/>
      <c r="C244" s="552"/>
      <c r="D244" s="553"/>
      <c r="E244" s="158">
        <f>F244*120%</f>
        <v>0</v>
      </c>
      <c r="F244" s="158">
        <f>(D244-C244+1)*G244</f>
        <v>0</v>
      </c>
      <c r="G244" s="159">
        <f>M244*20</f>
        <v>0</v>
      </c>
      <c r="H244" s="215"/>
      <c r="I244" s="215"/>
      <c r="J244" s="322"/>
      <c r="K244" s="554"/>
      <c r="L244" s="65"/>
      <c r="M244" s="65"/>
      <c r="N244" s="163"/>
      <c r="O244" s="243"/>
      <c r="P244" s="215"/>
      <c r="Q244" s="65"/>
      <c r="R244" s="65"/>
      <c r="V244" s="550"/>
    </row>
    <row r="245" spans="1:22">
      <c r="A245" s="1"/>
      <c r="B245" s="88"/>
      <c r="C245" s="552"/>
      <c r="D245" s="553"/>
      <c r="E245" s="158">
        <f>F245*120%</f>
        <v>0</v>
      </c>
      <c r="F245" s="158">
        <f>(D245-C245+1)*G245</f>
        <v>0</v>
      </c>
      <c r="G245" s="159">
        <f>M245*20</f>
        <v>0</v>
      </c>
      <c r="H245" s="215"/>
      <c r="I245" s="215"/>
      <c r="J245" s="322"/>
      <c r="K245" s="554"/>
      <c r="L245" s="65"/>
      <c r="M245" s="65"/>
      <c r="N245" s="163"/>
      <c r="O245" s="243"/>
      <c r="P245" s="215"/>
      <c r="Q245" s="65"/>
      <c r="R245" s="65"/>
      <c r="V245" s="550"/>
    </row>
    <row r="246" spans="1:22">
      <c r="A246" s="1"/>
      <c r="B246" s="88"/>
      <c r="C246" s="552"/>
      <c r="D246" s="553"/>
      <c r="E246" s="158">
        <f>F246*120%</f>
        <v>0</v>
      </c>
      <c r="F246" s="158">
        <f>(D246-C246+1)*G246</f>
        <v>0</v>
      </c>
      <c r="G246" s="159">
        <f>M246*20</f>
        <v>0</v>
      </c>
      <c r="H246" s="215"/>
      <c r="I246" s="215"/>
      <c r="J246" s="322"/>
      <c r="K246" s="554"/>
      <c r="L246" s="65"/>
      <c r="M246" s="65"/>
      <c r="N246" s="163"/>
      <c r="O246" s="243"/>
      <c r="P246" s="215"/>
      <c r="Q246" s="65"/>
      <c r="R246" s="65"/>
      <c r="V246" s="550"/>
    </row>
    <row r="247" spans="1:22">
      <c r="A247" s="1"/>
      <c r="B247" s="88"/>
      <c r="C247" s="552"/>
      <c r="D247" s="553"/>
      <c r="E247" s="158">
        <f>F247*120%</f>
        <v>0</v>
      </c>
      <c r="F247" s="158">
        <f>(D247-C247+1)*G247</f>
        <v>0</v>
      </c>
      <c r="G247" s="159">
        <f>M247*20</f>
        <v>0</v>
      </c>
      <c r="H247" s="215"/>
      <c r="I247" s="215"/>
      <c r="J247" s="322"/>
      <c r="K247" s="554"/>
      <c r="L247" s="65"/>
      <c r="M247" s="65"/>
      <c r="N247" s="163"/>
      <c r="O247" s="243"/>
      <c r="P247" s="215"/>
      <c r="Q247" s="65"/>
      <c r="R247" s="65"/>
      <c r="V247" s="550"/>
    </row>
    <row r="248" spans="1:22">
      <c r="A248" s="1"/>
      <c r="B248" s="88"/>
      <c r="C248" s="552"/>
      <c r="D248" s="553"/>
      <c r="E248" s="158">
        <f>F248*120%</f>
        <v>0</v>
      </c>
      <c r="F248" s="158">
        <f>(D248-C248+1)*G248</f>
        <v>0</v>
      </c>
      <c r="G248" s="159">
        <f>M248*20</f>
        <v>0</v>
      </c>
      <c r="H248" s="215"/>
      <c r="I248" s="215"/>
      <c r="J248" s="322"/>
      <c r="K248" s="554"/>
      <c r="L248" s="65"/>
      <c r="M248" s="65"/>
      <c r="N248" s="163"/>
      <c r="O248" s="243"/>
      <c r="P248" s="215"/>
      <c r="Q248" s="65"/>
      <c r="R248" s="65"/>
      <c r="V248" s="550"/>
    </row>
    <row r="249" spans="1:22">
      <c r="A249" s="1"/>
      <c r="B249" s="88"/>
      <c r="C249" s="552"/>
      <c r="D249" s="553"/>
      <c r="E249" s="158">
        <f>F249*120%</f>
        <v>0</v>
      </c>
      <c r="F249" s="158">
        <f>(D249-C249+1)*G249</f>
        <v>0</v>
      </c>
      <c r="G249" s="159">
        <f>M249*20</f>
        <v>0</v>
      </c>
      <c r="H249" s="215"/>
      <c r="I249" s="215"/>
      <c r="J249" s="322"/>
      <c r="K249" s="554"/>
      <c r="L249" s="65"/>
      <c r="M249" s="65"/>
      <c r="N249" s="163"/>
      <c r="O249" s="243"/>
      <c r="P249" s="215"/>
      <c r="Q249" s="65"/>
      <c r="R249" s="65"/>
      <c r="V249" s="550"/>
    </row>
    <row r="250" spans="1:22">
      <c r="A250" s="1"/>
      <c r="B250" s="88"/>
      <c r="C250" s="552"/>
      <c r="D250" s="553"/>
      <c r="E250" s="158">
        <f>F250*120%</f>
        <v>0</v>
      </c>
      <c r="F250" s="158">
        <f>(D250-C250+1)*G250</f>
        <v>0</v>
      </c>
      <c r="G250" s="159">
        <f>M250*20</f>
        <v>0</v>
      </c>
      <c r="H250" s="215"/>
      <c r="I250" s="215"/>
      <c r="J250" s="322"/>
      <c r="K250" s="554"/>
      <c r="L250" s="65"/>
      <c r="M250" s="65"/>
      <c r="N250" s="163"/>
      <c r="O250" s="243"/>
      <c r="P250" s="215"/>
      <c r="Q250" s="65"/>
      <c r="R250" s="65"/>
      <c r="V250" s="550"/>
    </row>
    <row r="251" spans="1:22">
      <c r="A251" s="1"/>
      <c r="B251" s="88"/>
      <c r="C251" s="552"/>
      <c r="D251" s="553"/>
      <c r="E251" s="158">
        <f>F251*120%</f>
        <v>0</v>
      </c>
      <c r="F251" s="158">
        <f>(D251-C251+1)*G251</f>
        <v>0</v>
      </c>
      <c r="G251" s="159">
        <f>M251*20</f>
        <v>0</v>
      </c>
      <c r="H251" s="215"/>
      <c r="I251" s="215"/>
      <c r="J251" s="322"/>
      <c r="K251" s="554"/>
      <c r="L251" s="65"/>
      <c r="M251" s="65"/>
      <c r="N251" s="163"/>
      <c r="O251" s="243"/>
      <c r="P251" s="215"/>
      <c r="Q251" s="65"/>
      <c r="R251" s="65"/>
      <c r="V251" s="550"/>
    </row>
    <row r="252" spans="1:22">
      <c r="A252" s="1"/>
      <c r="B252" s="88"/>
      <c r="C252" s="552"/>
      <c r="D252" s="553"/>
      <c r="E252" s="158">
        <f>F252*120%</f>
        <v>0</v>
      </c>
      <c r="F252" s="158">
        <f>(D252-C252+1)*G252</f>
        <v>0</v>
      </c>
      <c r="G252" s="159">
        <f>M252*20</f>
        <v>0</v>
      </c>
      <c r="H252" s="215"/>
      <c r="I252" s="215"/>
      <c r="J252" s="322"/>
      <c r="K252" s="554"/>
      <c r="L252" s="65"/>
      <c r="M252" s="65"/>
      <c r="N252" s="163"/>
      <c r="O252" s="243"/>
      <c r="P252" s="215"/>
      <c r="Q252" s="65"/>
      <c r="R252" s="65"/>
      <c r="V252" s="550"/>
    </row>
    <row r="253" spans="1:22">
      <c r="A253" s="1"/>
      <c r="B253" s="88"/>
      <c r="C253" s="552"/>
      <c r="D253" s="553"/>
      <c r="E253" s="158">
        <f>F253*120%</f>
        <v>0</v>
      </c>
      <c r="F253" s="158">
        <f>(D253-C253+1)*G253</f>
        <v>0</v>
      </c>
      <c r="G253" s="159">
        <f>M253*20</f>
        <v>0</v>
      </c>
      <c r="H253" s="215"/>
      <c r="I253" s="215"/>
      <c r="J253" s="322"/>
      <c r="K253" s="554"/>
      <c r="L253" s="65"/>
      <c r="M253" s="65"/>
      <c r="N253" s="163"/>
      <c r="O253" s="243"/>
      <c r="P253" s="215"/>
      <c r="Q253" s="65"/>
      <c r="R253" s="65"/>
      <c r="V253" s="550"/>
    </row>
    <row r="254" spans="1:22">
      <c r="A254" s="1"/>
      <c r="B254" s="88"/>
      <c r="C254" s="552"/>
      <c r="D254" s="553"/>
      <c r="E254" s="158">
        <f>F254*120%</f>
        <v>0</v>
      </c>
      <c r="F254" s="158">
        <f>(D254-C254+1)*G254</f>
        <v>0</v>
      </c>
      <c r="G254" s="159">
        <f>M254*20</f>
        <v>0</v>
      </c>
      <c r="H254" s="215"/>
      <c r="I254" s="215"/>
      <c r="J254" s="322"/>
      <c r="K254" s="554"/>
      <c r="L254" s="65"/>
      <c r="M254" s="65"/>
      <c r="N254" s="163"/>
      <c r="O254" s="243"/>
      <c r="P254" s="215"/>
      <c r="Q254" s="65"/>
      <c r="R254" s="65"/>
      <c r="V254" s="550"/>
    </row>
    <row r="255" spans="1:22">
      <c r="A255" s="1"/>
      <c r="B255" s="88"/>
      <c r="C255" s="552"/>
      <c r="D255" s="553"/>
      <c r="E255" s="158">
        <f>F255*120%</f>
        <v>0</v>
      </c>
      <c r="F255" s="158">
        <f>(D255-C255+1)*G255</f>
        <v>0</v>
      </c>
      <c r="G255" s="159">
        <f>M255*20</f>
        <v>0</v>
      </c>
      <c r="H255" s="215"/>
      <c r="I255" s="215"/>
      <c r="J255" s="322"/>
      <c r="K255" s="554"/>
      <c r="L255" s="65"/>
      <c r="M255" s="65"/>
      <c r="N255" s="163"/>
      <c r="O255" s="243"/>
      <c r="P255" s="215"/>
      <c r="Q255" s="65"/>
      <c r="R255" s="65"/>
      <c r="V255" s="550"/>
    </row>
    <row r="256" spans="1:22">
      <c r="A256" s="1"/>
      <c r="B256" s="88"/>
      <c r="C256" s="552"/>
      <c r="D256" s="553"/>
      <c r="E256" s="158">
        <f>F256*120%</f>
        <v>0</v>
      </c>
      <c r="F256" s="158">
        <f>(D256-C256+1)*G256</f>
        <v>0</v>
      </c>
      <c r="G256" s="159">
        <f>M256*20</f>
        <v>0</v>
      </c>
      <c r="H256" s="215"/>
      <c r="I256" s="215"/>
      <c r="J256" s="322"/>
      <c r="K256" s="554"/>
      <c r="L256" s="65"/>
      <c r="M256" s="65"/>
      <c r="N256" s="163"/>
      <c r="O256" s="243"/>
      <c r="P256" s="215"/>
      <c r="Q256" s="65"/>
      <c r="R256" s="65"/>
      <c r="V256" s="550"/>
    </row>
    <row r="257" spans="1:22">
      <c r="A257" s="1"/>
      <c r="B257" s="88"/>
      <c r="C257" s="552"/>
      <c r="D257" s="553"/>
      <c r="E257" s="158">
        <f>F257*120%</f>
        <v>0</v>
      </c>
      <c r="F257" s="158">
        <f>(D257-C257+1)*G257</f>
        <v>0</v>
      </c>
      <c r="G257" s="159">
        <f>M257*20</f>
        <v>0</v>
      </c>
      <c r="H257" s="215"/>
      <c r="I257" s="215"/>
      <c r="J257" s="322"/>
      <c r="K257" s="554"/>
      <c r="L257" s="65"/>
      <c r="M257" s="65"/>
      <c r="N257" s="163"/>
      <c r="O257" s="243"/>
      <c r="P257" s="215"/>
      <c r="Q257" s="65"/>
      <c r="R257" s="65"/>
      <c r="V257" s="550"/>
    </row>
    <row r="258" spans="1:22">
      <c r="A258" s="1"/>
      <c r="B258" s="88"/>
      <c r="C258" s="552"/>
      <c r="D258" s="553"/>
      <c r="E258" s="158">
        <f>F258*120%</f>
        <v>0</v>
      </c>
      <c r="F258" s="158">
        <f>(D258-C258+1)*G258</f>
        <v>0</v>
      </c>
      <c r="G258" s="159">
        <f>M258*20</f>
        <v>0</v>
      </c>
      <c r="H258" s="215"/>
      <c r="I258" s="215"/>
      <c r="J258" s="322"/>
      <c r="K258" s="554"/>
      <c r="L258" s="65"/>
      <c r="M258" s="65"/>
      <c r="N258" s="163"/>
      <c r="O258" s="243"/>
      <c r="P258" s="215"/>
      <c r="Q258" s="65"/>
      <c r="R258" s="65"/>
      <c r="V258" s="550"/>
    </row>
    <row r="259" spans="1:22">
      <c r="A259" s="1"/>
      <c r="B259" s="88"/>
      <c r="C259" s="552"/>
      <c r="D259" s="553"/>
      <c r="E259" s="158">
        <f>F259*120%</f>
        <v>0</v>
      </c>
      <c r="F259" s="158">
        <f>(D259-C259+1)*G259</f>
        <v>0</v>
      </c>
      <c r="G259" s="159">
        <f>M259*20</f>
        <v>0</v>
      </c>
      <c r="H259" s="215"/>
      <c r="I259" s="215"/>
      <c r="J259" s="322"/>
      <c r="K259" s="554"/>
      <c r="L259" s="65"/>
      <c r="M259" s="65"/>
      <c r="N259" s="163"/>
      <c r="O259" s="243"/>
      <c r="P259" s="215"/>
      <c r="Q259" s="65"/>
      <c r="R259" s="65"/>
      <c r="V259" s="550"/>
    </row>
    <row r="260" spans="1:22">
      <c r="A260" s="1"/>
      <c r="B260" s="88"/>
      <c r="C260" s="552"/>
      <c r="D260" s="553"/>
      <c r="E260" s="158">
        <f>F260*120%</f>
        <v>0</v>
      </c>
      <c r="F260" s="158">
        <f>(D260-C260+1)*G260</f>
        <v>0</v>
      </c>
      <c r="G260" s="159">
        <f>M260*20</f>
        <v>0</v>
      </c>
      <c r="H260" s="215"/>
      <c r="I260" s="215"/>
      <c r="J260" s="322"/>
      <c r="K260" s="554"/>
      <c r="L260" s="65"/>
      <c r="M260" s="65"/>
      <c r="N260" s="163"/>
      <c r="O260" s="243"/>
      <c r="P260" s="215"/>
      <c r="Q260" s="65"/>
      <c r="R260" s="65"/>
      <c r="V260" s="550"/>
    </row>
    <row r="261" spans="1:22">
      <c r="A261" s="1"/>
      <c r="B261" s="88"/>
      <c r="C261" s="552"/>
      <c r="D261" s="553"/>
      <c r="E261" s="158">
        <f>F261*120%</f>
        <v>0</v>
      </c>
      <c r="F261" s="158">
        <f>(D261-C261+1)*G261</f>
        <v>0</v>
      </c>
      <c r="G261" s="159">
        <f>M261*20</f>
        <v>0</v>
      </c>
      <c r="H261" s="215"/>
      <c r="I261" s="215"/>
      <c r="J261" s="322"/>
      <c r="K261" s="554"/>
      <c r="L261" s="65"/>
      <c r="M261" s="65"/>
      <c r="N261" s="163"/>
      <c r="O261" s="243"/>
      <c r="P261" s="215"/>
      <c r="Q261" s="65"/>
      <c r="R261" s="65"/>
      <c r="V261" s="550"/>
    </row>
    <row r="262" spans="1:22">
      <c r="A262" s="1"/>
      <c r="B262" s="88"/>
      <c r="C262" s="552"/>
      <c r="D262" s="553"/>
      <c r="E262" s="158">
        <f>F262*120%</f>
        <v>0</v>
      </c>
      <c r="F262" s="158">
        <f>(D262-C262+1)*G262</f>
        <v>0</v>
      </c>
      <c r="G262" s="159">
        <f>M262*20</f>
        <v>0</v>
      </c>
      <c r="H262" s="215"/>
      <c r="I262" s="215"/>
      <c r="J262" s="322"/>
      <c r="K262" s="554"/>
      <c r="L262" s="65"/>
      <c r="M262" s="65"/>
      <c r="N262" s="163"/>
      <c r="O262" s="243"/>
      <c r="P262" s="215"/>
      <c r="Q262" s="65"/>
      <c r="R262" s="65"/>
      <c r="V262" s="550"/>
    </row>
    <row r="263" spans="1:22">
      <c r="A263" s="1"/>
      <c r="B263" s="88"/>
      <c r="C263" s="552"/>
      <c r="D263" s="553"/>
      <c r="E263" s="158">
        <f>F263*120%</f>
        <v>0</v>
      </c>
      <c r="F263" s="158">
        <f>(D263-C263+1)*G263</f>
        <v>0</v>
      </c>
      <c r="G263" s="159">
        <f>M263*20</f>
        <v>0</v>
      </c>
      <c r="H263" s="215"/>
      <c r="I263" s="215"/>
      <c r="J263" s="322"/>
      <c r="K263" s="554"/>
      <c r="L263" s="65"/>
      <c r="M263" s="65"/>
      <c r="N263" s="163"/>
      <c r="O263" s="243"/>
      <c r="P263" s="215"/>
      <c r="Q263" s="65"/>
      <c r="R263" s="65"/>
      <c r="V263" s="550"/>
    </row>
    <row r="264" spans="1:22">
      <c r="A264" s="1"/>
      <c r="B264" s="88"/>
      <c r="C264" s="552"/>
      <c r="D264" s="553"/>
      <c r="E264" s="158">
        <f>F264*120%</f>
        <v>0</v>
      </c>
      <c r="F264" s="158">
        <f>(D264-C264+1)*G264</f>
        <v>0</v>
      </c>
      <c r="G264" s="159">
        <f>M264*20</f>
        <v>0</v>
      </c>
      <c r="H264" s="215"/>
      <c r="I264" s="215"/>
      <c r="J264" s="322"/>
      <c r="K264" s="554"/>
      <c r="L264" s="65"/>
      <c r="M264" s="65"/>
      <c r="N264" s="163"/>
      <c r="O264" s="243"/>
      <c r="P264" s="215"/>
      <c r="Q264" s="65"/>
      <c r="R264" s="65"/>
      <c r="V264" s="550"/>
    </row>
    <row r="265" spans="1:22">
      <c r="A265" s="1"/>
      <c r="B265" s="88"/>
      <c r="C265" s="552"/>
      <c r="D265" s="553"/>
      <c r="E265" s="158">
        <f>F265*120%</f>
        <v>0</v>
      </c>
      <c r="F265" s="158">
        <f>(D265-C265+1)*G265</f>
        <v>0</v>
      </c>
      <c r="G265" s="159">
        <f>M265*20</f>
        <v>0</v>
      </c>
      <c r="H265" s="215"/>
      <c r="I265" s="215"/>
      <c r="J265" s="322"/>
      <c r="K265" s="554"/>
      <c r="L265" s="65"/>
      <c r="M265" s="65"/>
      <c r="N265" s="163"/>
      <c r="O265" s="243"/>
      <c r="P265" s="215"/>
      <c r="Q265" s="65"/>
      <c r="R265" s="65"/>
      <c r="V265" s="550"/>
    </row>
    <row r="266" spans="1:22">
      <c r="A266" s="1"/>
      <c r="B266" s="88"/>
      <c r="C266" s="552"/>
      <c r="D266" s="553"/>
      <c r="E266" s="158">
        <f>F266*120%</f>
        <v>0</v>
      </c>
      <c r="F266" s="158">
        <f>(D266-C266+1)*G266</f>
        <v>0</v>
      </c>
      <c r="G266" s="159">
        <f>M266*20</f>
        <v>0</v>
      </c>
      <c r="H266" s="215"/>
      <c r="I266" s="215"/>
      <c r="J266" s="322"/>
      <c r="K266" s="554"/>
      <c r="L266" s="65"/>
      <c r="M266" s="65"/>
      <c r="N266" s="163"/>
      <c r="O266" s="243"/>
      <c r="P266" s="215"/>
      <c r="Q266" s="65"/>
      <c r="R266" s="65"/>
      <c r="V266" s="550"/>
    </row>
    <row r="267" spans="1:22">
      <c r="A267" s="1"/>
      <c r="B267" s="88"/>
      <c r="C267" s="552"/>
      <c r="D267" s="553"/>
      <c r="E267" s="158">
        <f>F267*120%</f>
        <v>0</v>
      </c>
      <c r="F267" s="158">
        <f>(D267-C267+1)*G267</f>
        <v>0</v>
      </c>
      <c r="G267" s="159">
        <f>M267*20</f>
        <v>0</v>
      </c>
      <c r="H267" s="215"/>
      <c r="I267" s="215"/>
      <c r="J267" s="322"/>
      <c r="K267" s="554"/>
      <c r="L267" s="65"/>
      <c r="M267" s="65"/>
      <c r="N267" s="163"/>
      <c r="O267" s="243"/>
      <c r="P267" s="215"/>
      <c r="Q267" s="65"/>
      <c r="R267" s="65"/>
      <c r="V267" s="550"/>
    </row>
    <row r="268" spans="1:22">
      <c r="A268" s="1"/>
      <c r="B268" s="88"/>
      <c r="C268" s="552"/>
      <c r="D268" s="553"/>
      <c r="E268" s="158">
        <f>F268*120%</f>
        <v>0</v>
      </c>
      <c r="F268" s="158">
        <f>(D268-C268+1)*G268</f>
        <v>0</v>
      </c>
      <c r="G268" s="159">
        <f>M268*20</f>
        <v>0</v>
      </c>
      <c r="H268" s="215"/>
      <c r="I268" s="215"/>
      <c r="J268" s="322"/>
      <c r="K268" s="554"/>
      <c r="L268" s="65"/>
      <c r="M268" s="65"/>
      <c r="N268" s="163"/>
      <c r="O268" s="243"/>
      <c r="P268" s="215"/>
      <c r="Q268" s="65"/>
      <c r="R268" s="65"/>
      <c r="V268" s="550"/>
    </row>
    <row r="269" spans="1:22">
      <c r="A269" s="1"/>
      <c r="B269" s="88"/>
      <c r="C269" s="552"/>
      <c r="D269" s="553"/>
      <c r="E269" s="158">
        <f>F269*120%</f>
        <v>0</v>
      </c>
      <c r="F269" s="158">
        <f>(D269-C269+1)*G269</f>
        <v>0</v>
      </c>
      <c r="G269" s="159">
        <f>M269*20</f>
        <v>0</v>
      </c>
      <c r="H269" s="215"/>
      <c r="I269" s="215"/>
      <c r="J269" s="322"/>
      <c r="K269" s="554"/>
      <c r="L269" s="65"/>
      <c r="M269" s="65"/>
      <c r="N269" s="163"/>
      <c r="O269" s="243"/>
      <c r="P269" s="215"/>
      <c r="Q269" s="65"/>
      <c r="R269" s="65"/>
      <c r="V269" s="550"/>
    </row>
    <row r="270" spans="1:22">
      <c r="A270" s="1"/>
      <c r="B270" s="88"/>
      <c r="C270" s="552"/>
      <c r="D270" s="553"/>
      <c r="E270" s="158">
        <f>F270*120%</f>
        <v>0</v>
      </c>
      <c r="F270" s="158">
        <f>(D270-C270+1)*G270</f>
        <v>0</v>
      </c>
      <c r="G270" s="159">
        <f>M270*20</f>
        <v>0</v>
      </c>
      <c r="H270" s="215"/>
      <c r="I270" s="215"/>
      <c r="J270" s="322"/>
      <c r="K270" s="554"/>
      <c r="L270" s="65"/>
      <c r="M270" s="65"/>
      <c r="N270" s="163"/>
      <c r="O270" s="243"/>
      <c r="P270" s="215"/>
      <c r="Q270" s="65"/>
      <c r="R270" s="65"/>
      <c r="V270" s="550"/>
    </row>
    <row r="271" spans="1:22">
      <c r="A271" s="1"/>
      <c r="B271" s="88"/>
      <c r="C271" s="552"/>
      <c r="D271" s="553"/>
      <c r="E271" s="158">
        <f>F271*120%</f>
        <v>0</v>
      </c>
      <c r="F271" s="158">
        <f>(D271-C271+1)*G271</f>
        <v>0</v>
      </c>
      <c r="G271" s="159">
        <f>M271*20</f>
        <v>0</v>
      </c>
      <c r="H271" s="215"/>
      <c r="I271" s="215"/>
      <c r="J271" s="322"/>
      <c r="K271" s="554"/>
      <c r="L271" s="65"/>
      <c r="M271" s="65"/>
      <c r="N271" s="163"/>
      <c r="O271" s="243"/>
      <c r="P271" s="215"/>
      <c r="Q271" s="65"/>
      <c r="R271" s="65"/>
      <c r="V271" s="550"/>
    </row>
    <row r="272" spans="1:22">
      <c r="A272" s="1"/>
      <c r="B272" s="88"/>
      <c r="C272" s="552"/>
      <c r="D272" s="553"/>
      <c r="E272" s="158">
        <f>F272*120%</f>
        <v>0</v>
      </c>
      <c r="F272" s="158">
        <f>(D272-C272+1)*G272</f>
        <v>0</v>
      </c>
      <c r="G272" s="159">
        <f>M272*20</f>
        <v>0</v>
      </c>
      <c r="H272" s="215"/>
      <c r="I272" s="215"/>
      <c r="J272" s="322"/>
      <c r="K272" s="554"/>
      <c r="L272" s="65"/>
      <c r="M272" s="65"/>
      <c r="N272" s="163"/>
      <c r="O272" s="243"/>
      <c r="P272" s="215"/>
      <c r="Q272" s="65"/>
      <c r="R272" s="65"/>
      <c r="V272" s="550"/>
    </row>
    <row r="273" spans="1:22">
      <c r="A273" s="1"/>
      <c r="B273" s="88"/>
      <c r="C273" s="552"/>
      <c r="D273" s="553"/>
      <c r="E273" s="158">
        <f>F273*120%</f>
        <v>0</v>
      </c>
      <c r="F273" s="158">
        <f>(D273-C273+1)*G273</f>
        <v>0</v>
      </c>
      <c r="G273" s="159">
        <f>M273*20</f>
        <v>0</v>
      </c>
      <c r="H273" s="215"/>
      <c r="I273" s="215"/>
      <c r="J273" s="322"/>
      <c r="K273" s="554"/>
      <c r="L273" s="65"/>
      <c r="M273" s="65"/>
      <c r="N273" s="163"/>
      <c r="O273" s="243"/>
      <c r="P273" s="215"/>
      <c r="Q273" s="65"/>
      <c r="R273" s="65"/>
      <c r="V273" s="550"/>
    </row>
    <row r="274" spans="1:22">
      <c r="A274" s="1"/>
      <c r="B274" s="88"/>
      <c r="C274" s="552"/>
      <c r="D274" s="553"/>
      <c r="E274" s="158">
        <f>F274*120%</f>
        <v>0</v>
      </c>
      <c r="F274" s="158">
        <f>(D274-C274+1)*G274</f>
        <v>0</v>
      </c>
      <c r="G274" s="159">
        <f>M274*20</f>
        <v>0</v>
      </c>
      <c r="H274" s="215"/>
      <c r="I274" s="215"/>
      <c r="J274" s="322"/>
      <c r="K274" s="554"/>
      <c r="L274" s="65"/>
      <c r="M274" s="65"/>
      <c r="N274" s="163"/>
      <c r="O274" s="243"/>
      <c r="P274" s="215"/>
      <c r="Q274" s="65"/>
      <c r="R274" s="65"/>
      <c r="V274" s="550"/>
    </row>
    <row r="275" spans="1:22">
      <c r="A275" s="1"/>
      <c r="B275" s="88"/>
      <c r="C275" s="552"/>
      <c r="D275" s="553"/>
      <c r="E275" s="158">
        <f>F275*120%</f>
        <v>0</v>
      </c>
      <c r="F275" s="158">
        <f>(D275-C275+1)*G275</f>
        <v>0</v>
      </c>
      <c r="G275" s="159">
        <f>M275*20</f>
        <v>0</v>
      </c>
      <c r="H275" s="215"/>
      <c r="I275" s="215"/>
      <c r="J275" s="322"/>
      <c r="K275" s="554"/>
      <c r="L275" s="65"/>
      <c r="M275" s="65"/>
      <c r="N275" s="163"/>
      <c r="O275" s="243"/>
      <c r="P275" s="215"/>
      <c r="Q275" s="65"/>
      <c r="R275" s="65"/>
      <c r="V275" s="550"/>
    </row>
    <row r="276" spans="1:22">
      <c r="A276" s="1"/>
      <c r="B276" s="88"/>
      <c r="C276" s="552"/>
      <c r="D276" s="553"/>
      <c r="E276" s="158">
        <f>F276*120%</f>
        <v>0</v>
      </c>
      <c r="F276" s="158">
        <f>(D276-C276+1)*G276</f>
        <v>0</v>
      </c>
      <c r="G276" s="159">
        <f>M276*20</f>
        <v>0</v>
      </c>
      <c r="H276" s="215"/>
      <c r="I276" s="215"/>
      <c r="J276" s="322"/>
      <c r="K276" s="554"/>
      <c r="L276" s="65"/>
      <c r="M276" s="65"/>
      <c r="N276" s="163"/>
      <c r="O276" s="243"/>
      <c r="P276" s="215"/>
      <c r="Q276" s="65"/>
      <c r="R276" s="65"/>
      <c r="V276" s="550"/>
    </row>
    <row r="277" spans="1:22">
      <c r="A277" s="1"/>
      <c r="B277" s="88"/>
      <c r="C277" s="552"/>
      <c r="D277" s="553"/>
      <c r="E277" s="158">
        <f>F277*120%</f>
        <v>0</v>
      </c>
      <c r="F277" s="158">
        <f>(D277-C277+1)*G277</f>
        <v>0</v>
      </c>
      <c r="G277" s="159">
        <f>M277*20</f>
        <v>0</v>
      </c>
      <c r="H277" s="215"/>
      <c r="I277" s="215"/>
      <c r="J277" s="322"/>
      <c r="K277" s="554"/>
      <c r="L277" s="65"/>
      <c r="M277" s="65"/>
      <c r="N277" s="163"/>
      <c r="O277" s="243"/>
      <c r="P277" s="215"/>
      <c r="Q277" s="65"/>
      <c r="R277" s="65"/>
      <c r="V277" s="550"/>
    </row>
    <row r="278" spans="1:22">
      <c r="A278" s="1"/>
      <c r="B278" s="88"/>
      <c r="C278" s="552"/>
      <c r="D278" s="553"/>
      <c r="E278" s="158">
        <f>F278*120%</f>
        <v>0</v>
      </c>
      <c r="F278" s="158">
        <f>(D278-C278+1)*G278</f>
        <v>0</v>
      </c>
      <c r="G278" s="159">
        <f>M278*20</f>
        <v>0</v>
      </c>
      <c r="H278" s="215"/>
      <c r="I278" s="215"/>
      <c r="J278" s="322"/>
      <c r="K278" s="554"/>
      <c r="L278" s="65"/>
      <c r="M278" s="65"/>
      <c r="N278" s="163"/>
      <c r="O278" s="243"/>
      <c r="P278" s="215"/>
      <c r="Q278" s="65"/>
      <c r="R278" s="65"/>
      <c r="V278" s="550"/>
    </row>
    <row r="279" spans="1:22">
      <c r="A279" s="1"/>
      <c r="B279" s="88"/>
      <c r="C279" s="552"/>
      <c r="D279" s="553"/>
      <c r="E279" s="158">
        <f>F279*120%</f>
        <v>0</v>
      </c>
      <c r="F279" s="158">
        <f>(D279-C279+1)*G279</f>
        <v>0</v>
      </c>
      <c r="G279" s="159">
        <f>M279*20</f>
        <v>0</v>
      </c>
      <c r="H279" s="215"/>
      <c r="I279" s="215"/>
      <c r="J279" s="322"/>
      <c r="K279" s="554"/>
      <c r="L279" s="65"/>
      <c r="M279" s="65"/>
      <c r="N279" s="163"/>
      <c r="O279" s="243"/>
      <c r="P279" s="215"/>
      <c r="Q279" s="65"/>
      <c r="R279" s="65"/>
      <c r="V279" s="550"/>
    </row>
    <row r="280" spans="1:22">
      <c r="A280" s="1"/>
      <c r="B280" s="88"/>
      <c r="C280" s="552"/>
      <c r="D280" s="553"/>
      <c r="E280" s="158">
        <f>F280*120%</f>
        <v>0</v>
      </c>
      <c r="F280" s="158">
        <f>(D280-C280+1)*G280</f>
        <v>0</v>
      </c>
      <c r="G280" s="159">
        <f>M280*20</f>
        <v>0</v>
      </c>
      <c r="H280" s="215"/>
      <c r="I280" s="215"/>
      <c r="J280" s="322"/>
      <c r="K280" s="554"/>
      <c r="L280" s="65"/>
      <c r="M280" s="65"/>
      <c r="N280" s="163"/>
      <c r="O280" s="243"/>
      <c r="P280" s="215"/>
      <c r="Q280" s="65"/>
      <c r="R280" s="65"/>
      <c r="V280" s="550"/>
    </row>
    <row r="281" spans="1:22">
      <c r="A281" s="1"/>
      <c r="B281" s="88"/>
      <c r="C281" s="552"/>
      <c r="D281" s="553"/>
      <c r="E281" s="158">
        <f>F281*120%</f>
        <v>0</v>
      </c>
      <c r="F281" s="158">
        <f>(D281-C281+1)*G281</f>
        <v>0</v>
      </c>
      <c r="G281" s="159">
        <f>M281*20</f>
        <v>0</v>
      </c>
      <c r="H281" s="215"/>
      <c r="I281" s="215"/>
      <c r="J281" s="322"/>
      <c r="K281" s="554"/>
      <c r="L281" s="65"/>
      <c r="M281" s="65"/>
      <c r="N281" s="163"/>
      <c r="O281" s="243"/>
      <c r="P281" s="215"/>
      <c r="Q281" s="65"/>
      <c r="R281" s="65"/>
      <c r="V281" s="550"/>
    </row>
    <row r="282" spans="1:22">
      <c r="A282" s="1"/>
      <c r="B282" s="88"/>
      <c r="C282" s="552"/>
      <c r="D282" s="553"/>
      <c r="E282" s="158">
        <f>F282*120%</f>
        <v>0</v>
      </c>
      <c r="F282" s="158">
        <f>(D282-C282+1)*G282</f>
        <v>0</v>
      </c>
      <c r="G282" s="159">
        <f>M282*20</f>
        <v>0</v>
      </c>
      <c r="H282" s="215"/>
      <c r="I282" s="215"/>
      <c r="J282" s="322"/>
      <c r="K282" s="554"/>
      <c r="L282" s="65"/>
      <c r="M282" s="65"/>
      <c r="N282" s="163"/>
      <c r="O282" s="243"/>
      <c r="P282" s="215"/>
      <c r="Q282" s="65"/>
      <c r="R282" s="65"/>
      <c r="V282" s="550"/>
    </row>
    <row r="283" spans="1:22">
      <c r="A283" s="1"/>
      <c r="B283" s="88"/>
      <c r="C283" s="552"/>
      <c r="D283" s="553"/>
      <c r="E283" s="158">
        <f>F283*120%</f>
        <v>0</v>
      </c>
      <c r="F283" s="158">
        <f>(D283-C283+1)*G283</f>
        <v>0</v>
      </c>
      <c r="G283" s="159">
        <f>M283*20</f>
        <v>0</v>
      </c>
      <c r="H283" s="215"/>
      <c r="I283" s="215"/>
      <c r="J283" s="322"/>
      <c r="K283" s="554"/>
      <c r="L283" s="65"/>
      <c r="M283" s="65"/>
      <c r="N283" s="163"/>
      <c r="O283" s="243"/>
      <c r="P283" s="215"/>
      <c r="Q283" s="65"/>
      <c r="R283" s="65"/>
      <c r="V283" s="550"/>
    </row>
    <row r="284" spans="1:22">
      <c r="A284" s="1"/>
      <c r="B284" s="88"/>
      <c r="C284" s="552"/>
      <c r="D284" s="553"/>
      <c r="E284" s="158">
        <f>F284*120%</f>
        <v>0</v>
      </c>
      <c r="F284" s="158">
        <f>(D284-C284+1)*G284</f>
        <v>0</v>
      </c>
      <c r="G284" s="159">
        <f>M284*20</f>
        <v>0</v>
      </c>
      <c r="H284" s="215"/>
      <c r="I284" s="215"/>
      <c r="J284" s="322"/>
      <c r="K284" s="554"/>
      <c r="L284" s="65"/>
      <c r="M284" s="65"/>
      <c r="N284" s="163"/>
      <c r="O284" s="243"/>
      <c r="P284" s="215"/>
      <c r="Q284" s="65"/>
      <c r="R284" s="65"/>
      <c r="V284" s="550"/>
    </row>
    <row r="285" spans="1:22">
      <c r="A285" s="1"/>
      <c r="B285" s="88"/>
      <c r="C285" s="552"/>
      <c r="D285" s="553"/>
      <c r="E285" s="158">
        <f>F285*120%</f>
        <v>0</v>
      </c>
      <c r="F285" s="158">
        <f>(D285-C285+1)*G285</f>
        <v>0</v>
      </c>
      <c r="G285" s="159">
        <f>M285*20</f>
        <v>0</v>
      </c>
      <c r="H285" s="215"/>
      <c r="I285" s="215"/>
      <c r="J285" s="322"/>
      <c r="K285" s="554"/>
      <c r="L285" s="65"/>
      <c r="M285" s="65"/>
      <c r="N285" s="163"/>
      <c r="O285" s="243"/>
      <c r="P285" s="215"/>
      <c r="Q285" s="65"/>
      <c r="R285" s="65"/>
      <c r="V285" s="550"/>
    </row>
    <row r="286" spans="1:22">
      <c r="A286" s="1"/>
      <c r="B286" s="88"/>
      <c r="C286" s="552"/>
      <c r="D286" s="553"/>
      <c r="E286" s="158">
        <f>F286*120%</f>
        <v>0</v>
      </c>
      <c r="F286" s="158">
        <f>(D286-C286+1)*G286</f>
        <v>0</v>
      </c>
      <c r="G286" s="159">
        <f>M286*20</f>
        <v>0</v>
      </c>
      <c r="H286" s="215"/>
      <c r="I286" s="215"/>
      <c r="J286" s="322"/>
      <c r="K286" s="554"/>
      <c r="L286" s="65"/>
      <c r="M286" s="65"/>
      <c r="N286" s="163"/>
      <c r="O286" s="243"/>
      <c r="P286" s="215"/>
      <c r="Q286" s="65"/>
      <c r="R286" s="65"/>
      <c r="V286" s="550"/>
    </row>
    <row r="287" spans="1:22">
      <c r="A287" s="1"/>
      <c r="B287" s="88"/>
      <c r="C287" s="552"/>
      <c r="D287" s="553"/>
      <c r="E287" s="158">
        <f>F287*120%</f>
        <v>0</v>
      </c>
      <c r="F287" s="158">
        <f>(D287-C287+1)*G287</f>
        <v>0</v>
      </c>
      <c r="G287" s="159">
        <f>M287*20</f>
        <v>0</v>
      </c>
      <c r="H287" s="215"/>
      <c r="I287" s="215"/>
      <c r="J287" s="322"/>
      <c r="K287" s="554"/>
      <c r="L287" s="65"/>
      <c r="M287" s="65"/>
      <c r="N287" s="163"/>
      <c r="O287" s="243"/>
      <c r="P287" s="215"/>
      <c r="Q287" s="65"/>
      <c r="R287" s="65"/>
      <c r="V287" s="550"/>
    </row>
    <row r="288" spans="1:22">
      <c r="A288" s="1"/>
      <c r="B288" s="88"/>
      <c r="C288" s="552"/>
      <c r="D288" s="553"/>
      <c r="E288" s="158">
        <f>F288*120%</f>
        <v>0</v>
      </c>
      <c r="F288" s="158">
        <f>(D288-C288+1)*G288</f>
        <v>0</v>
      </c>
      <c r="G288" s="159">
        <f>M288*20</f>
        <v>0</v>
      </c>
      <c r="H288" s="215"/>
      <c r="I288" s="215"/>
      <c r="J288" s="322"/>
      <c r="K288" s="554"/>
      <c r="L288" s="65"/>
      <c r="M288" s="65"/>
      <c r="N288" s="163"/>
      <c r="O288" s="243"/>
      <c r="P288" s="215"/>
      <c r="Q288" s="65"/>
      <c r="R288" s="65"/>
      <c r="V288" s="550"/>
    </row>
    <row r="289" spans="1:22">
      <c r="A289" s="1"/>
      <c r="B289" s="88"/>
      <c r="C289" s="552"/>
      <c r="D289" s="553"/>
      <c r="E289" s="158">
        <f>F289*120%</f>
        <v>0</v>
      </c>
      <c r="F289" s="158">
        <f>(D289-C289+1)*G289</f>
        <v>0</v>
      </c>
      <c r="G289" s="159">
        <f>M289*20</f>
        <v>0</v>
      </c>
      <c r="H289" s="215"/>
      <c r="I289" s="215"/>
      <c r="J289" s="322"/>
      <c r="K289" s="554"/>
      <c r="L289" s="65"/>
      <c r="M289" s="65"/>
      <c r="N289" s="163"/>
      <c r="O289" s="243"/>
      <c r="P289" s="215"/>
      <c r="Q289" s="65"/>
      <c r="R289" s="65"/>
      <c r="V289" s="550"/>
    </row>
    <row r="290" spans="1:22">
      <c r="A290" s="1"/>
      <c r="B290" s="88"/>
      <c r="C290" s="552"/>
      <c r="D290" s="553"/>
      <c r="E290" s="158">
        <f>F290*120%</f>
        <v>0</v>
      </c>
      <c r="F290" s="158">
        <f>(D290-C290+1)*G290</f>
        <v>0</v>
      </c>
      <c r="G290" s="159">
        <f>M290*20</f>
        <v>0</v>
      </c>
      <c r="H290" s="215"/>
      <c r="I290" s="215"/>
      <c r="J290" s="322"/>
      <c r="K290" s="554"/>
      <c r="L290" s="65"/>
      <c r="M290" s="65"/>
      <c r="N290" s="163"/>
      <c r="O290" s="243"/>
      <c r="P290" s="215"/>
      <c r="Q290" s="65"/>
      <c r="R290" s="65"/>
      <c r="V290" s="550"/>
    </row>
    <row r="291" spans="1:22">
      <c r="A291" s="1"/>
      <c r="B291" s="88"/>
      <c r="C291" s="552"/>
      <c r="D291" s="553"/>
      <c r="E291" s="158">
        <f>F291*120%</f>
        <v>0</v>
      </c>
      <c r="F291" s="158">
        <f>(D291-C291+1)*G291</f>
        <v>0</v>
      </c>
      <c r="G291" s="159">
        <f>M291*20</f>
        <v>0</v>
      </c>
      <c r="H291" s="215"/>
      <c r="I291" s="215"/>
      <c r="J291" s="322"/>
      <c r="K291" s="554"/>
      <c r="L291" s="65"/>
      <c r="M291" s="65"/>
      <c r="N291" s="163"/>
      <c r="O291" s="243"/>
      <c r="P291" s="215"/>
      <c r="Q291" s="65"/>
      <c r="R291" s="65"/>
      <c r="V291" s="550"/>
    </row>
    <row r="292" spans="1:22">
      <c r="A292" s="1"/>
      <c r="B292" s="88"/>
      <c r="C292" s="552"/>
      <c r="D292" s="553"/>
      <c r="E292" s="158">
        <f>F292*120%</f>
        <v>0</v>
      </c>
      <c r="F292" s="158">
        <f>(D292-C292+1)*G292</f>
        <v>0</v>
      </c>
      <c r="G292" s="159">
        <f>M292*20</f>
        <v>0</v>
      </c>
      <c r="H292" s="215"/>
      <c r="I292" s="215"/>
      <c r="J292" s="322"/>
      <c r="K292" s="554"/>
      <c r="L292" s="65"/>
      <c r="M292" s="65"/>
      <c r="N292" s="163"/>
      <c r="O292" s="243"/>
      <c r="P292" s="215"/>
      <c r="Q292" s="65"/>
      <c r="R292" s="65"/>
      <c r="V292" s="550"/>
    </row>
    <row r="293" spans="1:22">
      <c r="A293" s="1"/>
      <c r="B293" s="88"/>
      <c r="C293" s="552"/>
      <c r="D293" s="553"/>
      <c r="E293" s="158">
        <f>F293*120%</f>
        <v>0</v>
      </c>
      <c r="F293" s="158">
        <f>(D293-C293+1)*G293</f>
        <v>0</v>
      </c>
      <c r="G293" s="159">
        <f>M293*20</f>
        <v>0</v>
      </c>
      <c r="H293" s="215"/>
      <c r="I293" s="215"/>
      <c r="J293" s="322"/>
      <c r="K293" s="554"/>
      <c r="L293" s="65"/>
      <c r="M293" s="65"/>
      <c r="N293" s="163"/>
      <c r="O293" s="243"/>
      <c r="P293" s="215"/>
      <c r="Q293" s="65"/>
      <c r="R293" s="65"/>
      <c r="V293" s="550"/>
    </row>
    <row r="294" spans="1:22">
      <c r="A294" s="1"/>
      <c r="B294" s="88"/>
      <c r="C294" s="552"/>
      <c r="D294" s="553"/>
      <c r="E294" s="158"/>
      <c r="F294" s="158"/>
      <c r="G294" s="159"/>
      <c r="H294" s="215"/>
      <c r="I294" s="215"/>
      <c r="J294" s="322"/>
      <c r="K294" s="554"/>
      <c r="L294" s="65"/>
      <c r="M294" s="65"/>
      <c r="N294" s="163"/>
      <c r="O294" s="243"/>
      <c r="P294" s="215"/>
      <c r="Q294" s="65"/>
      <c r="R294" s="65"/>
      <c r="V294" s="550"/>
    </row>
    <row r="295" spans="1:22">
      <c r="A295" s="1"/>
      <c r="B295" s="88"/>
      <c r="C295" s="552"/>
      <c r="D295" s="553"/>
      <c r="E295" s="158"/>
      <c r="F295" s="158"/>
      <c r="G295" s="159"/>
      <c r="H295" s="215"/>
      <c r="I295" s="215"/>
      <c r="J295" s="322"/>
      <c r="K295" s="554"/>
      <c r="L295" s="65"/>
      <c r="M295" s="65"/>
      <c r="N295" s="163"/>
      <c r="O295" s="243"/>
      <c r="P295" s="215"/>
      <c r="Q295" s="65"/>
      <c r="R295" s="65"/>
      <c r="V295" s="550"/>
    </row>
    <row r="296" spans="1:22">
      <c r="A296" s="1"/>
      <c r="B296" s="88"/>
      <c r="C296" s="552"/>
      <c r="D296" s="553"/>
      <c r="E296" s="158"/>
      <c r="F296" s="158"/>
      <c r="G296" s="159"/>
      <c r="H296" s="215"/>
      <c r="I296" s="215"/>
      <c r="J296" s="322"/>
      <c r="K296" s="554"/>
      <c r="L296" s="65"/>
      <c r="M296" s="65"/>
      <c r="N296" s="163"/>
      <c r="O296" s="243"/>
      <c r="P296" s="215"/>
      <c r="Q296" s="65"/>
      <c r="R296" s="65"/>
      <c r="V296" s="550"/>
    </row>
    <row r="297" spans="1:22">
      <c r="A297" s="1"/>
      <c r="B297" s="88"/>
      <c r="C297" s="552"/>
      <c r="D297" s="553"/>
      <c r="E297" s="158"/>
      <c r="F297" s="158"/>
      <c r="G297" s="159"/>
      <c r="H297" s="215"/>
      <c r="I297" s="215"/>
      <c r="J297" s="322"/>
      <c r="K297" s="554"/>
      <c r="L297" s="65"/>
      <c r="M297" s="65"/>
      <c r="N297" s="163"/>
      <c r="O297" s="243"/>
      <c r="P297" s="215"/>
      <c r="Q297" s="65"/>
      <c r="R297" s="65"/>
      <c r="V297" s="550"/>
    </row>
    <row r="298" spans="1:22">
      <c r="A298" s="1"/>
      <c r="B298" s="88"/>
      <c r="C298" s="552"/>
      <c r="D298" s="553"/>
      <c r="E298" s="158"/>
      <c r="F298" s="158"/>
      <c r="G298" s="159"/>
      <c r="H298" s="215"/>
      <c r="I298" s="215"/>
      <c r="J298" s="322"/>
      <c r="K298" s="554"/>
      <c r="L298" s="65"/>
      <c r="M298" s="65"/>
      <c r="N298" s="163"/>
      <c r="O298" s="243"/>
      <c r="P298" s="215"/>
      <c r="Q298" s="65"/>
      <c r="R298" s="65"/>
      <c r="V298" s="550"/>
    </row>
    <row r="299" spans="1:22">
      <c r="A299" s="1"/>
      <c r="B299" s="88"/>
      <c r="C299" s="552"/>
      <c r="D299" s="553"/>
      <c r="E299" s="158"/>
      <c r="F299" s="158"/>
      <c r="G299" s="159"/>
      <c r="H299" s="215"/>
      <c r="I299" s="215"/>
      <c r="J299" s="322"/>
      <c r="K299" s="554"/>
      <c r="L299" s="65"/>
      <c r="M299" s="65"/>
      <c r="N299" s="163"/>
      <c r="O299" s="243"/>
      <c r="P299" s="215"/>
      <c r="Q299" s="65"/>
      <c r="R299" s="65"/>
      <c r="V299" s="550"/>
    </row>
    <row r="300" spans="1:22">
      <c r="A300" s="1"/>
      <c r="B300" s="88"/>
      <c r="C300" s="552"/>
      <c r="D300" s="553"/>
      <c r="E300" s="158"/>
      <c r="F300" s="158"/>
      <c r="G300" s="159"/>
      <c r="H300" s="215"/>
      <c r="I300" s="215"/>
      <c r="J300" s="322"/>
      <c r="K300" s="554"/>
      <c r="L300" s="65"/>
      <c r="M300" s="65"/>
      <c r="N300" s="163"/>
      <c r="O300" s="243"/>
      <c r="P300" s="215"/>
      <c r="Q300" s="65"/>
      <c r="R300" s="65"/>
      <c r="V300" s="550"/>
    </row>
    <row r="301" spans="1:22">
      <c r="A301" s="1"/>
      <c r="B301" s="88"/>
      <c r="C301" s="552"/>
      <c r="D301" s="553"/>
      <c r="E301" s="158"/>
      <c r="F301" s="158"/>
      <c r="G301" s="159"/>
      <c r="H301" s="215"/>
      <c r="I301" s="215"/>
      <c r="J301" s="322"/>
      <c r="K301" s="554"/>
      <c r="L301" s="65"/>
      <c r="M301" s="65"/>
      <c r="N301" s="163"/>
      <c r="O301" s="243"/>
      <c r="P301" s="215"/>
      <c r="Q301" s="65"/>
      <c r="R301" s="65"/>
      <c r="V301" s="550"/>
    </row>
    <row r="302" spans="1:22">
      <c r="A302" s="1"/>
      <c r="B302" s="88"/>
      <c r="C302" s="552"/>
      <c r="D302" s="553"/>
      <c r="E302" s="158"/>
      <c r="F302" s="158"/>
      <c r="G302" s="159"/>
      <c r="H302" s="215"/>
      <c r="I302" s="215"/>
      <c r="J302" s="322"/>
      <c r="K302" s="554"/>
      <c r="L302" s="65"/>
      <c r="M302" s="65"/>
      <c r="N302" s="163"/>
      <c r="O302" s="243"/>
      <c r="P302" s="215"/>
      <c r="Q302" s="65"/>
      <c r="R302" s="65"/>
      <c r="V302" s="550"/>
    </row>
    <row r="303" spans="1:22">
      <c r="A303" s="1"/>
      <c r="B303" s="88"/>
      <c r="C303" s="552"/>
      <c r="D303" s="553"/>
      <c r="E303" s="158"/>
      <c r="F303" s="158"/>
      <c r="G303" s="159"/>
      <c r="H303" s="215"/>
      <c r="I303" s="215"/>
      <c r="J303" s="322"/>
      <c r="K303" s="554"/>
      <c r="L303" s="65"/>
      <c r="M303" s="65"/>
      <c r="N303" s="163"/>
      <c r="O303" s="243"/>
      <c r="P303" s="215"/>
      <c r="Q303" s="65"/>
      <c r="R303" s="65"/>
      <c r="V303" s="550"/>
    </row>
    <row r="304" spans="1:22">
      <c r="A304" s="1"/>
      <c r="B304" s="88"/>
      <c r="C304" s="552"/>
      <c r="D304" s="553"/>
      <c r="E304" s="158"/>
      <c r="F304" s="158"/>
      <c r="G304" s="159"/>
      <c r="H304" s="215"/>
      <c r="I304" s="215"/>
      <c r="J304" s="322"/>
      <c r="K304" s="554"/>
      <c r="L304" s="65"/>
      <c r="M304" s="65"/>
      <c r="N304" s="163"/>
      <c r="O304" s="243"/>
      <c r="P304" s="215"/>
      <c r="Q304" s="65"/>
      <c r="R304" s="65"/>
      <c r="V304" s="550"/>
    </row>
    <row r="305" spans="1:22">
      <c r="A305" s="1"/>
      <c r="B305" s="88"/>
      <c r="C305" s="552"/>
      <c r="D305" s="553"/>
      <c r="E305" s="158"/>
      <c r="F305" s="158"/>
      <c r="G305" s="159"/>
      <c r="H305" s="215"/>
      <c r="I305" s="215"/>
      <c r="J305" s="322"/>
      <c r="K305" s="554"/>
      <c r="L305" s="65"/>
      <c r="M305" s="65"/>
      <c r="N305" s="163"/>
      <c r="O305" s="243"/>
      <c r="P305" s="215"/>
      <c r="Q305" s="65"/>
      <c r="R305" s="65"/>
      <c r="V305" s="550"/>
    </row>
    <row r="306" spans="1:22">
      <c r="A306" s="1"/>
      <c r="B306" s="88"/>
      <c r="C306" s="552"/>
      <c r="D306" s="553"/>
      <c r="E306" s="158"/>
      <c r="F306" s="158"/>
      <c r="G306" s="159"/>
      <c r="H306" s="215"/>
      <c r="I306" s="215"/>
      <c r="J306" s="322"/>
      <c r="K306" s="554"/>
      <c r="L306" s="65"/>
      <c r="M306" s="65"/>
      <c r="N306" s="163"/>
      <c r="O306" s="243"/>
      <c r="P306" s="215"/>
      <c r="Q306" s="65"/>
      <c r="R306" s="65"/>
      <c r="V306" s="550"/>
    </row>
    <row r="307" spans="1:22">
      <c r="A307" s="1"/>
      <c r="B307" s="88"/>
      <c r="C307" s="552"/>
      <c r="D307" s="553"/>
      <c r="E307" s="158"/>
      <c r="F307" s="158"/>
      <c r="G307" s="159"/>
      <c r="H307" s="215"/>
      <c r="I307" s="215"/>
      <c r="J307" s="322"/>
      <c r="K307" s="554"/>
      <c r="L307" s="65"/>
      <c r="M307" s="65"/>
      <c r="N307" s="163"/>
      <c r="O307" s="243"/>
      <c r="P307" s="215"/>
      <c r="Q307" s="65"/>
      <c r="R307" s="65"/>
      <c r="V307" s="550"/>
    </row>
    <row r="308" spans="1:22">
      <c r="A308" s="1"/>
      <c r="B308" s="88"/>
      <c r="C308" s="552"/>
      <c r="D308" s="553"/>
      <c r="E308" s="158"/>
      <c r="F308" s="158"/>
      <c r="G308" s="159"/>
      <c r="H308" s="215"/>
      <c r="I308" s="215"/>
      <c r="J308" s="322"/>
      <c r="K308" s="554"/>
      <c r="L308" s="65"/>
      <c r="M308" s="65"/>
      <c r="N308" s="163"/>
      <c r="O308" s="243"/>
      <c r="P308" s="215"/>
      <c r="Q308" s="65"/>
      <c r="R308" s="65"/>
      <c r="V308" s="550"/>
    </row>
    <row r="309" spans="1:22">
      <c r="A309" s="1"/>
      <c r="B309" s="88"/>
      <c r="C309" s="552"/>
      <c r="D309" s="553"/>
      <c r="E309" s="158"/>
      <c r="F309" s="158"/>
      <c r="G309" s="159"/>
      <c r="H309" s="215"/>
      <c r="I309" s="215"/>
      <c r="J309" s="322"/>
      <c r="K309" s="554"/>
      <c r="L309" s="65"/>
      <c r="M309" s="65"/>
      <c r="N309" s="163"/>
      <c r="O309" s="243"/>
      <c r="P309" s="215"/>
      <c r="Q309" s="65"/>
      <c r="R309" s="65"/>
      <c r="V309" s="550"/>
    </row>
    <row r="310" spans="1:22">
      <c r="A310" s="1"/>
      <c r="B310" s="88"/>
      <c r="C310" s="552"/>
      <c r="D310" s="553"/>
      <c r="E310" s="158"/>
      <c r="F310" s="158"/>
      <c r="G310" s="159"/>
      <c r="H310" s="215"/>
      <c r="I310" s="215"/>
      <c r="J310" s="322"/>
      <c r="K310" s="554"/>
      <c r="L310" s="65"/>
      <c r="M310" s="65"/>
      <c r="N310" s="163"/>
      <c r="O310" s="243"/>
      <c r="P310" s="215"/>
      <c r="Q310" s="65"/>
      <c r="R310" s="65"/>
      <c r="V310" s="550"/>
    </row>
    <row r="311" spans="1:22">
      <c r="A311" s="1"/>
      <c r="B311" s="88"/>
      <c r="C311" s="552"/>
      <c r="D311" s="553"/>
      <c r="E311" s="158"/>
      <c r="F311" s="158"/>
      <c r="G311" s="159"/>
      <c r="H311" s="215"/>
      <c r="I311" s="215"/>
      <c r="J311" s="322"/>
      <c r="K311" s="554"/>
      <c r="L311" s="65"/>
      <c r="M311" s="65"/>
      <c r="N311" s="163"/>
      <c r="O311" s="243"/>
      <c r="P311" s="215"/>
      <c r="Q311" s="65"/>
      <c r="R311" s="65"/>
      <c r="V311" s="550"/>
    </row>
    <row r="312" spans="1:22">
      <c r="A312" s="1"/>
      <c r="B312" s="88"/>
      <c r="C312" s="552"/>
      <c r="D312" s="553"/>
      <c r="E312" s="158"/>
      <c r="F312" s="158"/>
      <c r="G312" s="159"/>
      <c r="H312" s="215"/>
      <c r="I312" s="215"/>
      <c r="J312" s="322"/>
      <c r="K312" s="554"/>
      <c r="L312" s="65"/>
      <c r="M312" s="65"/>
      <c r="N312" s="163"/>
      <c r="O312" s="243"/>
      <c r="P312" s="215"/>
      <c r="Q312" s="65"/>
      <c r="R312" s="65"/>
      <c r="V312" s="550"/>
    </row>
    <row r="313" spans="1:22">
      <c r="A313" s="1"/>
      <c r="B313" s="88"/>
      <c r="C313" s="552"/>
      <c r="D313" s="553"/>
      <c r="E313" s="158"/>
      <c r="F313" s="158"/>
      <c r="G313" s="159"/>
      <c r="H313" s="215"/>
      <c r="I313" s="215"/>
      <c r="J313" s="322"/>
      <c r="K313" s="554"/>
      <c r="L313" s="65"/>
      <c r="M313" s="65"/>
      <c r="N313" s="163"/>
      <c r="O313" s="243"/>
      <c r="P313" s="215"/>
      <c r="Q313" s="65"/>
      <c r="R313" s="65"/>
      <c r="V313" s="550"/>
    </row>
    <row r="314" spans="1:22">
      <c r="A314" s="1"/>
      <c r="B314" s="88"/>
      <c r="C314" s="552"/>
      <c r="D314" s="553"/>
      <c r="E314" s="158"/>
      <c r="F314" s="158"/>
      <c r="G314" s="159"/>
      <c r="H314" s="215"/>
      <c r="I314" s="215"/>
      <c r="J314" s="322"/>
      <c r="K314" s="554"/>
      <c r="L314" s="65"/>
      <c r="M314" s="65"/>
      <c r="N314" s="163"/>
      <c r="O314" s="243"/>
      <c r="P314" s="215"/>
      <c r="Q314" s="65"/>
      <c r="R314" s="65"/>
      <c r="V314" s="550"/>
    </row>
    <row r="315" spans="1:22">
      <c r="A315" s="1"/>
      <c r="B315" s="88"/>
      <c r="C315" s="552"/>
      <c r="D315" s="553"/>
      <c r="E315" s="158"/>
      <c r="F315" s="158"/>
      <c r="G315" s="159"/>
      <c r="H315" s="215"/>
      <c r="I315" s="215"/>
      <c r="J315" s="322"/>
      <c r="K315" s="554"/>
      <c r="L315" s="65"/>
      <c r="M315" s="65"/>
      <c r="N315" s="163"/>
      <c r="O315" s="243"/>
      <c r="P315" s="215"/>
      <c r="Q315" s="65"/>
      <c r="R315" s="65"/>
      <c r="V315" s="550"/>
    </row>
    <row r="316" spans="1:22">
      <c r="A316" s="1"/>
      <c r="B316" s="88"/>
      <c r="C316" s="552"/>
      <c r="D316" s="553"/>
      <c r="E316" s="158"/>
      <c r="F316" s="158"/>
      <c r="G316" s="159"/>
      <c r="H316" s="215"/>
      <c r="I316" s="215"/>
      <c r="J316" s="322"/>
      <c r="K316" s="554"/>
      <c r="L316" s="65"/>
      <c r="M316" s="65"/>
      <c r="N316" s="163"/>
      <c r="O316" s="243"/>
      <c r="P316" s="215"/>
      <c r="Q316" s="65"/>
      <c r="R316" s="65"/>
      <c r="V316" s="550"/>
    </row>
    <row r="317" spans="1:22">
      <c r="A317" s="1"/>
      <c r="B317" s="88"/>
      <c r="C317" s="552"/>
      <c r="D317" s="553"/>
      <c r="E317" s="158"/>
      <c r="F317" s="158"/>
      <c r="G317" s="159"/>
      <c r="H317" s="215"/>
      <c r="I317" s="215"/>
      <c r="J317" s="322"/>
      <c r="K317" s="554"/>
      <c r="L317" s="65"/>
      <c r="M317" s="65"/>
      <c r="N317" s="163"/>
      <c r="O317" s="243"/>
      <c r="P317" s="215"/>
      <c r="Q317" s="65"/>
      <c r="R317" s="65"/>
      <c r="V317" s="550"/>
    </row>
    <row r="318" spans="1:22">
      <c r="A318" s="1"/>
      <c r="B318" s="88"/>
      <c r="C318" s="552"/>
      <c r="D318" s="553"/>
      <c r="E318" s="158"/>
      <c r="F318" s="158"/>
      <c r="G318" s="159"/>
      <c r="H318" s="215"/>
      <c r="I318" s="215"/>
      <c r="J318" s="322"/>
      <c r="K318" s="554"/>
      <c r="L318" s="65"/>
      <c r="M318" s="65"/>
      <c r="N318" s="163"/>
      <c r="O318" s="243"/>
      <c r="P318" s="215"/>
      <c r="Q318" s="65"/>
      <c r="R318" s="65"/>
      <c r="V318" s="550"/>
    </row>
    <row r="319" spans="1:22">
      <c r="A319" s="1"/>
      <c r="B319" s="88"/>
      <c r="C319" s="552"/>
      <c r="D319" s="553"/>
      <c r="E319" s="158"/>
      <c r="F319" s="158"/>
      <c r="G319" s="159"/>
      <c r="H319" s="215"/>
      <c r="I319" s="215"/>
      <c r="J319" s="322"/>
      <c r="K319" s="554"/>
      <c r="L319" s="65"/>
      <c r="M319" s="65"/>
      <c r="N319" s="163"/>
      <c r="O319" s="243"/>
      <c r="P319" s="215"/>
      <c r="Q319" s="65"/>
      <c r="R319" s="65"/>
      <c r="V319" s="550"/>
    </row>
    <row r="320" spans="1:22">
      <c r="A320" s="1"/>
      <c r="B320" s="88"/>
      <c r="C320" s="552"/>
      <c r="D320" s="553"/>
      <c r="E320" s="158"/>
      <c r="F320" s="158"/>
      <c r="G320" s="159"/>
      <c r="H320" s="215"/>
      <c r="I320" s="215"/>
      <c r="J320" s="322"/>
      <c r="K320" s="554"/>
      <c r="L320" s="65"/>
      <c r="M320" s="65"/>
      <c r="N320" s="163"/>
      <c r="O320" s="243"/>
      <c r="P320" s="215"/>
      <c r="Q320" s="65"/>
      <c r="R320" s="65"/>
      <c r="V320" s="550"/>
    </row>
    <row r="321" spans="1:22">
      <c r="A321" s="1"/>
      <c r="B321" s="88"/>
      <c r="C321" s="552"/>
      <c r="D321" s="553"/>
      <c r="E321" s="158"/>
      <c r="F321" s="158"/>
      <c r="G321" s="159"/>
      <c r="H321" s="215"/>
      <c r="I321" s="215"/>
      <c r="J321" s="322"/>
      <c r="K321" s="554"/>
      <c r="L321" s="65"/>
      <c r="M321" s="65"/>
      <c r="N321" s="163"/>
      <c r="O321" s="243"/>
      <c r="P321" s="215"/>
      <c r="Q321" s="65"/>
      <c r="R321" s="65"/>
      <c r="V321" s="550"/>
    </row>
    <row r="322" spans="1:22">
      <c r="A322" s="1"/>
      <c r="B322" s="88"/>
      <c r="C322" s="552"/>
      <c r="D322" s="553"/>
      <c r="E322" s="158"/>
      <c r="F322" s="158"/>
      <c r="G322" s="159"/>
      <c r="H322" s="215"/>
      <c r="I322" s="215"/>
      <c r="J322" s="322"/>
      <c r="K322" s="554"/>
      <c r="L322" s="65"/>
      <c r="M322" s="65"/>
      <c r="N322" s="163"/>
      <c r="O322" s="243"/>
      <c r="P322" s="215"/>
      <c r="Q322" s="65"/>
      <c r="R322" s="65"/>
      <c r="V322" s="550"/>
    </row>
    <row r="323" spans="1:22">
      <c r="A323" s="1"/>
      <c r="B323" s="88"/>
      <c r="C323" s="552"/>
      <c r="D323" s="553"/>
      <c r="E323" s="158"/>
      <c r="F323" s="158"/>
      <c r="G323" s="159"/>
      <c r="H323" s="215"/>
      <c r="I323" s="215"/>
      <c r="J323" s="322"/>
      <c r="K323" s="554"/>
      <c r="L323" s="65"/>
      <c r="M323" s="65"/>
      <c r="N323" s="163"/>
      <c r="O323" s="243"/>
      <c r="P323" s="215"/>
      <c r="Q323" s="65"/>
      <c r="R323" s="65"/>
      <c r="V323" s="550"/>
    </row>
    <row r="324" spans="1:22">
      <c r="A324" s="1"/>
      <c r="B324" s="88"/>
      <c r="C324" s="552"/>
      <c r="D324" s="553"/>
      <c r="E324" s="158"/>
      <c r="F324" s="158"/>
      <c r="G324" s="159"/>
      <c r="H324" s="215"/>
      <c r="I324" s="215"/>
      <c r="J324" s="322"/>
      <c r="K324" s="554"/>
      <c r="L324" s="65"/>
      <c r="M324" s="65"/>
      <c r="N324" s="163"/>
      <c r="O324" s="243"/>
      <c r="P324" s="215"/>
      <c r="Q324" s="65"/>
      <c r="R324" s="65"/>
      <c r="V324" s="550"/>
    </row>
    <row r="325" spans="1:22">
      <c r="A325" s="1"/>
      <c r="B325" s="88"/>
      <c r="C325" s="552"/>
      <c r="D325" s="553"/>
      <c r="E325" s="158"/>
      <c r="F325" s="158"/>
      <c r="G325" s="159"/>
      <c r="H325" s="215"/>
      <c r="I325" s="215"/>
      <c r="J325" s="322"/>
      <c r="K325" s="554"/>
      <c r="L325" s="65"/>
      <c r="M325" s="65"/>
      <c r="N325" s="163"/>
      <c r="O325" s="243"/>
      <c r="P325" s="215"/>
      <c r="Q325" s="65"/>
      <c r="R325" s="65"/>
      <c r="V325" s="550"/>
    </row>
    <row r="326" spans="1:22">
      <c r="A326" s="1"/>
      <c r="B326" s="88"/>
      <c r="C326" s="552"/>
      <c r="D326" s="553"/>
      <c r="E326" s="158"/>
      <c r="F326" s="158"/>
      <c r="G326" s="159"/>
      <c r="H326" s="215"/>
      <c r="I326" s="215"/>
      <c r="J326" s="322"/>
      <c r="K326" s="554"/>
      <c r="L326" s="65"/>
      <c r="M326" s="65"/>
      <c r="N326" s="163"/>
      <c r="O326" s="243"/>
      <c r="P326" s="215"/>
      <c r="Q326" s="65"/>
      <c r="R326" s="65"/>
      <c r="V326" s="550"/>
    </row>
    <row r="327" spans="1:22">
      <c r="A327" s="1"/>
      <c r="B327" s="88"/>
      <c r="C327" s="552"/>
      <c r="D327" s="553"/>
      <c r="E327" s="158"/>
      <c r="F327" s="158"/>
      <c r="G327" s="159"/>
      <c r="H327" s="215"/>
      <c r="I327" s="215"/>
      <c r="J327" s="322"/>
      <c r="K327" s="554"/>
      <c r="L327" s="65"/>
      <c r="M327" s="65"/>
      <c r="N327" s="163"/>
      <c r="O327" s="243"/>
      <c r="P327" s="215"/>
      <c r="Q327" s="65"/>
      <c r="R327" s="65"/>
      <c r="V327" s="550"/>
    </row>
    <row r="328" spans="1:22">
      <c r="A328" s="1"/>
      <c r="B328" s="88"/>
      <c r="C328" s="552"/>
      <c r="D328" s="553"/>
      <c r="E328" s="158"/>
      <c r="F328" s="158"/>
      <c r="G328" s="159"/>
      <c r="H328" s="215"/>
      <c r="I328" s="215"/>
      <c r="J328" s="322"/>
      <c r="K328" s="554"/>
      <c r="L328" s="65"/>
      <c r="M328" s="65"/>
      <c r="N328" s="163"/>
      <c r="O328" s="243"/>
      <c r="P328" s="215"/>
      <c r="Q328" s="65"/>
      <c r="R328" s="65"/>
      <c r="V328" s="550"/>
    </row>
    <row r="329" spans="1:22">
      <c r="A329" s="1"/>
      <c r="B329" s="88"/>
      <c r="C329" s="552"/>
      <c r="D329" s="553"/>
      <c r="E329" s="158"/>
      <c r="F329" s="158"/>
      <c r="G329" s="159"/>
      <c r="H329" s="215"/>
      <c r="I329" s="215"/>
      <c r="J329" s="322"/>
      <c r="K329" s="554"/>
      <c r="L329" s="65"/>
      <c r="M329" s="65"/>
      <c r="N329" s="163"/>
      <c r="O329" s="243"/>
      <c r="P329" s="215"/>
      <c r="Q329" s="65"/>
      <c r="R329" s="65"/>
      <c r="V329" s="550"/>
    </row>
    <row r="330" spans="1:22">
      <c r="A330" s="1"/>
      <c r="B330" s="88"/>
      <c r="C330" s="552"/>
      <c r="D330" s="553"/>
      <c r="E330" s="158"/>
      <c r="F330" s="158"/>
      <c r="G330" s="159"/>
      <c r="H330" s="215"/>
      <c r="I330" s="215"/>
      <c r="J330" s="322"/>
      <c r="K330" s="554"/>
      <c r="L330" s="65"/>
      <c r="M330" s="65"/>
      <c r="N330" s="163"/>
      <c r="O330" s="243"/>
      <c r="P330" s="215"/>
      <c r="Q330" s="65"/>
      <c r="R330" s="65"/>
      <c r="V330" s="550"/>
    </row>
    <row r="331" spans="1:22">
      <c r="A331" s="1"/>
      <c r="B331" s="88"/>
      <c r="C331" s="552"/>
      <c r="D331" s="553"/>
      <c r="E331" s="158"/>
      <c r="F331" s="158"/>
      <c r="G331" s="159"/>
      <c r="H331" s="215"/>
      <c r="I331" s="215"/>
      <c r="J331" s="322"/>
      <c r="K331" s="554"/>
      <c r="L331" s="65"/>
      <c r="M331" s="65"/>
      <c r="N331" s="163"/>
      <c r="O331" s="243"/>
      <c r="P331" s="215"/>
      <c r="Q331" s="65"/>
      <c r="R331" s="65"/>
      <c r="V331" s="550"/>
    </row>
    <row r="332" spans="1:22">
      <c r="A332" s="1"/>
      <c r="B332" s="88"/>
      <c r="C332" s="552"/>
      <c r="D332" s="553"/>
      <c r="E332" s="158"/>
      <c r="F332" s="158"/>
      <c r="G332" s="159"/>
      <c r="H332" s="215"/>
      <c r="I332" s="215"/>
      <c r="J332" s="322"/>
      <c r="K332" s="554"/>
      <c r="L332" s="65"/>
      <c r="M332" s="65"/>
      <c r="N332" s="163"/>
      <c r="O332" s="243"/>
      <c r="P332" s="215"/>
      <c r="Q332" s="65"/>
      <c r="R332" s="65"/>
      <c r="V332" s="550"/>
    </row>
    <row r="333" spans="1:22">
      <c r="A333" s="1"/>
      <c r="B333" s="88"/>
      <c r="C333" s="552"/>
      <c r="D333" s="553"/>
      <c r="E333" s="158"/>
      <c r="F333" s="158"/>
      <c r="G333" s="159"/>
      <c r="H333" s="215"/>
      <c r="I333" s="215"/>
      <c r="J333" s="322"/>
      <c r="K333" s="554"/>
      <c r="L333" s="65"/>
      <c r="M333" s="65"/>
      <c r="N333" s="163"/>
      <c r="O333" s="243"/>
      <c r="P333" s="215"/>
      <c r="Q333" s="65"/>
      <c r="R333" s="65"/>
      <c r="V333" s="550"/>
    </row>
    <row r="334" spans="1:22">
      <c r="A334" s="1"/>
      <c r="B334" s="88"/>
      <c r="C334" s="552"/>
      <c r="D334" s="553"/>
      <c r="E334" s="158"/>
      <c r="F334" s="158"/>
      <c r="G334" s="159"/>
      <c r="H334" s="215"/>
      <c r="I334" s="215"/>
      <c r="J334" s="322"/>
      <c r="K334" s="554"/>
      <c r="L334" s="65"/>
      <c r="M334" s="65"/>
      <c r="N334" s="163"/>
      <c r="O334" s="243"/>
      <c r="P334" s="215"/>
      <c r="Q334" s="65"/>
      <c r="R334" s="65"/>
      <c r="V334" s="550"/>
    </row>
    <row r="335" spans="1:22">
      <c r="A335" s="1"/>
      <c r="B335" s="88"/>
      <c r="C335" s="552"/>
      <c r="D335" s="553"/>
      <c r="E335" s="158"/>
      <c r="F335" s="158"/>
      <c r="G335" s="159"/>
      <c r="H335" s="215"/>
      <c r="I335" s="215"/>
      <c r="J335" s="322"/>
      <c r="K335" s="554"/>
      <c r="L335" s="65"/>
      <c r="M335" s="65"/>
      <c r="N335" s="163"/>
      <c r="O335" s="243"/>
      <c r="P335" s="215"/>
      <c r="Q335" s="65"/>
      <c r="R335" s="65"/>
      <c r="V335" s="550"/>
    </row>
    <row r="336" spans="1:22">
      <c r="A336" s="1"/>
      <c r="B336" s="88"/>
      <c r="C336" s="552"/>
      <c r="D336" s="553"/>
      <c r="E336" s="158"/>
      <c r="F336" s="158"/>
      <c r="G336" s="159"/>
      <c r="H336" s="215"/>
      <c r="I336" s="215"/>
      <c r="J336" s="322"/>
      <c r="K336" s="554"/>
      <c r="L336" s="65"/>
      <c r="M336" s="65"/>
      <c r="N336" s="163"/>
      <c r="O336" s="243"/>
      <c r="P336" s="215"/>
      <c r="Q336" s="65"/>
      <c r="R336" s="65"/>
      <c r="V336" s="550"/>
    </row>
    <row r="337" spans="1:22">
      <c r="A337" s="1"/>
      <c r="B337" s="88"/>
      <c r="C337" s="552"/>
      <c r="D337" s="553"/>
      <c r="E337" s="158"/>
      <c r="F337" s="158"/>
      <c r="G337" s="159"/>
      <c r="H337" s="215"/>
      <c r="I337" s="215"/>
      <c r="J337" s="322"/>
      <c r="K337" s="554"/>
      <c r="L337" s="65"/>
      <c r="M337" s="65"/>
      <c r="N337" s="163"/>
      <c r="O337" s="243"/>
      <c r="P337" s="215"/>
      <c r="Q337" s="65"/>
      <c r="R337" s="65"/>
      <c r="V337" s="550"/>
    </row>
    <row r="338" spans="1:22">
      <c r="A338" s="1"/>
      <c r="B338" s="88"/>
      <c r="C338" s="552"/>
      <c r="D338" s="553"/>
      <c r="E338" s="158"/>
      <c r="F338" s="158"/>
      <c r="G338" s="159"/>
      <c r="H338" s="215"/>
      <c r="I338" s="215"/>
      <c r="J338" s="322"/>
      <c r="K338" s="554"/>
      <c r="L338" s="65"/>
      <c r="M338" s="65"/>
      <c r="N338" s="163"/>
      <c r="O338" s="243"/>
      <c r="P338" s="215"/>
      <c r="Q338" s="65"/>
      <c r="R338" s="65"/>
      <c r="V338" s="550"/>
    </row>
    <row r="339" spans="1:22">
      <c r="A339" s="1"/>
      <c r="B339" s="88"/>
      <c r="C339" s="552"/>
      <c r="D339" s="553"/>
      <c r="E339" s="158"/>
      <c r="F339" s="158"/>
      <c r="G339" s="159"/>
      <c r="H339" s="215"/>
      <c r="I339" s="215"/>
      <c r="J339" s="322"/>
      <c r="K339" s="554"/>
      <c r="L339" s="65"/>
      <c r="M339" s="65"/>
      <c r="N339" s="163"/>
      <c r="O339" s="243"/>
      <c r="P339" s="215"/>
      <c r="Q339" s="65"/>
      <c r="R339" s="65"/>
      <c r="V339" s="550"/>
    </row>
    <row r="340" spans="1:22">
      <c r="A340" s="1"/>
      <c r="B340" s="88"/>
      <c r="C340" s="552"/>
      <c r="D340" s="553"/>
      <c r="E340" s="158"/>
      <c r="F340" s="158"/>
      <c r="G340" s="159"/>
      <c r="H340" s="215"/>
      <c r="I340" s="215"/>
      <c r="J340" s="322"/>
      <c r="K340" s="554"/>
      <c r="L340" s="65"/>
      <c r="M340" s="65"/>
      <c r="N340" s="163"/>
      <c r="O340" s="243"/>
      <c r="P340" s="215"/>
      <c r="Q340" s="65"/>
      <c r="R340" s="65"/>
      <c r="V340" s="550"/>
    </row>
    <row r="341" spans="1:22">
      <c r="A341" s="1"/>
      <c r="B341" s="88"/>
      <c r="C341" s="552"/>
      <c r="D341" s="553"/>
      <c r="E341" s="158"/>
      <c r="F341" s="158"/>
      <c r="G341" s="159"/>
      <c r="H341" s="215"/>
      <c r="I341" s="215"/>
      <c r="J341" s="322"/>
      <c r="K341" s="554"/>
      <c r="L341" s="65"/>
      <c r="M341" s="65"/>
      <c r="N341" s="163"/>
      <c r="O341" s="243"/>
      <c r="P341" s="215"/>
      <c r="Q341" s="65"/>
      <c r="R341" s="65"/>
      <c r="V341" s="550"/>
    </row>
    <row r="342" spans="1:22">
      <c r="A342" s="1"/>
      <c r="B342" s="88"/>
      <c r="C342" s="552"/>
      <c r="D342" s="553"/>
      <c r="E342" s="158"/>
      <c r="F342" s="158"/>
      <c r="G342" s="159"/>
      <c r="H342" s="215"/>
      <c r="I342" s="215"/>
      <c r="J342" s="322"/>
      <c r="K342" s="554"/>
      <c r="L342" s="65"/>
      <c r="M342" s="65"/>
      <c r="N342" s="163"/>
      <c r="O342" s="243"/>
      <c r="P342" s="215"/>
      <c r="Q342" s="65"/>
      <c r="R342" s="65"/>
      <c r="V342" s="550"/>
    </row>
    <row r="343" spans="1:22">
      <c r="A343" s="1"/>
      <c r="B343" s="88"/>
      <c r="C343" s="552"/>
      <c r="D343" s="553"/>
      <c r="E343" s="158"/>
      <c r="F343" s="158"/>
      <c r="G343" s="159"/>
      <c r="H343" s="215"/>
      <c r="I343" s="215"/>
      <c r="J343" s="322"/>
      <c r="K343" s="554"/>
      <c r="L343" s="65"/>
      <c r="M343" s="65"/>
      <c r="N343" s="163"/>
      <c r="O343" s="243"/>
      <c r="P343" s="215"/>
      <c r="Q343" s="65"/>
      <c r="R343" s="65"/>
      <c r="V343" s="550"/>
    </row>
    <row r="344" spans="1:22">
      <c r="A344" s="1"/>
      <c r="B344" s="88"/>
      <c r="C344" s="552"/>
      <c r="D344" s="553"/>
      <c r="E344" s="158"/>
      <c r="F344" s="158"/>
      <c r="G344" s="159"/>
      <c r="H344" s="215"/>
      <c r="I344" s="215"/>
      <c r="J344" s="322"/>
      <c r="K344" s="554"/>
      <c r="L344" s="65"/>
      <c r="M344" s="65"/>
      <c r="N344" s="163"/>
      <c r="O344" s="243"/>
      <c r="P344" s="215"/>
      <c r="Q344" s="65"/>
      <c r="R344" s="65"/>
      <c r="V344" s="550"/>
    </row>
    <row r="345" spans="1:22">
      <c r="A345" s="1"/>
      <c r="B345" s="88"/>
      <c r="C345" s="552"/>
      <c r="D345" s="553"/>
      <c r="E345" s="158"/>
      <c r="F345" s="158"/>
      <c r="G345" s="159"/>
      <c r="H345" s="215"/>
      <c r="I345" s="215"/>
      <c r="J345" s="322"/>
      <c r="K345" s="554"/>
      <c r="L345" s="65"/>
      <c r="M345" s="65"/>
      <c r="N345" s="163"/>
      <c r="O345" s="243"/>
      <c r="P345" s="215"/>
      <c r="Q345" s="65"/>
      <c r="R345" s="65"/>
      <c r="V345" s="550"/>
    </row>
    <row r="346" spans="1:22">
      <c r="A346" s="1"/>
      <c r="B346" s="88"/>
      <c r="C346" s="552"/>
      <c r="D346" s="553"/>
      <c r="E346" s="158"/>
      <c r="F346" s="158"/>
      <c r="G346" s="159"/>
      <c r="H346" s="215"/>
      <c r="I346" s="215"/>
      <c r="J346" s="322"/>
      <c r="K346" s="554"/>
      <c r="L346" s="65"/>
      <c r="M346" s="65"/>
      <c r="N346" s="163"/>
      <c r="O346" s="243"/>
      <c r="P346" s="215"/>
      <c r="Q346" s="65"/>
      <c r="R346" s="65"/>
      <c r="V346" s="550"/>
    </row>
    <row r="347" spans="1:22">
      <c r="A347" s="1"/>
      <c r="B347" s="88"/>
      <c r="C347" s="552"/>
      <c r="D347" s="553"/>
      <c r="E347" s="158"/>
      <c r="F347" s="158"/>
      <c r="G347" s="159"/>
      <c r="H347" s="215"/>
      <c r="I347" s="215"/>
      <c r="J347" s="322"/>
      <c r="K347" s="554"/>
      <c r="L347" s="65"/>
      <c r="M347" s="65"/>
      <c r="N347" s="163"/>
      <c r="O347" s="243"/>
      <c r="P347" s="215"/>
      <c r="Q347" s="65"/>
      <c r="R347" s="65"/>
      <c r="V347" s="550"/>
    </row>
    <row r="348" spans="1:22">
      <c r="A348" s="1"/>
      <c r="B348" s="88"/>
      <c r="C348" s="552"/>
      <c r="D348" s="553"/>
      <c r="E348" s="158"/>
      <c r="F348" s="158"/>
      <c r="G348" s="159"/>
      <c r="H348" s="215"/>
      <c r="I348" s="215"/>
      <c r="J348" s="322"/>
      <c r="K348" s="554"/>
      <c r="L348" s="65"/>
      <c r="M348" s="65"/>
      <c r="N348" s="163"/>
      <c r="O348" s="243"/>
      <c r="P348" s="215"/>
      <c r="Q348" s="65"/>
      <c r="R348" s="65"/>
      <c r="V348" s="550"/>
    </row>
    <row r="349" spans="1:22">
      <c r="A349" s="1"/>
      <c r="B349" s="88"/>
      <c r="C349" s="552"/>
      <c r="D349" s="553"/>
      <c r="E349" s="158"/>
      <c r="F349" s="158"/>
      <c r="G349" s="159"/>
      <c r="H349" s="215"/>
      <c r="I349" s="215"/>
      <c r="J349" s="322"/>
      <c r="K349" s="554"/>
      <c r="L349" s="65"/>
      <c r="M349" s="65"/>
      <c r="N349" s="163"/>
      <c r="O349" s="243"/>
      <c r="P349" s="215"/>
      <c r="Q349" s="65"/>
      <c r="R349" s="65"/>
      <c r="V349" s="550"/>
    </row>
    <row r="350" spans="1:22">
      <c r="A350" s="1"/>
      <c r="B350" s="88"/>
      <c r="C350" s="552"/>
      <c r="D350" s="553"/>
      <c r="E350" s="158"/>
      <c r="F350" s="158"/>
      <c r="G350" s="159"/>
      <c r="H350" s="215"/>
      <c r="I350" s="215"/>
      <c r="J350" s="322"/>
      <c r="K350" s="554"/>
      <c r="L350" s="65"/>
      <c r="M350" s="65"/>
      <c r="N350" s="163"/>
      <c r="O350" s="243"/>
      <c r="P350" s="215"/>
      <c r="Q350" s="65"/>
      <c r="R350" s="65"/>
      <c r="V350" s="550"/>
    </row>
    <row r="351" spans="1:22">
      <c r="A351" s="1"/>
      <c r="B351" s="88"/>
      <c r="C351" s="552"/>
      <c r="D351" s="553"/>
      <c r="E351" s="158"/>
      <c r="F351" s="158"/>
      <c r="G351" s="159"/>
      <c r="H351" s="215"/>
      <c r="I351" s="215"/>
      <c r="J351" s="322"/>
      <c r="K351" s="554"/>
      <c r="L351" s="65"/>
      <c r="M351" s="65"/>
      <c r="N351" s="163"/>
      <c r="O351" s="243"/>
      <c r="P351" s="215"/>
      <c r="Q351" s="65"/>
      <c r="R351" s="65"/>
      <c r="V351" s="550"/>
    </row>
    <row r="352" spans="1:22">
      <c r="A352" s="1"/>
      <c r="B352" s="88"/>
      <c r="C352" s="552"/>
      <c r="D352" s="553"/>
      <c r="E352" s="158"/>
      <c r="F352" s="158"/>
      <c r="G352" s="159"/>
      <c r="H352" s="215"/>
      <c r="I352" s="215"/>
      <c r="J352" s="322"/>
      <c r="K352" s="554"/>
      <c r="L352" s="65"/>
      <c r="M352" s="65"/>
      <c r="N352" s="163"/>
      <c r="O352" s="243"/>
      <c r="P352" s="215"/>
      <c r="Q352" s="65"/>
      <c r="R352" s="65"/>
      <c r="V352" s="550"/>
    </row>
    <row r="353" spans="1:22">
      <c r="A353" s="1"/>
      <c r="B353" s="88"/>
      <c r="C353" s="552"/>
      <c r="D353" s="553"/>
      <c r="E353" s="158"/>
      <c r="F353" s="158"/>
      <c r="G353" s="159"/>
      <c r="H353" s="215"/>
      <c r="I353" s="215"/>
      <c r="J353" s="322"/>
      <c r="K353" s="554"/>
      <c r="L353" s="65"/>
      <c r="M353" s="65"/>
      <c r="N353" s="163"/>
      <c r="O353" s="243"/>
      <c r="P353" s="215"/>
      <c r="Q353" s="65"/>
      <c r="R353" s="65"/>
      <c r="V353" s="550"/>
    </row>
    <row r="354" spans="1:22">
      <c r="A354" s="1"/>
      <c r="B354" s="88"/>
      <c r="C354" s="552"/>
      <c r="D354" s="553"/>
      <c r="E354" s="158"/>
      <c r="F354" s="158"/>
      <c r="G354" s="159"/>
      <c r="H354" s="215"/>
      <c r="I354" s="215"/>
      <c r="J354" s="322"/>
      <c r="K354" s="554"/>
      <c r="L354" s="65"/>
      <c r="M354" s="65"/>
      <c r="N354" s="163"/>
      <c r="O354" s="243"/>
      <c r="P354" s="215"/>
      <c r="Q354" s="65"/>
      <c r="R354" s="65"/>
      <c r="V354" s="550"/>
    </row>
    <row r="355" spans="1:22">
      <c r="A355" s="1"/>
      <c r="B355" s="88"/>
      <c r="C355" s="552"/>
      <c r="D355" s="553"/>
      <c r="E355" s="158"/>
      <c r="F355" s="158"/>
      <c r="G355" s="159"/>
      <c r="H355" s="215"/>
      <c r="I355" s="215"/>
      <c r="J355" s="322"/>
      <c r="K355" s="554"/>
      <c r="L355" s="65"/>
      <c r="M355" s="65"/>
      <c r="N355" s="163"/>
      <c r="O355" s="243"/>
      <c r="P355" s="215"/>
      <c r="Q355" s="65"/>
      <c r="R355" s="65"/>
      <c r="V355" s="550"/>
    </row>
    <row r="356" spans="1:22">
      <c r="A356" s="1"/>
      <c r="B356" s="88"/>
      <c r="C356" s="552"/>
      <c r="D356" s="553"/>
      <c r="E356" s="158"/>
      <c r="F356" s="158"/>
      <c r="G356" s="159"/>
      <c r="H356" s="215"/>
      <c r="I356" s="215"/>
      <c r="J356" s="322"/>
      <c r="K356" s="554"/>
      <c r="L356" s="65"/>
      <c r="M356" s="65"/>
      <c r="N356" s="163"/>
      <c r="O356" s="243"/>
      <c r="P356" s="215"/>
      <c r="Q356" s="65"/>
      <c r="R356" s="65"/>
      <c r="V356" s="550"/>
    </row>
    <row r="357" spans="1:22">
      <c r="A357" s="1"/>
      <c r="B357" s="88"/>
      <c r="C357" s="552"/>
      <c r="D357" s="553"/>
      <c r="E357" s="158"/>
      <c r="F357" s="158"/>
      <c r="G357" s="159"/>
      <c r="H357" s="215"/>
      <c r="I357" s="215"/>
      <c r="J357" s="322"/>
      <c r="K357" s="554"/>
      <c r="L357" s="65"/>
      <c r="M357" s="65"/>
      <c r="N357" s="163"/>
      <c r="O357" s="243"/>
      <c r="P357" s="215"/>
      <c r="Q357" s="65"/>
      <c r="R357" s="65"/>
      <c r="V357" s="550"/>
    </row>
    <row r="358" spans="1:22">
      <c r="A358" s="1"/>
      <c r="B358" s="88"/>
      <c r="C358" s="552"/>
      <c r="D358" s="553"/>
      <c r="E358" s="158"/>
      <c r="F358" s="158"/>
      <c r="G358" s="159"/>
      <c r="H358" s="215"/>
      <c r="I358" s="215"/>
      <c r="J358" s="322"/>
      <c r="K358" s="554"/>
      <c r="L358" s="65"/>
      <c r="M358" s="65"/>
      <c r="N358" s="163"/>
      <c r="O358" s="243"/>
      <c r="P358" s="215"/>
      <c r="Q358" s="65"/>
      <c r="R358" s="65"/>
      <c r="V358" s="550"/>
    </row>
    <row r="359" spans="1:22">
      <c r="A359" s="1"/>
      <c r="B359" s="88"/>
      <c r="C359" s="552"/>
      <c r="D359" s="553"/>
      <c r="E359" s="158"/>
      <c r="F359" s="158"/>
      <c r="G359" s="159"/>
      <c r="H359" s="215"/>
      <c r="I359" s="215"/>
      <c r="J359" s="322"/>
      <c r="K359" s="554"/>
      <c r="L359" s="65"/>
      <c r="M359" s="65"/>
      <c r="N359" s="163"/>
      <c r="O359" s="243"/>
      <c r="P359" s="215"/>
      <c r="Q359" s="65"/>
      <c r="R359" s="65"/>
      <c r="V359" s="550"/>
    </row>
    <row r="360" spans="1:22">
      <c r="A360" s="1"/>
      <c r="B360" s="88"/>
      <c r="C360" s="552"/>
      <c r="D360" s="553"/>
      <c r="E360" s="158"/>
      <c r="F360" s="158"/>
      <c r="G360" s="159"/>
      <c r="H360" s="215"/>
      <c r="I360" s="215"/>
      <c r="J360" s="322"/>
      <c r="K360" s="554"/>
      <c r="L360" s="65"/>
      <c r="M360" s="65"/>
      <c r="N360" s="163"/>
      <c r="O360" s="243"/>
      <c r="P360" s="215"/>
      <c r="Q360" s="65"/>
      <c r="R360" s="65"/>
      <c r="V360" s="550"/>
    </row>
    <row r="361" spans="1:22">
      <c r="A361" s="1"/>
      <c r="B361" s="88"/>
      <c r="C361" s="552"/>
      <c r="D361" s="553"/>
      <c r="E361" s="158"/>
      <c r="F361" s="158"/>
      <c r="G361" s="159"/>
      <c r="H361" s="215"/>
      <c r="I361" s="215"/>
      <c r="J361" s="322"/>
      <c r="K361" s="554"/>
      <c r="L361" s="65"/>
      <c r="M361" s="65"/>
      <c r="N361" s="163"/>
      <c r="O361" s="243"/>
      <c r="P361" s="215"/>
      <c r="Q361" s="65"/>
      <c r="R361" s="65"/>
      <c r="V361" s="550"/>
    </row>
    <row r="362" spans="1:22">
      <c r="A362" s="1"/>
      <c r="B362" s="88"/>
      <c r="C362" s="552"/>
      <c r="D362" s="553"/>
      <c r="E362" s="158"/>
      <c r="F362" s="158"/>
      <c r="G362" s="159"/>
      <c r="H362" s="215"/>
      <c r="I362" s="215"/>
      <c r="J362" s="322"/>
      <c r="K362" s="554"/>
      <c r="L362" s="65"/>
      <c r="M362" s="65"/>
      <c r="N362" s="163"/>
      <c r="O362" s="243"/>
      <c r="P362" s="215"/>
      <c r="Q362" s="65"/>
      <c r="R362" s="65"/>
      <c r="V362" s="550"/>
    </row>
    <row r="363" spans="1:22">
      <c r="A363" s="1"/>
      <c r="B363" s="88"/>
      <c r="C363" s="552"/>
      <c r="D363" s="553"/>
      <c r="E363" s="158"/>
      <c r="F363" s="158"/>
      <c r="G363" s="159"/>
      <c r="H363" s="215"/>
      <c r="I363" s="215"/>
      <c r="J363" s="322"/>
      <c r="K363" s="554"/>
      <c r="L363" s="65"/>
      <c r="M363" s="65"/>
      <c r="N363" s="163"/>
      <c r="O363" s="243"/>
      <c r="P363" s="215"/>
      <c r="Q363" s="65"/>
      <c r="R363" s="65"/>
      <c r="V363" s="550"/>
    </row>
    <row r="364" spans="1:22">
      <c r="A364" s="1"/>
      <c r="B364" s="88"/>
      <c r="C364" s="552"/>
      <c r="D364" s="553"/>
      <c r="E364" s="158"/>
      <c r="F364" s="158"/>
      <c r="G364" s="159"/>
      <c r="H364" s="215"/>
      <c r="I364" s="215"/>
      <c r="J364" s="322"/>
      <c r="K364" s="554"/>
      <c r="L364" s="65"/>
      <c r="M364" s="65"/>
      <c r="N364" s="163"/>
      <c r="O364" s="243"/>
      <c r="P364" s="215"/>
      <c r="Q364" s="65"/>
      <c r="R364" s="65"/>
      <c r="V364" s="550"/>
    </row>
    <row r="365" spans="1:22">
      <c r="A365" s="1"/>
      <c r="B365" s="88"/>
      <c r="C365" s="552"/>
      <c r="D365" s="553"/>
      <c r="E365" s="158"/>
      <c r="F365" s="158"/>
      <c r="G365" s="159"/>
      <c r="H365" s="215"/>
      <c r="I365" s="215"/>
      <c r="J365" s="322"/>
      <c r="K365" s="554"/>
      <c r="L365" s="65"/>
      <c r="M365" s="65"/>
      <c r="N365" s="163"/>
      <c r="O365" s="243"/>
      <c r="P365" s="215"/>
      <c r="Q365" s="65"/>
      <c r="R365" s="65"/>
      <c r="V365" s="550"/>
    </row>
    <row r="366" spans="1:22">
      <c r="A366" s="1"/>
      <c r="B366" s="88"/>
      <c r="C366" s="552"/>
      <c r="D366" s="553"/>
      <c r="E366" s="158"/>
      <c r="F366" s="158"/>
      <c r="G366" s="159"/>
      <c r="H366" s="215"/>
      <c r="I366" s="215"/>
      <c r="J366" s="322"/>
      <c r="K366" s="554"/>
      <c r="L366" s="65"/>
      <c r="M366" s="65"/>
      <c r="N366" s="163"/>
      <c r="O366" s="243"/>
      <c r="P366" s="215"/>
      <c r="Q366" s="65"/>
      <c r="R366" s="65"/>
      <c r="V366" s="550"/>
    </row>
    <row r="367" spans="1:22">
      <c r="A367" s="1"/>
      <c r="B367" s="88"/>
      <c r="C367" s="552"/>
      <c r="D367" s="553"/>
      <c r="E367" s="158"/>
      <c r="F367" s="158"/>
      <c r="G367" s="159"/>
      <c r="H367" s="215"/>
      <c r="I367" s="215"/>
      <c r="J367" s="322"/>
      <c r="K367" s="554"/>
      <c r="L367" s="65"/>
      <c r="M367" s="65"/>
      <c r="N367" s="163"/>
      <c r="O367" s="243"/>
      <c r="P367" s="215"/>
      <c r="Q367" s="65"/>
      <c r="R367" s="65"/>
      <c r="V367" s="550"/>
    </row>
    <row r="368" spans="1:22">
      <c r="A368" s="1"/>
      <c r="B368" s="88"/>
      <c r="C368" s="552"/>
      <c r="D368" s="553"/>
      <c r="E368" s="158"/>
      <c r="F368" s="158"/>
      <c r="G368" s="159"/>
      <c r="H368" s="215"/>
      <c r="I368" s="215"/>
      <c r="J368" s="322"/>
      <c r="K368" s="554"/>
      <c r="L368" s="65"/>
      <c r="M368" s="65"/>
      <c r="N368" s="163"/>
      <c r="O368" s="243"/>
      <c r="P368" s="215"/>
      <c r="Q368" s="65"/>
      <c r="R368" s="65"/>
      <c r="V368" s="550"/>
    </row>
    <row r="369" spans="1:22">
      <c r="A369" s="1"/>
      <c r="B369" s="88"/>
      <c r="C369" s="552"/>
      <c r="D369" s="553"/>
      <c r="E369" s="158"/>
      <c r="F369" s="158"/>
      <c r="G369" s="159"/>
      <c r="H369" s="215"/>
      <c r="I369" s="215"/>
      <c r="J369" s="322"/>
      <c r="K369" s="554"/>
      <c r="L369" s="65"/>
      <c r="M369" s="65"/>
      <c r="N369" s="163"/>
      <c r="O369" s="243"/>
      <c r="P369" s="215"/>
      <c r="Q369" s="65"/>
      <c r="R369" s="65"/>
      <c r="V369" s="550"/>
    </row>
    <row r="370" spans="1:22">
      <c r="A370" s="1"/>
      <c r="B370" s="88"/>
      <c r="C370" s="552"/>
      <c r="D370" s="553"/>
      <c r="E370" s="158"/>
      <c r="F370" s="158"/>
      <c r="G370" s="159"/>
      <c r="H370" s="215"/>
      <c r="I370" s="215"/>
      <c r="J370" s="322"/>
      <c r="K370" s="554"/>
      <c r="L370" s="65"/>
      <c r="M370" s="65"/>
      <c r="N370" s="163"/>
      <c r="O370" s="243"/>
      <c r="P370" s="215"/>
      <c r="Q370" s="65"/>
      <c r="R370" s="65"/>
      <c r="V370" s="550"/>
    </row>
    <row r="371" spans="1:22">
      <c r="A371" s="1"/>
      <c r="B371" s="88"/>
      <c r="C371" s="552"/>
      <c r="D371" s="553"/>
      <c r="E371" s="158"/>
      <c r="F371" s="158"/>
      <c r="G371" s="159"/>
      <c r="H371" s="215"/>
      <c r="I371" s="215"/>
      <c r="J371" s="322"/>
      <c r="K371" s="554"/>
      <c r="L371" s="65"/>
      <c r="M371" s="65"/>
      <c r="N371" s="163"/>
      <c r="O371" s="243"/>
      <c r="P371" s="215"/>
      <c r="Q371" s="65"/>
      <c r="R371" s="65"/>
      <c r="V371" s="550"/>
    </row>
    <row r="372" spans="1:22">
      <c r="A372" s="1"/>
      <c r="B372" s="88"/>
      <c r="C372" s="552"/>
      <c r="D372" s="553"/>
      <c r="E372" s="158"/>
      <c r="F372" s="158"/>
      <c r="G372" s="159"/>
      <c r="H372" s="215"/>
      <c r="I372" s="215"/>
      <c r="J372" s="322"/>
      <c r="K372" s="554"/>
      <c r="L372" s="65"/>
      <c r="M372" s="65"/>
      <c r="N372" s="163"/>
      <c r="O372" s="243"/>
      <c r="P372" s="215"/>
      <c r="Q372" s="65"/>
      <c r="R372" s="65"/>
      <c r="V372" s="550"/>
    </row>
    <row r="373" spans="1:22">
      <c r="A373" s="1"/>
      <c r="B373" s="88"/>
      <c r="C373" s="552"/>
      <c r="D373" s="553"/>
      <c r="E373" s="158"/>
      <c r="F373" s="158"/>
      <c r="G373" s="159"/>
      <c r="H373" s="215"/>
      <c r="I373" s="215"/>
      <c r="J373" s="322"/>
      <c r="K373" s="554"/>
      <c r="L373" s="65"/>
      <c r="M373" s="65"/>
      <c r="N373" s="163"/>
      <c r="O373" s="243"/>
      <c r="P373" s="215"/>
      <c r="Q373" s="65"/>
      <c r="R373" s="65"/>
      <c r="V373" s="550"/>
    </row>
    <row r="374" spans="1:22">
      <c r="A374" s="1"/>
      <c r="B374" s="88"/>
      <c r="C374" s="552"/>
      <c r="D374" s="553"/>
      <c r="E374" s="158"/>
      <c r="F374" s="158"/>
      <c r="G374" s="159"/>
      <c r="H374" s="215"/>
      <c r="I374" s="215"/>
      <c r="J374" s="322"/>
      <c r="K374" s="554"/>
      <c r="L374" s="65"/>
      <c r="M374" s="65"/>
      <c r="N374" s="163"/>
      <c r="O374" s="243"/>
      <c r="P374" s="215"/>
      <c r="Q374" s="65"/>
      <c r="R374" s="65"/>
      <c r="V374" s="550"/>
    </row>
    <row r="375" spans="1:22">
      <c r="A375" s="1"/>
      <c r="B375" s="88"/>
      <c r="C375" s="552"/>
      <c r="D375" s="553"/>
      <c r="E375" s="158"/>
      <c r="F375" s="158"/>
      <c r="G375" s="159"/>
      <c r="H375" s="215"/>
      <c r="I375" s="215"/>
      <c r="J375" s="322"/>
      <c r="K375" s="554"/>
      <c r="L375" s="65"/>
      <c r="M375" s="65"/>
      <c r="N375" s="163"/>
      <c r="O375" s="243"/>
      <c r="P375" s="215"/>
      <c r="Q375" s="65"/>
      <c r="R375" s="65"/>
      <c r="V375" s="550"/>
    </row>
    <row r="376" spans="1:22">
      <c r="A376" s="1"/>
      <c r="B376" s="88"/>
      <c r="C376" s="552"/>
      <c r="D376" s="553"/>
      <c r="E376" s="158"/>
      <c r="F376" s="158"/>
      <c r="G376" s="159"/>
      <c r="H376" s="215"/>
      <c r="I376" s="215"/>
      <c r="J376" s="322"/>
      <c r="K376" s="554"/>
      <c r="L376" s="65"/>
      <c r="M376" s="65"/>
      <c r="N376" s="163"/>
      <c r="O376" s="243"/>
      <c r="P376" s="215"/>
      <c r="Q376" s="65"/>
      <c r="R376" s="65"/>
      <c r="V376" s="550"/>
    </row>
    <row r="377" spans="1:22">
      <c r="A377" s="1"/>
      <c r="B377" s="88"/>
      <c r="C377" s="552"/>
      <c r="D377" s="553"/>
      <c r="E377" s="158"/>
      <c r="F377" s="158"/>
      <c r="G377" s="159"/>
      <c r="H377" s="215"/>
      <c r="I377" s="215"/>
      <c r="J377" s="322"/>
      <c r="K377" s="554"/>
      <c r="L377" s="65"/>
      <c r="M377" s="65"/>
      <c r="N377" s="163"/>
      <c r="O377" s="243"/>
      <c r="P377" s="215"/>
      <c r="Q377" s="65"/>
      <c r="R377" s="65"/>
      <c r="V377" s="550"/>
    </row>
    <row r="378" spans="1:22">
      <c r="A378" s="1"/>
      <c r="B378" s="88"/>
      <c r="C378" s="552"/>
      <c r="D378" s="553"/>
      <c r="E378" s="158"/>
      <c r="F378" s="158"/>
      <c r="G378" s="159"/>
      <c r="H378" s="215"/>
      <c r="I378" s="215"/>
      <c r="J378" s="322"/>
      <c r="K378" s="554"/>
      <c r="L378" s="65"/>
      <c r="M378" s="65"/>
      <c r="N378" s="163"/>
      <c r="O378" s="243"/>
      <c r="P378" s="215"/>
      <c r="Q378" s="65"/>
      <c r="R378" s="65"/>
      <c r="V378" s="550"/>
    </row>
    <row r="379" spans="1:22">
      <c r="A379" s="1"/>
      <c r="B379" s="88"/>
      <c r="C379" s="552"/>
      <c r="D379" s="553"/>
      <c r="E379" s="158"/>
      <c r="F379" s="158"/>
      <c r="G379" s="159"/>
      <c r="H379" s="215"/>
      <c r="I379" s="215"/>
      <c r="J379" s="322"/>
      <c r="K379" s="554"/>
      <c r="L379" s="65"/>
      <c r="M379" s="65"/>
      <c r="N379" s="163"/>
      <c r="O379" s="243"/>
      <c r="P379" s="215"/>
      <c r="Q379" s="65"/>
      <c r="R379" s="65"/>
      <c r="V379" s="550"/>
    </row>
    <row r="380" spans="1:22">
      <c r="A380" s="1"/>
      <c r="B380" s="88"/>
      <c r="C380" s="552"/>
      <c r="D380" s="553"/>
      <c r="E380" s="158"/>
      <c r="F380" s="158"/>
      <c r="G380" s="159"/>
      <c r="H380" s="215"/>
      <c r="I380" s="215"/>
      <c r="J380" s="322"/>
      <c r="K380" s="554"/>
      <c r="L380" s="65"/>
      <c r="M380" s="65"/>
      <c r="N380" s="163"/>
      <c r="O380" s="243"/>
      <c r="P380" s="215"/>
      <c r="Q380" s="65"/>
      <c r="R380" s="65"/>
      <c r="V380" s="550"/>
    </row>
    <row r="381" spans="1:22">
      <c r="A381" s="1"/>
      <c r="B381" s="88"/>
      <c r="C381" s="552"/>
      <c r="D381" s="553"/>
      <c r="E381" s="158"/>
      <c r="F381" s="158"/>
      <c r="G381" s="159"/>
      <c r="H381" s="215"/>
      <c r="I381" s="215"/>
      <c r="J381" s="322"/>
      <c r="K381" s="554"/>
      <c r="L381" s="65"/>
      <c r="M381" s="65"/>
      <c r="N381" s="163"/>
      <c r="O381" s="243"/>
      <c r="P381" s="215"/>
      <c r="Q381" s="65"/>
      <c r="R381" s="65"/>
      <c r="V381" s="550"/>
    </row>
    <row r="382" spans="1:22">
      <c r="A382" s="1"/>
      <c r="B382" s="88"/>
      <c r="C382" s="552"/>
      <c r="D382" s="553"/>
      <c r="E382" s="158"/>
      <c r="F382" s="158"/>
      <c r="G382" s="159"/>
      <c r="H382" s="215"/>
      <c r="I382" s="215"/>
      <c r="J382" s="322"/>
      <c r="K382" s="554"/>
      <c r="L382" s="65"/>
      <c r="M382" s="65"/>
      <c r="N382" s="163"/>
      <c r="O382" s="243"/>
      <c r="P382" s="215"/>
      <c r="Q382" s="65"/>
      <c r="R382" s="65"/>
      <c r="V382" s="550"/>
    </row>
    <row r="383" spans="1:22">
      <c r="A383" s="1"/>
      <c r="B383" s="88"/>
      <c r="C383" s="552"/>
      <c r="D383" s="553"/>
      <c r="E383" s="158"/>
      <c r="F383" s="158"/>
      <c r="G383" s="159"/>
      <c r="H383" s="215"/>
      <c r="I383" s="215"/>
      <c r="J383" s="322"/>
      <c r="K383" s="554"/>
      <c r="L383" s="65"/>
      <c r="M383" s="65"/>
      <c r="N383" s="163"/>
      <c r="O383" s="243"/>
      <c r="P383" s="215"/>
      <c r="Q383" s="65"/>
      <c r="R383" s="65"/>
      <c r="V383" s="550"/>
    </row>
    <row r="384" spans="1:22">
      <c r="A384" s="1"/>
      <c r="B384" s="88"/>
      <c r="C384" s="552"/>
      <c r="D384" s="553"/>
      <c r="E384" s="158"/>
      <c r="F384" s="158"/>
      <c r="G384" s="159"/>
      <c r="H384" s="215"/>
      <c r="I384" s="215"/>
      <c r="J384" s="322"/>
      <c r="K384" s="554"/>
      <c r="L384" s="65"/>
      <c r="M384" s="65"/>
      <c r="N384" s="163"/>
      <c r="O384" s="243"/>
      <c r="P384" s="215"/>
      <c r="Q384" s="65"/>
      <c r="R384" s="65"/>
      <c r="V384" s="550"/>
    </row>
    <row r="385" spans="1:22">
      <c r="A385" s="1"/>
      <c r="B385" s="88"/>
      <c r="C385" s="552"/>
      <c r="D385" s="553"/>
      <c r="E385" s="158"/>
      <c r="F385" s="158"/>
      <c r="G385" s="159"/>
      <c r="H385" s="215"/>
      <c r="I385" s="215"/>
      <c r="J385" s="322"/>
      <c r="K385" s="554"/>
      <c r="L385" s="65"/>
      <c r="M385" s="65"/>
      <c r="N385" s="163"/>
      <c r="O385" s="243"/>
      <c r="P385" s="215"/>
      <c r="Q385" s="65"/>
      <c r="R385" s="65"/>
      <c r="V385" s="550"/>
    </row>
    <row r="386" spans="1:22">
      <c r="A386" s="1"/>
      <c r="B386" s="88"/>
      <c r="C386" s="552"/>
      <c r="D386" s="553"/>
      <c r="E386" s="158"/>
      <c r="F386" s="158"/>
      <c r="G386" s="159"/>
      <c r="H386" s="215"/>
      <c r="I386" s="215"/>
      <c r="J386" s="322"/>
      <c r="K386" s="554"/>
      <c r="L386" s="65"/>
      <c r="M386" s="65"/>
      <c r="N386" s="163"/>
      <c r="O386" s="243"/>
      <c r="P386" s="215"/>
      <c r="Q386" s="65"/>
      <c r="R386" s="65"/>
      <c r="V386" s="550"/>
    </row>
    <row r="387" spans="1:22">
      <c r="A387" s="1"/>
      <c r="B387" s="88"/>
      <c r="C387" s="552"/>
      <c r="D387" s="553"/>
      <c r="E387" s="158"/>
      <c r="F387" s="158"/>
      <c r="G387" s="159"/>
      <c r="H387" s="215"/>
      <c r="I387" s="215"/>
      <c r="J387" s="322"/>
      <c r="K387" s="554"/>
      <c r="L387" s="65"/>
      <c r="M387" s="65"/>
      <c r="N387" s="163"/>
      <c r="O387" s="243"/>
      <c r="P387" s="215"/>
      <c r="Q387" s="65"/>
      <c r="R387" s="65"/>
      <c r="V387" s="550"/>
    </row>
    <row r="388" spans="1:22">
      <c r="A388" s="1"/>
      <c r="B388" s="88"/>
      <c r="C388" s="552"/>
      <c r="D388" s="553"/>
      <c r="E388" s="158"/>
      <c r="F388" s="158"/>
      <c r="G388" s="159"/>
      <c r="H388" s="215"/>
      <c r="I388" s="215"/>
      <c r="J388" s="322"/>
      <c r="K388" s="554"/>
      <c r="L388" s="65"/>
      <c r="M388" s="65"/>
      <c r="N388" s="163"/>
      <c r="O388" s="243"/>
      <c r="P388" s="215"/>
      <c r="Q388" s="65"/>
      <c r="R388" s="65"/>
      <c r="V388" s="550"/>
    </row>
    <row r="389" spans="1:22">
      <c r="A389" s="1"/>
      <c r="B389" s="88"/>
      <c r="C389" s="552"/>
      <c r="D389" s="553"/>
      <c r="E389" s="158"/>
      <c r="F389" s="158"/>
      <c r="G389" s="159"/>
      <c r="H389" s="215"/>
      <c r="I389" s="215"/>
      <c r="J389" s="322"/>
      <c r="K389" s="554"/>
      <c r="L389" s="65"/>
      <c r="M389" s="65"/>
      <c r="N389" s="163"/>
      <c r="O389" s="243"/>
      <c r="P389" s="215"/>
      <c r="Q389" s="65"/>
      <c r="R389" s="65"/>
      <c r="V389" s="550"/>
    </row>
    <row r="390" spans="1:22">
      <c r="A390" s="1"/>
      <c r="B390" s="88"/>
      <c r="C390" s="552"/>
      <c r="D390" s="553"/>
      <c r="E390" s="158"/>
      <c r="F390" s="158"/>
      <c r="G390" s="159"/>
      <c r="H390" s="215"/>
      <c r="I390" s="215"/>
      <c r="J390" s="322"/>
      <c r="K390" s="554"/>
      <c r="L390" s="65"/>
      <c r="M390" s="65"/>
      <c r="N390" s="163"/>
      <c r="O390" s="243"/>
      <c r="P390" s="215"/>
      <c r="Q390" s="65"/>
      <c r="R390" s="65"/>
      <c r="V390" s="550"/>
    </row>
    <row r="391" spans="1:22">
      <c r="A391" s="1"/>
      <c r="B391" s="88"/>
      <c r="C391" s="552"/>
      <c r="D391" s="553"/>
      <c r="E391" s="158"/>
      <c r="F391" s="158"/>
      <c r="G391" s="159"/>
      <c r="H391" s="215"/>
      <c r="I391" s="215"/>
      <c r="J391" s="322"/>
      <c r="K391" s="554"/>
      <c r="L391" s="65"/>
      <c r="M391" s="65"/>
      <c r="N391" s="163"/>
      <c r="O391" s="243"/>
      <c r="P391" s="215"/>
      <c r="Q391" s="65"/>
      <c r="R391" s="65"/>
      <c r="V391" s="550"/>
    </row>
    <row r="392" spans="1:22">
      <c r="A392" s="1"/>
      <c r="B392" s="88"/>
      <c r="C392" s="552"/>
      <c r="D392" s="553"/>
      <c r="E392" s="158"/>
      <c r="F392" s="158"/>
      <c r="G392" s="159"/>
      <c r="H392" s="215"/>
      <c r="I392" s="215"/>
      <c r="J392" s="322"/>
      <c r="K392" s="554"/>
      <c r="L392" s="65"/>
      <c r="M392" s="65"/>
      <c r="N392" s="163"/>
      <c r="O392" s="243"/>
      <c r="P392" s="215"/>
      <c r="Q392" s="65"/>
      <c r="R392" s="65"/>
      <c r="V392" s="550"/>
    </row>
    <row r="393" spans="1:22">
      <c r="A393" s="1"/>
      <c r="B393" s="88"/>
      <c r="C393" s="552"/>
      <c r="D393" s="553"/>
      <c r="E393" s="158"/>
      <c r="F393" s="158"/>
      <c r="G393" s="159"/>
      <c r="H393" s="215"/>
      <c r="I393" s="215"/>
      <c r="J393" s="322"/>
      <c r="K393" s="554"/>
      <c r="L393" s="65"/>
      <c r="M393" s="65"/>
      <c r="N393" s="163"/>
      <c r="O393" s="243"/>
      <c r="P393" s="215"/>
      <c r="Q393" s="65"/>
      <c r="R393" s="65"/>
      <c r="V393" s="550"/>
    </row>
    <row r="394" spans="1:22">
      <c r="A394" s="1"/>
      <c r="B394" s="88"/>
      <c r="C394" s="552"/>
      <c r="D394" s="553"/>
      <c r="E394" s="158"/>
      <c r="F394" s="158"/>
      <c r="G394" s="159"/>
      <c r="H394" s="215"/>
      <c r="I394" s="215"/>
      <c r="J394" s="322"/>
      <c r="K394" s="554"/>
      <c r="L394" s="65"/>
      <c r="M394" s="65"/>
      <c r="N394" s="163"/>
      <c r="O394" s="243"/>
      <c r="P394" s="215"/>
      <c r="Q394" s="65"/>
      <c r="R394" s="65"/>
      <c r="V394" s="550"/>
    </row>
    <row r="395" spans="1:22">
      <c r="A395" s="1"/>
      <c r="B395" s="88"/>
      <c r="C395" s="552"/>
      <c r="D395" s="553"/>
      <c r="E395" s="158"/>
      <c r="F395" s="158"/>
      <c r="G395" s="159"/>
      <c r="H395" s="215"/>
      <c r="I395" s="215"/>
      <c r="J395" s="322"/>
      <c r="K395" s="554"/>
      <c r="L395" s="65"/>
      <c r="M395" s="65"/>
      <c r="N395" s="163"/>
      <c r="O395" s="243"/>
      <c r="P395" s="215"/>
      <c r="Q395" s="65"/>
      <c r="R395" s="65"/>
      <c r="V395" s="550"/>
    </row>
    <row r="396" spans="1:22">
      <c r="A396" s="1"/>
      <c r="B396" s="88"/>
      <c r="C396" s="552"/>
      <c r="D396" s="553"/>
      <c r="E396" s="158"/>
      <c r="F396" s="158"/>
      <c r="G396" s="159"/>
      <c r="H396" s="215"/>
      <c r="I396" s="215"/>
      <c r="J396" s="322"/>
      <c r="K396" s="554"/>
      <c r="L396" s="65"/>
      <c r="M396" s="65"/>
      <c r="N396" s="163"/>
      <c r="O396" s="243"/>
      <c r="P396" s="215"/>
      <c r="Q396" s="65"/>
      <c r="R396" s="65"/>
      <c r="V396" s="550"/>
    </row>
    <row r="397" spans="1:22">
      <c r="A397" s="1"/>
      <c r="B397" s="88"/>
      <c r="C397" s="552"/>
      <c r="D397" s="553"/>
      <c r="E397" s="158"/>
      <c r="F397" s="158"/>
      <c r="G397" s="159"/>
      <c r="H397" s="215"/>
      <c r="I397" s="215"/>
      <c r="J397" s="322"/>
      <c r="K397" s="554"/>
      <c r="L397" s="65"/>
      <c r="M397" s="65"/>
      <c r="N397" s="163"/>
      <c r="O397" s="243"/>
      <c r="P397" s="215"/>
      <c r="Q397" s="65"/>
      <c r="R397" s="65"/>
      <c r="V397" s="550"/>
    </row>
    <row r="398" spans="1:22">
      <c r="A398" s="1"/>
      <c r="B398" s="88"/>
      <c r="C398" s="552"/>
      <c r="D398" s="553"/>
      <c r="E398" s="158"/>
      <c r="F398" s="158"/>
      <c r="G398" s="159"/>
      <c r="H398" s="215"/>
      <c r="I398" s="215"/>
      <c r="J398" s="322"/>
      <c r="K398" s="554"/>
      <c r="L398" s="65"/>
      <c r="M398" s="65"/>
      <c r="N398" s="163"/>
      <c r="O398" s="243"/>
      <c r="P398" s="215"/>
      <c r="Q398" s="65"/>
      <c r="R398" s="65"/>
      <c r="V398" s="550"/>
    </row>
    <row r="399" spans="1:22">
      <c r="A399" s="1"/>
      <c r="B399" s="88"/>
      <c r="C399" s="552"/>
      <c r="D399" s="553"/>
      <c r="E399" s="158"/>
      <c r="F399" s="158"/>
      <c r="G399" s="159"/>
      <c r="H399" s="215"/>
      <c r="I399" s="215"/>
      <c r="J399" s="322"/>
      <c r="K399" s="554"/>
      <c r="L399" s="65"/>
      <c r="M399" s="65"/>
      <c r="N399" s="163"/>
      <c r="O399" s="243"/>
      <c r="P399" s="215"/>
      <c r="Q399" s="65"/>
      <c r="R399" s="65"/>
      <c r="V399" s="550"/>
    </row>
    <row r="400" spans="1:22">
      <c r="A400" s="1"/>
      <c r="B400" s="88"/>
      <c r="C400" s="552"/>
      <c r="D400" s="553"/>
      <c r="E400" s="158"/>
      <c r="F400" s="158"/>
      <c r="G400" s="159"/>
      <c r="H400" s="215"/>
      <c r="I400" s="215"/>
      <c r="J400" s="322"/>
      <c r="K400" s="554"/>
      <c r="L400" s="65"/>
      <c r="M400" s="65"/>
      <c r="N400" s="163"/>
      <c r="O400" s="243"/>
      <c r="P400" s="215"/>
      <c r="Q400" s="65"/>
      <c r="R400" s="65"/>
      <c r="V400" s="550"/>
    </row>
    <row r="401" spans="1:22">
      <c r="A401" s="1"/>
      <c r="B401" s="88"/>
      <c r="C401" s="552"/>
      <c r="D401" s="553"/>
      <c r="E401" s="158"/>
      <c r="F401" s="158"/>
      <c r="G401" s="159"/>
      <c r="H401" s="215"/>
      <c r="I401" s="215"/>
      <c r="J401" s="322"/>
      <c r="K401" s="554"/>
      <c r="L401" s="65"/>
      <c r="M401" s="65"/>
      <c r="N401" s="163"/>
      <c r="O401" s="243"/>
      <c r="P401" s="215"/>
      <c r="Q401" s="65"/>
      <c r="R401" s="65"/>
      <c r="V401" s="550"/>
    </row>
    <row r="402" spans="1:22">
      <c r="A402" s="1"/>
      <c r="B402" s="88"/>
      <c r="C402" s="552"/>
      <c r="D402" s="553"/>
      <c r="E402" s="158"/>
      <c r="F402" s="158"/>
      <c r="G402" s="159"/>
      <c r="H402" s="215"/>
      <c r="I402" s="215"/>
      <c r="J402" s="322"/>
      <c r="K402" s="554"/>
      <c r="L402" s="65"/>
      <c r="M402" s="65"/>
      <c r="N402" s="163"/>
      <c r="O402" s="243"/>
      <c r="P402" s="215"/>
      <c r="Q402" s="65"/>
      <c r="R402" s="65"/>
      <c r="V402" s="550"/>
    </row>
    <row r="403" spans="1:22">
      <c r="A403" s="1"/>
      <c r="B403" s="88"/>
      <c r="C403" s="552"/>
      <c r="D403" s="553"/>
      <c r="E403" s="158"/>
      <c r="F403" s="158"/>
      <c r="G403" s="159"/>
      <c r="H403" s="215"/>
      <c r="I403" s="215"/>
      <c r="J403" s="322"/>
      <c r="K403" s="554"/>
      <c r="L403" s="65"/>
      <c r="M403" s="65"/>
      <c r="N403" s="163"/>
      <c r="O403" s="243"/>
      <c r="P403" s="215"/>
      <c r="Q403" s="65"/>
      <c r="R403" s="65"/>
      <c r="V403" s="550"/>
    </row>
    <row r="404" spans="1:22">
      <c r="A404" s="1"/>
      <c r="B404" s="88"/>
      <c r="C404" s="552"/>
      <c r="D404" s="553"/>
      <c r="E404" s="158"/>
      <c r="F404" s="158"/>
      <c r="G404" s="159"/>
      <c r="H404" s="215"/>
      <c r="I404" s="215"/>
      <c r="J404" s="322"/>
      <c r="K404" s="554"/>
      <c r="L404" s="65"/>
      <c r="M404" s="65"/>
      <c r="N404" s="163"/>
      <c r="O404" s="243"/>
      <c r="P404" s="215"/>
      <c r="Q404" s="65"/>
      <c r="R404" s="65"/>
      <c r="V404" s="550"/>
    </row>
    <row r="405" spans="1:22">
      <c r="A405" s="1"/>
      <c r="B405" s="88"/>
      <c r="C405" s="552"/>
      <c r="D405" s="553"/>
      <c r="E405" s="158"/>
      <c r="F405" s="158"/>
      <c r="G405" s="159"/>
      <c r="H405" s="215"/>
      <c r="I405" s="215"/>
      <c r="J405" s="322"/>
      <c r="K405" s="554"/>
      <c r="L405" s="65"/>
      <c r="M405" s="65"/>
      <c r="N405" s="163"/>
      <c r="O405" s="243"/>
      <c r="P405" s="215"/>
      <c r="Q405" s="65"/>
      <c r="R405" s="65"/>
      <c r="V405" s="550"/>
    </row>
    <row r="406" spans="1:22">
      <c r="A406" s="1"/>
      <c r="B406" s="88"/>
      <c r="C406" s="552"/>
      <c r="D406" s="553"/>
      <c r="E406" s="158"/>
      <c r="F406" s="158"/>
      <c r="G406" s="159"/>
      <c r="H406" s="215"/>
      <c r="I406" s="215"/>
      <c r="J406" s="322"/>
      <c r="K406" s="554"/>
      <c r="L406" s="65"/>
      <c r="M406" s="65"/>
      <c r="N406" s="163"/>
      <c r="O406" s="243"/>
      <c r="P406" s="215"/>
      <c r="Q406" s="65"/>
      <c r="R406" s="65"/>
      <c r="V406" s="550"/>
    </row>
    <row r="407" spans="1:22">
      <c r="A407" s="1"/>
      <c r="B407" s="88"/>
      <c r="C407" s="552"/>
      <c r="D407" s="553"/>
      <c r="E407" s="158"/>
      <c r="F407" s="158"/>
      <c r="G407" s="159"/>
      <c r="H407" s="215"/>
      <c r="I407" s="215"/>
      <c r="J407" s="322"/>
      <c r="K407" s="554"/>
      <c r="L407" s="65"/>
      <c r="M407" s="65"/>
      <c r="N407" s="163"/>
      <c r="O407" s="243"/>
      <c r="P407" s="215"/>
      <c r="Q407" s="65"/>
      <c r="R407" s="65"/>
      <c r="V407" s="550"/>
    </row>
    <row r="408" spans="1:22">
      <c r="A408" s="1"/>
      <c r="B408" s="88"/>
      <c r="C408" s="552"/>
      <c r="D408" s="553"/>
      <c r="E408" s="158"/>
      <c r="F408" s="158"/>
      <c r="G408" s="159"/>
      <c r="H408" s="215"/>
      <c r="I408" s="215"/>
      <c r="J408" s="322"/>
      <c r="K408" s="554"/>
      <c r="L408" s="65"/>
      <c r="M408" s="65"/>
      <c r="N408" s="163"/>
      <c r="O408" s="243"/>
      <c r="P408" s="215"/>
      <c r="Q408" s="65"/>
      <c r="R408" s="65"/>
      <c r="V408" s="550"/>
    </row>
    <row r="409" spans="1:22">
      <c r="A409" s="1"/>
      <c r="B409" s="88"/>
      <c r="C409" s="552"/>
      <c r="D409" s="553"/>
      <c r="E409" s="158"/>
      <c r="F409" s="158"/>
      <c r="G409" s="159"/>
      <c r="H409" s="215"/>
      <c r="I409" s="215"/>
      <c r="J409" s="322"/>
      <c r="K409" s="554"/>
      <c r="L409" s="65"/>
      <c r="M409" s="65"/>
      <c r="N409" s="163"/>
      <c r="O409" s="243"/>
      <c r="P409" s="215"/>
      <c r="Q409" s="65"/>
      <c r="R409" s="65"/>
      <c r="V409" s="550"/>
    </row>
    <row r="410" spans="1:22">
      <c r="A410" s="1"/>
      <c r="B410" s="88"/>
      <c r="C410" s="552"/>
      <c r="D410" s="553"/>
      <c r="E410" s="158"/>
      <c r="F410" s="158"/>
      <c r="G410" s="159"/>
      <c r="H410" s="215"/>
      <c r="I410" s="215"/>
      <c r="J410" s="322"/>
      <c r="K410" s="554"/>
      <c r="L410" s="65"/>
      <c r="M410" s="65"/>
      <c r="N410" s="163"/>
      <c r="O410" s="243"/>
      <c r="P410" s="215"/>
      <c r="Q410" s="65"/>
      <c r="R410" s="65"/>
      <c r="V410" s="550"/>
    </row>
    <row r="411" spans="1:22">
      <c r="A411" s="1"/>
      <c r="B411" s="88"/>
      <c r="C411" s="552"/>
      <c r="D411" s="553"/>
      <c r="E411" s="158"/>
      <c r="F411" s="158"/>
      <c r="G411" s="159"/>
      <c r="H411" s="215"/>
      <c r="I411" s="215"/>
      <c r="J411" s="322"/>
      <c r="K411" s="554"/>
      <c r="L411" s="65"/>
      <c r="M411" s="65"/>
      <c r="N411" s="163"/>
      <c r="O411" s="243"/>
      <c r="P411" s="215"/>
      <c r="Q411" s="65"/>
      <c r="R411" s="65"/>
      <c r="V411" s="550"/>
    </row>
    <row r="412" spans="1:22">
      <c r="A412" s="1"/>
      <c r="B412" s="88"/>
      <c r="C412" s="552"/>
      <c r="D412" s="553"/>
      <c r="E412" s="158"/>
      <c r="F412" s="158"/>
      <c r="G412" s="159"/>
      <c r="H412" s="215"/>
      <c r="I412" s="215"/>
      <c r="J412" s="322"/>
      <c r="K412" s="554"/>
      <c r="L412" s="65"/>
      <c r="M412" s="65"/>
      <c r="N412" s="163"/>
      <c r="O412" s="243"/>
      <c r="P412" s="215"/>
      <c r="Q412" s="65"/>
      <c r="R412" s="65"/>
      <c r="V412" s="550"/>
    </row>
    <row r="413" spans="1:22">
      <c r="A413" s="1"/>
      <c r="B413" s="88"/>
      <c r="C413" s="552"/>
      <c r="D413" s="553"/>
      <c r="E413" s="158"/>
      <c r="F413" s="158"/>
      <c r="G413" s="159"/>
      <c r="H413" s="215"/>
      <c r="I413" s="215"/>
      <c r="J413" s="322"/>
      <c r="K413" s="554"/>
      <c r="L413" s="65"/>
      <c r="M413" s="65"/>
      <c r="N413" s="163"/>
      <c r="O413" s="243"/>
      <c r="P413" s="215"/>
      <c r="Q413" s="65"/>
      <c r="R413" s="65"/>
      <c r="V413" s="550"/>
    </row>
    <row r="414" spans="1:22">
      <c r="A414" s="1"/>
      <c r="B414" s="88"/>
      <c r="C414" s="552"/>
      <c r="D414" s="553"/>
      <c r="E414" s="158"/>
      <c r="F414" s="158"/>
      <c r="G414" s="159"/>
      <c r="H414" s="215"/>
      <c r="I414" s="215"/>
      <c r="J414" s="322"/>
      <c r="K414" s="554"/>
      <c r="L414" s="65"/>
      <c r="M414" s="65"/>
      <c r="N414" s="163"/>
      <c r="O414" s="243"/>
      <c r="P414" s="215"/>
      <c r="Q414" s="65"/>
      <c r="R414" s="65"/>
      <c r="V414" s="550"/>
    </row>
    <row r="415" spans="1:22">
      <c r="A415" s="1"/>
      <c r="B415" s="88"/>
      <c r="C415" s="552"/>
      <c r="D415" s="553"/>
      <c r="E415" s="158"/>
      <c r="F415" s="158"/>
      <c r="G415" s="159"/>
      <c r="H415" s="215"/>
      <c r="I415" s="215"/>
      <c r="J415" s="322"/>
      <c r="K415" s="554"/>
      <c r="L415" s="65"/>
      <c r="M415" s="65"/>
      <c r="N415" s="163"/>
      <c r="O415" s="243"/>
      <c r="P415" s="215"/>
      <c r="Q415" s="65"/>
      <c r="R415" s="65"/>
      <c r="V415" s="550"/>
    </row>
    <row r="416" spans="1:22">
      <c r="A416" s="1"/>
      <c r="B416" s="88"/>
      <c r="C416" s="552"/>
      <c r="D416" s="553"/>
      <c r="E416" s="158"/>
      <c r="F416" s="158"/>
      <c r="G416" s="159"/>
      <c r="H416" s="215"/>
      <c r="I416" s="215"/>
      <c r="J416" s="322"/>
      <c r="K416" s="554"/>
      <c r="L416" s="65"/>
      <c r="M416" s="65"/>
      <c r="N416" s="163"/>
      <c r="O416" s="243"/>
      <c r="P416" s="215"/>
      <c r="Q416" s="65"/>
      <c r="R416" s="65"/>
      <c r="V416" s="550"/>
    </row>
    <row r="417" spans="1:22">
      <c r="A417" s="1"/>
      <c r="B417" s="88"/>
      <c r="C417" s="552"/>
      <c r="D417" s="553"/>
      <c r="E417" s="158"/>
      <c r="F417" s="158"/>
      <c r="G417" s="159"/>
      <c r="H417" s="215"/>
      <c r="I417" s="215"/>
      <c r="J417" s="322"/>
      <c r="K417" s="554"/>
      <c r="L417" s="65"/>
      <c r="M417" s="65"/>
      <c r="N417" s="163"/>
      <c r="O417" s="243"/>
      <c r="P417" s="215"/>
      <c r="Q417" s="65"/>
      <c r="R417" s="65"/>
      <c r="V417" s="550"/>
    </row>
    <row r="418" spans="1:22">
      <c r="A418" s="1"/>
      <c r="B418" s="88"/>
      <c r="C418" s="552"/>
      <c r="D418" s="553"/>
      <c r="E418" s="158"/>
      <c r="F418" s="158"/>
      <c r="G418" s="159"/>
      <c r="H418" s="215"/>
      <c r="I418" s="215"/>
      <c r="J418" s="322"/>
      <c r="K418" s="554"/>
      <c r="L418" s="65"/>
      <c r="M418" s="65"/>
      <c r="N418" s="163"/>
      <c r="O418" s="243"/>
      <c r="P418" s="215"/>
      <c r="Q418" s="65"/>
      <c r="R418" s="65"/>
      <c r="V418" s="550"/>
    </row>
    <row r="419" spans="1:22">
      <c r="A419" s="1"/>
      <c r="B419" s="88"/>
      <c r="C419" s="552"/>
      <c r="D419" s="553"/>
      <c r="E419" s="158"/>
      <c r="F419" s="158"/>
      <c r="G419" s="159"/>
      <c r="H419" s="215"/>
      <c r="I419" s="215"/>
      <c r="J419" s="322"/>
      <c r="K419" s="554"/>
      <c r="L419" s="65"/>
      <c r="M419" s="65"/>
      <c r="N419" s="163"/>
      <c r="O419" s="243"/>
      <c r="P419" s="215"/>
      <c r="Q419" s="65"/>
      <c r="R419" s="65"/>
      <c r="V419" s="550"/>
    </row>
    <row r="420" spans="1:22">
      <c r="A420" s="1"/>
      <c r="B420" s="88"/>
      <c r="C420" s="552"/>
      <c r="D420" s="553"/>
      <c r="E420" s="158"/>
      <c r="F420" s="158"/>
      <c r="G420" s="159"/>
      <c r="H420" s="215"/>
      <c r="I420" s="215"/>
      <c r="J420" s="322"/>
      <c r="K420" s="554"/>
      <c r="L420" s="65"/>
      <c r="M420" s="65"/>
      <c r="N420" s="163"/>
      <c r="O420" s="243"/>
      <c r="P420" s="215"/>
      <c r="Q420" s="65"/>
      <c r="R420" s="65"/>
      <c r="V420" s="550"/>
    </row>
    <row r="421" spans="1:22">
      <c r="A421" s="1"/>
      <c r="B421" s="88"/>
      <c r="C421" s="552"/>
      <c r="D421" s="553"/>
      <c r="E421" s="158"/>
      <c r="F421" s="158"/>
      <c r="G421" s="159"/>
      <c r="H421" s="215"/>
      <c r="I421" s="215"/>
      <c r="J421" s="322"/>
      <c r="K421" s="554"/>
      <c r="L421" s="65"/>
      <c r="M421" s="65"/>
      <c r="N421" s="163"/>
      <c r="O421" s="243"/>
      <c r="P421" s="215"/>
      <c r="Q421" s="65"/>
      <c r="R421" s="65"/>
      <c r="V421" s="550"/>
    </row>
    <row r="422" spans="1:22">
      <c r="A422" s="1"/>
      <c r="B422" s="88"/>
      <c r="C422" s="552"/>
      <c r="D422" s="553"/>
      <c r="E422" s="158"/>
      <c r="F422" s="158"/>
      <c r="G422" s="159"/>
      <c r="H422" s="215"/>
      <c r="I422" s="215"/>
      <c r="J422" s="322"/>
      <c r="K422" s="554"/>
      <c r="L422" s="65"/>
      <c r="M422" s="65"/>
      <c r="N422" s="163"/>
      <c r="O422" s="243"/>
      <c r="P422" s="215"/>
      <c r="Q422" s="65"/>
      <c r="R422" s="65"/>
      <c r="V422" s="550"/>
    </row>
    <row r="423" spans="1:22">
      <c r="A423" s="1"/>
      <c r="B423" s="88"/>
      <c r="C423" s="552"/>
      <c r="D423" s="553"/>
      <c r="E423" s="158"/>
      <c r="F423" s="158"/>
      <c r="G423" s="159"/>
      <c r="H423" s="215"/>
      <c r="I423" s="215"/>
      <c r="J423" s="322"/>
      <c r="K423" s="554"/>
      <c r="L423" s="65"/>
      <c r="M423" s="65"/>
      <c r="N423" s="163"/>
      <c r="O423" s="243"/>
      <c r="P423" s="215"/>
      <c r="Q423" s="65"/>
      <c r="R423" s="65"/>
      <c r="V423" s="550"/>
    </row>
    <row r="424" spans="1:22">
      <c r="A424" s="1"/>
      <c r="B424" s="88"/>
      <c r="C424" s="552"/>
      <c r="D424" s="553"/>
      <c r="E424" s="158"/>
      <c r="F424" s="158"/>
      <c r="G424" s="159"/>
      <c r="H424" s="215"/>
      <c r="I424" s="215"/>
      <c r="J424" s="322"/>
      <c r="K424" s="554"/>
      <c r="L424" s="65"/>
      <c r="M424" s="65"/>
      <c r="N424" s="163"/>
      <c r="O424" s="243"/>
      <c r="P424" s="215"/>
      <c r="Q424" s="65"/>
      <c r="R424" s="65"/>
      <c r="V424" s="550"/>
    </row>
    <row r="425" spans="1:22">
      <c r="A425" s="1"/>
      <c r="B425" s="88"/>
      <c r="C425" s="552"/>
      <c r="D425" s="553"/>
      <c r="E425" s="158"/>
      <c r="F425" s="158"/>
      <c r="G425" s="159"/>
      <c r="H425" s="215"/>
      <c r="I425" s="215"/>
      <c r="J425" s="322"/>
      <c r="K425" s="554"/>
      <c r="L425" s="65"/>
      <c r="M425" s="65"/>
      <c r="N425" s="163"/>
      <c r="O425" s="243"/>
      <c r="P425" s="215"/>
      <c r="Q425" s="65"/>
      <c r="R425" s="65"/>
      <c r="V425" s="550"/>
    </row>
    <row r="426" spans="1:22">
      <c r="A426" s="1"/>
      <c r="B426" s="88"/>
      <c r="C426" s="552"/>
      <c r="D426" s="553"/>
      <c r="E426" s="158"/>
      <c r="F426" s="158"/>
      <c r="G426" s="159"/>
      <c r="H426" s="215"/>
      <c r="I426" s="215"/>
      <c r="J426" s="322"/>
      <c r="K426" s="554"/>
      <c r="L426" s="65"/>
      <c r="M426" s="65"/>
      <c r="N426" s="163"/>
      <c r="O426" s="243"/>
      <c r="P426" s="215"/>
      <c r="Q426" s="65"/>
      <c r="R426" s="65"/>
      <c r="V426" s="550"/>
    </row>
    <row r="427" spans="1:22">
      <c r="A427" s="1"/>
      <c r="B427" s="88"/>
      <c r="C427" s="552"/>
      <c r="D427" s="553"/>
      <c r="E427" s="158"/>
      <c r="F427" s="158"/>
      <c r="G427" s="159"/>
      <c r="H427" s="215"/>
      <c r="I427" s="215"/>
      <c r="J427" s="322"/>
      <c r="K427" s="554"/>
      <c r="L427" s="65"/>
      <c r="M427" s="65"/>
      <c r="N427" s="163"/>
      <c r="O427" s="243"/>
      <c r="P427" s="215"/>
      <c r="Q427" s="65"/>
      <c r="R427" s="65"/>
      <c r="V427" s="550"/>
    </row>
    <row r="428" spans="1:22">
      <c r="A428" s="1"/>
      <c r="B428" s="88"/>
      <c r="C428" s="552"/>
      <c r="D428" s="553"/>
      <c r="E428" s="158"/>
      <c r="F428" s="158"/>
      <c r="G428" s="159"/>
      <c r="H428" s="215"/>
      <c r="I428" s="215"/>
      <c r="J428" s="322"/>
      <c r="K428" s="554"/>
      <c r="L428" s="65"/>
      <c r="M428" s="65"/>
      <c r="N428" s="163"/>
      <c r="O428" s="243"/>
      <c r="P428" s="215"/>
      <c r="Q428" s="65"/>
      <c r="R428" s="65"/>
      <c r="V428" s="550"/>
    </row>
    <row r="429" spans="1:22">
      <c r="A429" s="1"/>
      <c r="B429" s="88"/>
      <c r="C429" s="552"/>
      <c r="D429" s="553"/>
      <c r="E429" s="158"/>
      <c r="F429" s="158"/>
      <c r="G429" s="159"/>
      <c r="H429" s="215"/>
      <c r="I429" s="215"/>
      <c r="J429" s="322"/>
      <c r="K429" s="554"/>
      <c r="L429" s="65"/>
      <c r="M429" s="65"/>
      <c r="N429" s="163"/>
      <c r="O429" s="243"/>
      <c r="P429" s="215"/>
      <c r="Q429" s="65"/>
      <c r="R429" s="65"/>
      <c r="V429" s="550"/>
    </row>
    <row r="430" spans="1:22">
      <c r="A430" s="1"/>
      <c r="B430" s="88"/>
      <c r="C430" s="552"/>
      <c r="D430" s="553"/>
      <c r="E430" s="158"/>
      <c r="F430" s="158"/>
      <c r="G430" s="159"/>
      <c r="H430" s="215"/>
      <c r="I430" s="215"/>
      <c r="J430" s="322"/>
      <c r="K430" s="554"/>
      <c r="L430" s="65"/>
      <c r="M430" s="65"/>
      <c r="N430" s="163"/>
      <c r="O430" s="243"/>
      <c r="P430" s="215"/>
      <c r="Q430" s="65"/>
      <c r="R430" s="65"/>
      <c r="V430" s="550"/>
    </row>
    <row r="431" spans="1:22">
      <c r="A431" s="1"/>
      <c r="B431" s="88"/>
      <c r="C431" s="552"/>
      <c r="D431" s="553"/>
      <c r="E431" s="158"/>
      <c r="F431" s="158"/>
      <c r="G431" s="159"/>
      <c r="H431" s="215"/>
      <c r="I431" s="215"/>
      <c r="J431" s="322"/>
      <c r="K431" s="554"/>
      <c r="L431" s="65"/>
      <c r="M431" s="65"/>
      <c r="N431" s="163"/>
      <c r="O431" s="243"/>
      <c r="P431" s="215"/>
      <c r="Q431" s="65"/>
      <c r="R431" s="65"/>
      <c r="V431" s="550"/>
    </row>
    <row r="432" spans="1:22">
      <c r="A432" s="1"/>
      <c r="B432" s="88"/>
      <c r="C432" s="552"/>
      <c r="D432" s="553"/>
      <c r="E432" s="158"/>
      <c r="F432" s="158"/>
      <c r="G432" s="159"/>
      <c r="H432" s="215"/>
      <c r="I432" s="215"/>
      <c r="J432" s="322"/>
      <c r="K432" s="554"/>
      <c r="L432" s="65"/>
      <c r="M432" s="65"/>
      <c r="N432" s="163"/>
      <c r="O432" s="243"/>
      <c r="P432" s="215"/>
      <c r="Q432" s="65"/>
      <c r="R432" s="65"/>
      <c r="V432" s="550"/>
    </row>
    <row r="433" spans="1:22">
      <c r="A433" s="1"/>
      <c r="B433" s="88"/>
      <c r="C433" s="552"/>
      <c r="D433" s="553"/>
      <c r="E433" s="158"/>
      <c r="F433" s="158"/>
      <c r="G433" s="159"/>
      <c r="H433" s="215"/>
      <c r="I433" s="215"/>
      <c r="J433" s="322"/>
      <c r="K433" s="554"/>
      <c r="L433" s="65"/>
      <c r="M433" s="65"/>
      <c r="N433" s="163"/>
      <c r="O433" s="243"/>
      <c r="P433" s="215"/>
      <c r="Q433" s="65"/>
      <c r="R433" s="65"/>
      <c r="V433" s="550"/>
    </row>
    <row r="434" spans="1:22">
      <c r="A434" s="1"/>
      <c r="B434" s="88"/>
      <c r="C434" s="552"/>
      <c r="D434" s="553"/>
      <c r="E434" s="158"/>
      <c r="F434" s="158"/>
      <c r="G434" s="159"/>
      <c r="H434" s="215"/>
      <c r="I434" s="215"/>
      <c r="J434" s="322"/>
      <c r="K434" s="554"/>
      <c r="L434" s="65"/>
      <c r="M434" s="65"/>
      <c r="N434" s="163"/>
      <c r="O434" s="243"/>
      <c r="P434" s="215"/>
      <c r="Q434" s="65"/>
      <c r="R434" s="65"/>
      <c r="V434" s="550"/>
    </row>
    <row r="435" spans="1:22">
      <c r="A435" s="1"/>
      <c r="B435" s="88"/>
      <c r="C435" s="552"/>
      <c r="D435" s="553"/>
      <c r="E435" s="158"/>
      <c r="F435" s="158"/>
      <c r="G435" s="159"/>
      <c r="H435" s="215"/>
      <c r="I435" s="215"/>
      <c r="J435" s="322"/>
      <c r="K435" s="554"/>
      <c r="L435" s="65"/>
      <c r="M435" s="65"/>
      <c r="N435" s="163"/>
      <c r="O435" s="243"/>
      <c r="P435" s="215"/>
      <c r="Q435" s="65"/>
      <c r="R435" s="65"/>
      <c r="V435" s="550"/>
    </row>
    <row r="436" spans="1:22">
      <c r="A436" s="1"/>
      <c r="B436" s="88"/>
      <c r="C436" s="552"/>
      <c r="D436" s="553"/>
      <c r="E436" s="158"/>
      <c r="F436" s="158"/>
      <c r="G436" s="159"/>
      <c r="H436" s="215"/>
      <c r="I436" s="215"/>
      <c r="J436" s="322"/>
      <c r="K436" s="554"/>
      <c r="L436" s="65"/>
      <c r="M436" s="65"/>
      <c r="N436" s="163"/>
      <c r="O436" s="243"/>
      <c r="P436" s="215"/>
      <c r="Q436" s="65"/>
      <c r="R436" s="65"/>
      <c r="V436" s="550"/>
    </row>
    <row r="437" spans="1:22">
      <c r="A437" s="1"/>
      <c r="B437" s="88"/>
      <c r="C437" s="552"/>
      <c r="D437" s="553"/>
      <c r="E437" s="158"/>
      <c r="F437" s="158"/>
      <c r="G437" s="159"/>
      <c r="H437" s="215"/>
      <c r="I437" s="215"/>
      <c r="J437" s="322"/>
      <c r="K437" s="554"/>
      <c r="L437" s="65"/>
      <c r="M437" s="65"/>
      <c r="N437" s="163"/>
      <c r="O437" s="243"/>
      <c r="P437" s="215"/>
      <c r="Q437" s="65"/>
      <c r="R437" s="65"/>
      <c r="V437" s="550"/>
    </row>
    <row r="438" spans="1:22">
      <c r="A438" s="1"/>
      <c r="B438" s="88"/>
      <c r="C438" s="552"/>
      <c r="D438" s="553"/>
      <c r="E438" s="158"/>
      <c r="F438" s="158"/>
      <c r="G438" s="159"/>
      <c r="H438" s="215"/>
      <c r="I438" s="215"/>
      <c r="J438" s="322"/>
      <c r="K438" s="554"/>
      <c r="L438" s="65"/>
      <c r="M438" s="65"/>
      <c r="N438" s="163"/>
      <c r="O438" s="243"/>
      <c r="P438" s="215"/>
      <c r="Q438" s="65"/>
      <c r="R438" s="65"/>
      <c r="V438" s="550"/>
    </row>
    <row r="439" spans="1:22">
      <c r="A439" s="1"/>
      <c r="B439" s="88"/>
      <c r="C439" s="552"/>
      <c r="D439" s="553"/>
      <c r="E439" s="158"/>
      <c r="F439" s="158"/>
      <c r="G439" s="159"/>
      <c r="H439" s="215"/>
      <c r="I439" s="215"/>
      <c r="J439" s="322"/>
      <c r="K439" s="554"/>
      <c r="L439" s="65"/>
      <c r="M439" s="65"/>
      <c r="N439" s="163"/>
      <c r="O439" s="243"/>
      <c r="P439" s="215"/>
      <c r="Q439" s="65"/>
      <c r="R439" s="65"/>
      <c r="V439" s="550"/>
    </row>
    <row r="440" spans="1:22">
      <c r="A440" s="1"/>
      <c r="B440" s="88"/>
      <c r="C440" s="552"/>
      <c r="D440" s="553"/>
      <c r="E440" s="158"/>
      <c r="F440" s="158"/>
      <c r="G440" s="159"/>
      <c r="H440" s="215"/>
      <c r="I440" s="215"/>
      <c r="J440" s="322"/>
      <c r="K440" s="554"/>
      <c r="L440" s="65"/>
      <c r="M440" s="65"/>
      <c r="N440" s="163"/>
      <c r="O440" s="243"/>
      <c r="P440" s="215"/>
      <c r="Q440" s="65"/>
      <c r="R440" s="65"/>
      <c r="V440" s="550"/>
    </row>
    <row r="441" spans="1:22">
      <c r="A441" s="1"/>
      <c r="B441" s="88"/>
      <c r="C441" s="552"/>
      <c r="D441" s="553"/>
      <c r="E441" s="158"/>
      <c r="F441" s="158"/>
      <c r="G441" s="159"/>
      <c r="H441" s="215"/>
      <c r="I441" s="215"/>
      <c r="J441" s="322"/>
      <c r="K441" s="554"/>
      <c r="L441" s="65"/>
      <c r="M441" s="65"/>
      <c r="N441" s="163"/>
      <c r="O441" s="243"/>
      <c r="P441" s="215"/>
      <c r="Q441" s="65"/>
      <c r="R441" s="65"/>
      <c r="V441" s="550"/>
    </row>
    <row r="442" spans="1:22">
      <c r="A442" s="1"/>
      <c r="B442" s="88"/>
      <c r="C442" s="552"/>
      <c r="D442" s="553"/>
      <c r="E442" s="158"/>
      <c r="F442" s="158"/>
      <c r="G442" s="159"/>
      <c r="H442" s="215"/>
      <c r="I442" s="215"/>
      <c r="J442" s="322"/>
      <c r="K442" s="554"/>
      <c r="L442" s="65"/>
      <c r="M442" s="65"/>
      <c r="N442" s="163"/>
      <c r="O442" s="243"/>
      <c r="P442" s="215"/>
      <c r="Q442" s="65"/>
      <c r="R442" s="65"/>
      <c r="V442" s="550"/>
    </row>
    <row r="443" spans="1:22">
      <c r="A443" s="1"/>
      <c r="B443" s="88"/>
      <c r="C443" s="552"/>
      <c r="D443" s="553"/>
      <c r="E443" s="158"/>
      <c r="F443" s="158"/>
      <c r="G443" s="159"/>
      <c r="H443" s="215"/>
      <c r="I443" s="215"/>
      <c r="J443" s="322"/>
      <c r="K443" s="554"/>
      <c r="L443" s="65"/>
      <c r="M443" s="65"/>
      <c r="N443" s="163"/>
      <c r="O443" s="243"/>
      <c r="P443" s="215"/>
      <c r="Q443" s="65"/>
      <c r="R443" s="65"/>
      <c r="V443" s="550"/>
    </row>
    <row r="444" spans="1:22">
      <c r="A444" s="1"/>
      <c r="B444" s="88"/>
      <c r="C444" s="552"/>
      <c r="D444" s="553"/>
      <c r="E444" s="158"/>
      <c r="F444" s="158"/>
      <c r="G444" s="159"/>
      <c r="H444" s="215"/>
      <c r="I444" s="215"/>
      <c r="J444" s="322"/>
      <c r="K444" s="554"/>
      <c r="L444" s="65"/>
      <c r="M444" s="65"/>
      <c r="N444" s="163"/>
      <c r="O444" s="243"/>
      <c r="P444" s="215"/>
      <c r="Q444" s="65"/>
      <c r="R444" s="65"/>
      <c r="V444" s="550"/>
    </row>
    <row r="445" spans="1:22">
      <c r="A445" s="1"/>
      <c r="B445" s="88"/>
      <c r="C445" s="552"/>
      <c r="D445" s="553"/>
      <c r="E445" s="158"/>
      <c r="F445" s="158"/>
      <c r="G445" s="159"/>
      <c r="H445" s="215"/>
      <c r="I445" s="215"/>
      <c r="J445" s="322"/>
      <c r="K445" s="554"/>
      <c r="L445" s="65"/>
      <c r="M445" s="65"/>
      <c r="N445" s="163"/>
      <c r="O445" s="243"/>
      <c r="P445" s="215"/>
      <c r="Q445" s="65"/>
      <c r="R445" s="65"/>
      <c r="V445" s="550"/>
    </row>
    <row r="446" spans="1:22">
      <c r="A446" s="1"/>
      <c r="B446" s="88"/>
      <c r="C446" s="552"/>
      <c r="D446" s="553"/>
      <c r="E446" s="158"/>
      <c r="F446" s="158"/>
      <c r="G446" s="159"/>
      <c r="H446" s="215"/>
      <c r="I446" s="215"/>
      <c r="J446" s="322"/>
      <c r="K446" s="554"/>
      <c r="L446" s="65"/>
      <c r="M446" s="65"/>
      <c r="N446" s="163"/>
      <c r="O446" s="243"/>
      <c r="P446" s="215"/>
      <c r="Q446" s="65"/>
      <c r="R446" s="65"/>
      <c r="V446" s="550"/>
    </row>
    <row r="447" spans="1:22">
      <c r="A447" s="1"/>
      <c r="B447" s="88"/>
      <c r="C447" s="552"/>
      <c r="D447" s="553"/>
      <c r="E447" s="158"/>
      <c r="F447" s="158"/>
      <c r="G447" s="159"/>
      <c r="H447" s="215"/>
      <c r="I447" s="215"/>
      <c r="J447" s="322"/>
      <c r="K447" s="554"/>
      <c r="L447" s="65"/>
      <c r="M447" s="65"/>
      <c r="N447" s="163"/>
      <c r="O447" s="243"/>
      <c r="P447" s="215"/>
      <c r="Q447" s="65"/>
      <c r="R447" s="65"/>
      <c r="V447" s="550"/>
    </row>
    <row r="448" spans="1:22">
      <c r="A448" s="1"/>
      <c r="B448" s="88"/>
      <c r="C448" s="552"/>
      <c r="D448" s="553"/>
      <c r="E448" s="158"/>
      <c r="F448" s="158"/>
      <c r="G448" s="159"/>
      <c r="H448" s="215"/>
      <c r="I448" s="215"/>
      <c r="J448" s="322"/>
      <c r="K448" s="554"/>
      <c r="L448" s="65"/>
      <c r="M448" s="65"/>
      <c r="N448" s="163"/>
      <c r="O448" s="243"/>
      <c r="P448" s="215"/>
      <c r="Q448" s="65"/>
      <c r="R448" s="65"/>
      <c r="V448" s="550"/>
    </row>
    <row r="449" spans="1:22">
      <c r="A449" s="1"/>
      <c r="B449" s="88"/>
      <c r="C449" s="552"/>
      <c r="D449" s="553"/>
      <c r="E449" s="158"/>
      <c r="F449" s="158"/>
      <c r="G449" s="159"/>
      <c r="H449" s="215"/>
      <c r="I449" s="215"/>
      <c r="J449" s="322"/>
      <c r="K449" s="554"/>
      <c r="L449" s="65"/>
      <c r="M449" s="65"/>
      <c r="N449" s="163"/>
      <c r="O449" s="243"/>
      <c r="P449" s="215"/>
      <c r="Q449" s="65"/>
      <c r="R449" s="65"/>
      <c r="V449" s="550"/>
    </row>
    <row r="450" spans="1:22">
      <c r="A450" s="1"/>
      <c r="B450" s="88"/>
      <c r="C450" s="552"/>
      <c r="D450" s="553"/>
      <c r="E450" s="158"/>
      <c r="F450" s="158"/>
      <c r="G450" s="159"/>
      <c r="H450" s="215"/>
      <c r="I450" s="215"/>
      <c r="J450" s="322"/>
      <c r="K450" s="554"/>
      <c r="L450" s="65"/>
      <c r="M450" s="65"/>
      <c r="N450" s="163"/>
      <c r="O450" s="243"/>
      <c r="P450" s="215"/>
      <c r="Q450" s="65"/>
      <c r="R450" s="65"/>
      <c r="V450" s="550"/>
    </row>
    <row r="451" spans="1:22">
      <c r="A451" s="1"/>
      <c r="B451" s="88"/>
      <c r="C451" s="552"/>
      <c r="D451" s="553"/>
      <c r="E451" s="158"/>
      <c r="F451" s="158"/>
      <c r="G451" s="159"/>
      <c r="H451" s="215"/>
      <c r="I451" s="215"/>
      <c r="J451" s="322"/>
      <c r="K451" s="554"/>
      <c r="L451" s="65"/>
      <c r="M451" s="65"/>
      <c r="N451" s="163"/>
      <c r="O451" s="243"/>
      <c r="P451" s="215"/>
      <c r="Q451" s="65"/>
      <c r="R451" s="65"/>
      <c r="V451" s="550"/>
    </row>
    <row r="452" spans="1:22">
      <c r="A452" s="1"/>
      <c r="B452" s="88"/>
      <c r="C452" s="552"/>
      <c r="D452" s="553"/>
      <c r="E452" s="158"/>
      <c r="F452" s="158"/>
      <c r="G452" s="159"/>
      <c r="H452" s="215"/>
      <c r="I452" s="215"/>
      <c r="J452" s="322"/>
      <c r="K452" s="554"/>
      <c r="L452" s="65"/>
      <c r="M452" s="65"/>
      <c r="N452" s="163"/>
      <c r="O452" s="243"/>
      <c r="P452" s="215"/>
      <c r="Q452" s="65"/>
      <c r="R452" s="65"/>
      <c r="V452" s="550"/>
    </row>
    <row r="453" spans="1:22">
      <c r="A453" s="1"/>
      <c r="B453" s="88"/>
      <c r="C453" s="552"/>
      <c r="D453" s="553"/>
      <c r="E453" s="158"/>
      <c r="F453" s="158"/>
      <c r="G453" s="159"/>
      <c r="H453" s="215"/>
      <c r="I453" s="215"/>
      <c r="J453" s="322"/>
      <c r="K453" s="554"/>
      <c r="L453" s="65"/>
      <c r="M453" s="65"/>
      <c r="N453" s="163"/>
      <c r="O453" s="243"/>
      <c r="P453" s="215"/>
      <c r="Q453" s="65"/>
      <c r="R453" s="65"/>
      <c r="V453" s="550"/>
    </row>
    <row r="454" spans="1:22">
      <c r="A454" s="1"/>
      <c r="B454" s="88"/>
      <c r="C454" s="552"/>
      <c r="D454" s="553"/>
      <c r="E454" s="158"/>
      <c r="F454" s="158"/>
      <c r="G454" s="159"/>
      <c r="H454" s="215"/>
      <c r="I454" s="215"/>
      <c r="J454" s="322"/>
      <c r="K454" s="554"/>
      <c r="L454" s="65"/>
      <c r="M454" s="65"/>
      <c r="N454" s="163"/>
      <c r="O454" s="243"/>
      <c r="P454" s="215"/>
      <c r="Q454" s="65"/>
      <c r="R454" s="65"/>
      <c r="V454" s="550"/>
    </row>
    <row r="455" spans="1:22">
      <c r="A455" s="1"/>
      <c r="B455" s="88"/>
      <c r="C455" s="552"/>
      <c r="D455" s="553"/>
      <c r="E455" s="158"/>
      <c r="F455" s="158"/>
      <c r="G455" s="159"/>
      <c r="H455" s="215"/>
      <c r="I455" s="215"/>
      <c r="J455" s="322"/>
      <c r="K455" s="554"/>
      <c r="L455" s="65"/>
      <c r="M455" s="65"/>
      <c r="N455" s="163"/>
      <c r="O455" s="243"/>
      <c r="P455" s="215"/>
      <c r="Q455" s="65"/>
      <c r="R455" s="65"/>
      <c r="V455" s="550"/>
    </row>
    <row r="456" spans="1:22">
      <c r="A456" s="1"/>
      <c r="B456" s="88"/>
      <c r="C456" s="552"/>
      <c r="D456" s="553"/>
      <c r="E456" s="158"/>
      <c r="F456" s="158"/>
      <c r="G456" s="159"/>
      <c r="H456" s="215"/>
      <c r="I456" s="215"/>
      <c r="J456" s="322"/>
      <c r="K456" s="554"/>
      <c r="L456" s="65"/>
      <c r="M456" s="65"/>
      <c r="N456" s="163"/>
      <c r="O456" s="243"/>
      <c r="P456" s="215"/>
      <c r="Q456" s="65"/>
      <c r="R456" s="65"/>
      <c r="V456" s="550"/>
    </row>
    <row r="457" spans="1:22">
      <c r="A457" s="1"/>
      <c r="B457" s="88"/>
      <c r="C457" s="552"/>
      <c r="D457" s="553"/>
      <c r="E457" s="158"/>
      <c r="F457" s="158"/>
      <c r="G457" s="159"/>
      <c r="H457" s="215"/>
      <c r="I457" s="215"/>
      <c r="J457" s="322"/>
      <c r="K457" s="554"/>
      <c r="L457" s="65"/>
      <c r="M457" s="65"/>
      <c r="N457" s="163"/>
      <c r="O457" s="243"/>
      <c r="P457" s="215"/>
      <c r="Q457" s="65"/>
      <c r="R457" s="65"/>
      <c r="V457" s="550"/>
    </row>
    <row r="458" spans="1:22">
      <c r="A458" s="1"/>
      <c r="B458" s="88"/>
      <c r="C458" s="552"/>
      <c r="D458" s="553"/>
      <c r="E458" s="158"/>
      <c r="F458" s="158"/>
      <c r="G458" s="159"/>
      <c r="H458" s="215"/>
      <c r="I458" s="215"/>
      <c r="J458" s="322"/>
      <c r="K458" s="554"/>
      <c r="L458" s="65"/>
      <c r="M458" s="65"/>
      <c r="N458" s="163"/>
      <c r="O458" s="243"/>
      <c r="P458" s="215"/>
      <c r="Q458" s="65"/>
      <c r="R458" s="65"/>
      <c r="V458" s="550"/>
    </row>
    <row r="459" spans="1:22">
      <c r="A459" s="1"/>
      <c r="B459" s="88"/>
      <c r="C459" s="552"/>
      <c r="D459" s="553"/>
      <c r="E459" s="158"/>
      <c r="F459" s="158"/>
      <c r="G459" s="159"/>
      <c r="H459" s="215"/>
      <c r="I459" s="215"/>
      <c r="J459" s="322"/>
      <c r="K459" s="554"/>
      <c r="L459" s="65"/>
      <c r="M459" s="65"/>
      <c r="N459" s="163"/>
      <c r="O459" s="243"/>
      <c r="P459" s="215"/>
      <c r="Q459" s="65"/>
      <c r="R459" s="65"/>
      <c r="V459" s="550"/>
    </row>
    <row r="460" spans="1:22">
      <c r="A460" s="1"/>
      <c r="B460" s="88"/>
      <c r="C460" s="552"/>
      <c r="D460" s="553"/>
      <c r="E460" s="158"/>
      <c r="F460" s="158"/>
      <c r="G460" s="159"/>
      <c r="H460" s="215"/>
      <c r="I460" s="215"/>
      <c r="J460" s="322"/>
      <c r="K460" s="554"/>
      <c r="L460" s="65"/>
      <c r="M460" s="65"/>
      <c r="N460" s="163"/>
      <c r="O460" s="243"/>
      <c r="P460" s="215"/>
      <c r="Q460" s="65"/>
      <c r="R460" s="65"/>
      <c r="V460" s="550"/>
    </row>
    <row r="461" spans="1:22">
      <c r="A461" s="1"/>
      <c r="B461" s="88"/>
      <c r="C461" s="552"/>
      <c r="D461" s="553"/>
      <c r="E461" s="158"/>
      <c r="F461" s="158"/>
      <c r="G461" s="159"/>
      <c r="H461" s="215"/>
      <c r="I461" s="215"/>
      <c r="J461" s="322"/>
      <c r="K461" s="554"/>
      <c r="L461" s="65"/>
      <c r="M461" s="65"/>
      <c r="N461" s="163"/>
      <c r="O461" s="243"/>
      <c r="P461" s="215"/>
      <c r="Q461" s="65"/>
      <c r="R461" s="65"/>
      <c r="V461" s="550"/>
    </row>
    <row r="462" spans="1:22">
      <c r="A462" s="1"/>
      <c r="B462" s="88"/>
      <c r="C462" s="552"/>
      <c r="D462" s="553"/>
      <c r="E462" s="158"/>
      <c r="F462" s="158"/>
      <c r="G462" s="159"/>
      <c r="H462" s="215"/>
      <c r="I462" s="215"/>
      <c r="J462" s="322"/>
      <c r="K462" s="554"/>
      <c r="L462" s="65"/>
      <c r="M462" s="65"/>
      <c r="N462" s="163"/>
      <c r="O462" s="243"/>
      <c r="P462" s="215"/>
      <c r="Q462" s="65"/>
      <c r="R462" s="65"/>
      <c r="V462" s="550"/>
    </row>
    <row r="463" spans="1:22">
      <c r="A463" s="1"/>
      <c r="B463" s="88"/>
      <c r="C463" s="552"/>
      <c r="D463" s="553"/>
      <c r="E463" s="158"/>
      <c r="F463" s="158"/>
      <c r="G463" s="159"/>
      <c r="H463" s="215"/>
      <c r="I463" s="215"/>
      <c r="J463" s="322"/>
      <c r="K463" s="554"/>
      <c r="L463" s="65"/>
      <c r="M463" s="65"/>
      <c r="N463" s="163"/>
      <c r="O463" s="243"/>
      <c r="P463" s="215"/>
      <c r="Q463" s="65"/>
      <c r="R463" s="65"/>
      <c r="V463" s="550"/>
    </row>
    <row r="464" spans="1:22">
      <c r="A464" s="1"/>
      <c r="B464" s="88"/>
      <c r="C464" s="552"/>
      <c r="D464" s="553"/>
      <c r="E464" s="158"/>
      <c r="F464" s="158"/>
      <c r="G464" s="159"/>
      <c r="H464" s="215"/>
      <c r="I464" s="215"/>
      <c r="J464" s="322"/>
      <c r="K464" s="554"/>
      <c r="L464" s="65"/>
      <c r="M464" s="65"/>
      <c r="N464" s="163"/>
      <c r="O464" s="243"/>
      <c r="P464" s="215"/>
      <c r="Q464" s="65"/>
      <c r="R464" s="65"/>
      <c r="V464" s="550"/>
    </row>
    <row r="465" spans="1:22">
      <c r="A465" s="1"/>
      <c r="B465" s="88"/>
      <c r="C465" s="552"/>
      <c r="D465" s="553"/>
      <c r="E465" s="158"/>
      <c r="F465" s="158"/>
      <c r="G465" s="159"/>
      <c r="H465" s="215"/>
      <c r="I465" s="215"/>
      <c r="J465" s="322"/>
      <c r="K465" s="554"/>
      <c r="L465" s="65"/>
      <c r="M465" s="65"/>
      <c r="N465" s="163"/>
      <c r="O465" s="243"/>
      <c r="P465" s="215"/>
      <c r="Q465" s="65"/>
      <c r="R465" s="65"/>
      <c r="V465" s="550"/>
    </row>
    <row r="466" spans="1:22">
      <c r="A466" s="1"/>
      <c r="B466" s="88"/>
      <c r="C466" s="552"/>
      <c r="D466" s="553"/>
      <c r="E466" s="158"/>
      <c r="F466" s="158"/>
      <c r="G466" s="159"/>
      <c r="H466" s="215"/>
      <c r="I466" s="215"/>
      <c r="J466" s="322"/>
      <c r="K466" s="554"/>
      <c r="L466" s="65"/>
      <c r="M466" s="65"/>
      <c r="N466" s="163"/>
      <c r="O466" s="243"/>
      <c r="P466" s="215"/>
      <c r="Q466" s="65"/>
      <c r="R466" s="65"/>
      <c r="V466" s="550"/>
    </row>
    <row r="467" spans="1:22">
      <c r="A467" s="1"/>
      <c r="B467" s="88"/>
      <c r="C467" s="552"/>
      <c r="D467" s="553"/>
      <c r="E467" s="158"/>
      <c r="F467" s="158"/>
      <c r="G467" s="159"/>
      <c r="H467" s="215"/>
      <c r="I467" s="215"/>
      <c r="J467" s="322"/>
      <c r="K467" s="554"/>
      <c r="L467" s="65"/>
      <c r="M467" s="65"/>
      <c r="N467" s="163"/>
      <c r="O467" s="243"/>
      <c r="P467" s="215"/>
      <c r="Q467" s="65"/>
      <c r="R467" s="65"/>
      <c r="V467" s="550"/>
    </row>
    <row r="468" spans="1:22">
      <c r="A468" s="1"/>
      <c r="B468" s="88"/>
      <c r="C468" s="552"/>
      <c r="D468" s="553"/>
      <c r="E468" s="158"/>
      <c r="F468" s="158"/>
      <c r="G468" s="159"/>
      <c r="H468" s="215"/>
      <c r="I468" s="215"/>
      <c r="J468" s="322"/>
      <c r="K468" s="554"/>
      <c r="L468" s="65"/>
      <c r="M468" s="65"/>
      <c r="N468" s="163"/>
      <c r="O468" s="243"/>
      <c r="P468" s="215"/>
      <c r="Q468" s="65"/>
      <c r="R468" s="65"/>
      <c r="V468" s="550"/>
    </row>
    <row r="469" spans="1:22">
      <c r="A469" s="1"/>
      <c r="B469" s="88"/>
      <c r="C469" s="552"/>
      <c r="D469" s="553"/>
      <c r="E469" s="158"/>
      <c r="F469" s="158"/>
      <c r="G469" s="159"/>
      <c r="H469" s="215"/>
      <c r="I469" s="215"/>
      <c r="J469" s="322"/>
      <c r="K469" s="554"/>
      <c r="L469" s="65"/>
      <c r="M469" s="65"/>
      <c r="N469" s="163"/>
      <c r="O469" s="243"/>
      <c r="P469" s="215"/>
      <c r="Q469" s="65"/>
      <c r="R469" s="65"/>
      <c r="V469" s="550"/>
    </row>
    <row r="470" spans="1:22">
      <c r="A470" s="1"/>
      <c r="B470" s="88"/>
      <c r="C470" s="552"/>
      <c r="D470" s="553"/>
      <c r="E470" s="158"/>
      <c r="F470" s="158"/>
      <c r="G470" s="159"/>
      <c r="H470" s="215"/>
      <c r="I470" s="215"/>
      <c r="J470" s="322"/>
      <c r="K470" s="554"/>
      <c r="L470" s="65"/>
      <c r="M470" s="65"/>
      <c r="N470" s="163"/>
      <c r="O470" s="243"/>
      <c r="P470" s="215"/>
      <c r="Q470" s="65"/>
      <c r="R470" s="65"/>
      <c r="V470" s="550"/>
    </row>
    <row r="471" spans="1:22">
      <c r="A471" s="1"/>
      <c r="B471" s="88"/>
      <c r="C471" s="552"/>
      <c r="D471" s="553"/>
      <c r="E471" s="158"/>
      <c r="F471" s="158"/>
      <c r="G471" s="159"/>
      <c r="H471" s="215"/>
      <c r="I471" s="215"/>
      <c r="J471" s="322"/>
      <c r="K471" s="554"/>
      <c r="L471" s="65"/>
      <c r="M471" s="65"/>
      <c r="N471" s="163"/>
      <c r="O471" s="243"/>
      <c r="P471" s="215"/>
      <c r="Q471" s="65"/>
      <c r="R471" s="65"/>
      <c r="V471" s="550"/>
    </row>
    <row r="472" spans="1:22">
      <c r="A472" s="1"/>
      <c r="B472" s="88"/>
      <c r="C472" s="552"/>
      <c r="D472" s="553"/>
      <c r="E472" s="158"/>
      <c r="F472" s="158"/>
      <c r="G472" s="159"/>
      <c r="H472" s="215"/>
      <c r="I472" s="215"/>
      <c r="J472" s="322"/>
      <c r="K472" s="554"/>
      <c r="L472" s="65"/>
      <c r="M472" s="65"/>
      <c r="N472" s="163"/>
      <c r="O472" s="243"/>
      <c r="P472" s="215"/>
      <c r="Q472" s="65"/>
      <c r="R472" s="65"/>
      <c r="V472" s="550"/>
    </row>
    <row r="473" spans="1:22">
      <c r="A473" s="1"/>
      <c r="B473" s="88"/>
      <c r="C473" s="552"/>
      <c r="D473" s="553"/>
      <c r="E473" s="158"/>
      <c r="F473" s="158"/>
      <c r="G473" s="159"/>
      <c r="H473" s="215"/>
      <c r="I473" s="215"/>
      <c r="J473" s="322"/>
      <c r="K473" s="554"/>
      <c r="L473" s="65"/>
      <c r="M473" s="65"/>
      <c r="N473" s="163"/>
      <c r="O473" s="243"/>
      <c r="P473" s="215"/>
      <c r="Q473" s="65"/>
      <c r="R473" s="65"/>
      <c r="V473" s="550"/>
    </row>
    <row r="474" spans="1:22">
      <c r="A474" s="1"/>
      <c r="B474" s="88"/>
      <c r="C474" s="552"/>
      <c r="D474" s="553"/>
      <c r="E474" s="158"/>
      <c r="F474" s="158"/>
      <c r="G474" s="159"/>
      <c r="H474" s="215"/>
      <c r="I474" s="215"/>
      <c r="J474" s="322"/>
      <c r="K474" s="554"/>
      <c r="L474" s="65"/>
      <c r="M474" s="65"/>
      <c r="N474" s="163"/>
      <c r="O474" s="243"/>
      <c r="P474" s="215"/>
      <c r="Q474" s="65"/>
      <c r="R474" s="65"/>
      <c r="V474" s="550"/>
    </row>
    <row r="475" spans="1:22">
      <c r="A475" s="1"/>
      <c r="B475" s="88"/>
      <c r="C475" s="552"/>
      <c r="D475" s="553"/>
      <c r="E475" s="158"/>
      <c r="F475" s="158"/>
      <c r="G475" s="159"/>
      <c r="H475" s="215"/>
      <c r="I475" s="215"/>
      <c r="J475" s="322"/>
      <c r="K475" s="554"/>
      <c r="L475" s="65"/>
      <c r="M475" s="65"/>
      <c r="N475" s="163"/>
      <c r="O475" s="243"/>
      <c r="P475" s="215"/>
      <c r="Q475" s="65"/>
      <c r="R475" s="65"/>
      <c r="V475" s="550"/>
    </row>
    <row r="476" spans="1:22">
      <c r="A476" s="1"/>
      <c r="B476" s="88"/>
      <c r="C476" s="552"/>
      <c r="D476" s="553"/>
      <c r="E476" s="158"/>
      <c r="F476" s="158"/>
      <c r="G476" s="159"/>
      <c r="H476" s="215"/>
      <c r="I476" s="215"/>
      <c r="J476" s="322"/>
      <c r="K476" s="554"/>
      <c r="L476" s="65"/>
      <c r="M476" s="65"/>
      <c r="N476" s="163"/>
      <c r="O476" s="243"/>
      <c r="P476" s="215"/>
      <c r="Q476" s="65"/>
      <c r="R476" s="65"/>
      <c r="V476" s="550"/>
    </row>
    <row r="477" spans="1:22">
      <c r="A477" s="1"/>
      <c r="B477" s="88"/>
      <c r="C477" s="552"/>
      <c r="D477" s="553"/>
      <c r="E477" s="158"/>
      <c r="F477" s="158"/>
      <c r="G477" s="159"/>
      <c r="H477" s="215"/>
      <c r="I477" s="215"/>
      <c r="J477" s="322"/>
      <c r="K477" s="554"/>
      <c r="L477" s="65"/>
      <c r="M477" s="65"/>
      <c r="N477" s="163"/>
      <c r="O477" s="243"/>
      <c r="P477" s="215"/>
      <c r="Q477" s="65"/>
      <c r="R477" s="65"/>
      <c r="V477" s="550"/>
    </row>
    <row r="478" spans="1:22">
      <c r="A478" s="1"/>
      <c r="B478" s="88"/>
      <c r="C478" s="552"/>
      <c r="D478" s="553"/>
      <c r="E478" s="158"/>
      <c r="F478" s="158"/>
      <c r="G478" s="159"/>
      <c r="H478" s="215"/>
      <c r="I478" s="215"/>
      <c r="J478" s="322"/>
      <c r="K478" s="554"/>
      <c r="L478" s="65"/>
      <c r="M478" s="65"/>
      <c r="N478" s="163"/>
      <c r="O478" s="243"/>
      <c r="P478" s="215"/>
      <c r="Q478" s="65"/>
      <c r="R478" s="65"/>
      <c r="V478" s="550"/>
    </row>
    <row r="479" spans="1:22">
      <c r="A479" s="1"/>
      <c r="B479" s="88"/>
      <c r="C479" s="552"/>
      <c r="D479" s="553"/>
      <c r="E479" s="158"/>
      <c r="F479" s="158"/>
      <c r="G479" s="159"/>
      <c r="H479" s="215"/>
      <c r="I479" s="215"/>
      <c r="J479" s="322"/>
      <c r="K479" s="554"/>
      <c r="L479" s="65"/>
      <c r="M479" s="65"/>
      <c r="N479" s="163"/>
      <c r="O479" s="243"/>
      <c r="P479" s="215"/>
      <c r="Q479" s="65"/>
      <c r="R479" s="65"/>
      <c r="V479" s="550"/>
    </row>
    <row r="480" spans="1:22">
      <c r="A480" s="1"/>
      <c r="B480" s="88"/>
      <c r="C480" s="552"/>
      <c r="D480" s="553"/>
      <c r="E480" s="158"/>
      <c r="F480" s="158"/>
      <c r="G480" s="159"/>
      <c r="H480" s="215"/>
      <c r="I480" s="215"/>
      <c r="J480" s="322"/>
      <c r="K480" s="554"/>
      <c r="L480" s="65"/>
      <c r="M480" s="65"/>
      <c r="N480" s="163"/>
      <c r="O480" s="243"/>
      <c r="P480" s="215"/>
      <c r="Q480" s="65"/>
      <c r="R480" s="65"/>
      <c r="V480" s="550"/>
    </row>
    <row r="481" spans="1:22">
      <c r="A481" s="1"/>
      <c r="B481" s="88"/>
      <c r="C481" s="552"/>
      <c r="D481" s="553"/>
      <c r="E481" s="158"/>
      <c r="F481" s="158"/>
      <c r="G481" s="159"/>
      <c r="H481" s="215"/>
      <c r="I481" s="215"/>
      <c r="J481" s="322"/>
      <c r="K481" s="554"/>
      <c r="L481" s="65"/>
      <c r="M481" s="65"/>
      <c r="N481" s="163"/>
      <c r="O481" s="243"/>
      <c r="P481" s="215"/>
      <c r="Q481" s="65"/>
      <c r="R481" s="65"/>
      <c r="V481" s="550"/>
    </row>
    <row r="482" spans="1:22">
      <c r="A482" s="1"/>
      <c r="B482" s="88"/>
      <c r="C482" s="552"/>
      <c r="D482" s="553"/>
      <c r="E482" s="158"/>
      <c r="F482" s="158"/>
      <c r="G482" s="159"/>
      <c r="H482" s="215"/>
      <c r="I482" s="215"/>
      <c r="J482" s="322"/>
      <c r="K482" s="554"/>
      <c r="L482" s="65"/>
      <c r="M482" s="65"/>
      <c r="N482" s="163"/>
      <c r="O482" s="243"/>
      <c r="P482" s="215"/>
      <c r="Q482" s="65"/>
      <c r="R482" s="65"/>
      <c r="V482" s="550"/>
    </row>
    <row r="483" spans="1:22">
      <c r="A483" s="1"/>
      <c r="B483" s="88"/>
      <c r="C483" s="552"/>
      <c r="D483" s="553"/>
      <c r="E483" s="158"/>
      <c r="F483" s="158"/>
      <c r="G483" s="159"/>
      <c r="H483" s="215"/>
      <c r="I483" s="215"/>
      <c r="J483" s="322"/>
      <c r="K483" s="554"/>
      <c r="L483" s="65"/>
      <c r="M483" s="65"/>
      <c r="N483" s="163"/>
      <c r="O483" s="243"/>
      <c r="P483" s="215"/>
      <c r="Q483" s="65"/>
      <c r="R483" s="65"/>
      <c r="V483" s="550"/>
    </row>
    <row r="484" spans="1:22">
      <c r="A484" s="1"/>
      <c r="B484" s="88"/>
      <c r="C484" s="552"/>
      <c r="D484" s="553"/>
      <c r="E484" s="158"/>
      <c r="F484" s="158"/>
      <c r="G484" s="159"/>
      <c r="H484" s="215"/>
      <c r="I484" s="215"/>
      <c r="J484" s="322"/>
      <c r="K484" s="554"/>
      <c r="L484" s="65"/>
      <c r="M484" s="65"/>
      <c r="N484" s="163"/>
      <c r="O484" s="243"/>
      <c r="P484" s="215"/>
      <c r="Q484" s="65"/>
      <c r="R484" s="65"/>
      <c r="V484" s="550"/>
    </row>
    <row r="485" spans="1:22">
      <c r="A485" s="1"/>
      <c r="B485" s="88"/>
      <c r="C485" s="552"/>
      <c r="D485" s="553"/>
      <c r="E485" s="158"/>
      <c r="F485" s="158"/>
      <c r="G485" s="159"/>
      <c r="H485" s="215"/>
      <c r="I485" s="215"/>
      <c r="J485" s="322"/>
      <c r="K485" s="554"/>
      <c r="L485" s="65"/>
      <c r="M485" s="65"/>
      <c r="N485" s="163"/>
      <c r="O485" s="243"/>
      <c r="P485" s="215"/>
      <c r="Q485" s="65"/>
      <c r="R485" s="65"/>
      <c r="V485" s="550"/>
    </row>
    <row r="486" spans="1:22">
      <c r="A486" s="1"/>
      <c r="B486" s="88"/>
      <c r="C486" s="552"/>
      <c r="D486" s="553"/>
      <c r="E486" s="158"/>
      <c r="F486" s="158"/>
      <c r="G486" s="159"/>
      <c r="H486" s="215"/>
      <c r="I486" s="215"/>
      <c r="J486" s="322"/>
      <c r="K486" s="554"/>
      <c r="L486" s="65"/>
      <c r="M486" s="65"/>
      <c r="N486" s="163"/>
      <c r="O486" s="243"/>
      <c r="P486" s="215"/>
      <c r="Q486" s="65"/>
      <c r="R486" s="65"/>
      <c r="V486" s="550"/>
    </row>
    <row r="487" spans="1:22">
      <c r="A487" s="1"/>
      <c r="B487" s="88"/>
      <c r="C487" s="552"/>
      <c r="D487" s="553"/>
      <c r="E487" s="158"/>
      <c r="F487" s="158"/>
      <c r="G487" s="159"/>
      <c r="H487" s="215"/>
      <c r="I487" s="215"/>
      <c r="J487" s="322"/>
      <c r="K487" s="554"/>
      <c r="L487" s="65"/>
      <c r="M487" s="65"/>
      <c r="N487" s="163"/>
      <c r="O487" s="243"/>
      <c r="P487" s="215"/>
      <c r="Q487" s="65"/>
      <c r="R487" s="65"/>
      <c r="V487" s="550"/>
    </row>
    <row r="488" spans="1:22">
      <c r="A488" s="1"/>
      <c r="B488" s="88"/>
      <c r="C488" s="552"/>
      <c r="D488" s="553"/>
      <c r="E488" s="158"/>
      <c r="F488" s="158"/>
      <c r="G488" s="159"/>
      <c r="H488" s="215"/>
      <c r="I488" s="215"/>
      <c r="J488" s="322"/>
      <c r="K488" s="554"/>
      <c r="L488" s="65"/>
      <c r="M488" s="65"/>
      <c r="N488" s="163"/>
      <c r="O488" s="243"/>
      <c r="P488" s="215"/>
      <c r="Q488" s="65"/>
      <c r="R488" s="65"/>
      <c r="V488" s="550"/>
    </row>
    <row r="489" spans="1:22">
      <c r="A489" s="1"/>
      <c r="B489" s="88"/>
      <c r="C489" s="552"/>
      <c r="D489" s="553"/>
      <c r="E489" s="158"/>
      <c r="F489" s="158"/>
      <c r="G489" s="159"/>
      <c r="H489" s="215"/>
      <c r="I489" s="215"/>
      <c r="J489" s="322"/>
      <c r="K489" s="554"/>
      <c r="L489" s="65"/>
      <c r="M489" s="65"/>
      <c r="N489" s="163"/>
      <c r="O489" s="243"/>
      <c r="P489" s="215"/>
      <c r="Q489" s="65"/>
      <c r="R489" s="65"/>
      <c r="V489" s="550"/>
    </row>
    <row r="490" spans="1:22">
      <c r="A490" s="1"/>
      <c r="B490" s="88"/>
      <c r="C490" s="552"/>
      <c r="D490" s="553"/>
      <c r="E490" s="158"/>
      <c r="F490" s="158"/>
      <c r="G490" s="159"/>
      <c r="H490" s="215"/>
      <c r="I490" s="215"/>
      <c r="J490" s="322"/>
      <c r="K490" s="554"/>
      <c r="L490" s="65"/>
      <c r="M490" s="65"/>
      <c r="N490" s="163"/>
      <c r="O490" s="243"/>
      <c r="P490" s="215"/>
      <c r="Q490" s="65"/>
      <c r="R490" s="65"/>
      <c r="V490" s="550"/>
    </row>
    <row r="491" spans="1:22">
      <c r="A491" s="1"/>
      <c r="B491" s="88"/>
      <c r="C491" s="552"/>
      <c r="D491" s="553"/>
      <c r="E491" s="158"/>
      <c r="F491" s="158"/>
      <c r="G491" s="159"/>
      <c r="H491" s="215"/>
      <c r="I491" s="215"/>
      <c r="J491" s="322"/>
      <c r="K491" s="554"/>
      <c r="L491" s="65"/>
      <c r="M491" s="65"/>
      <c r="N491" s="163"/>
      <c r="O491" s="243"/>
      <c r="P491" s="215"/>
      <c r="Q491" s="65"/>
      <c r="R491" s="65"/>
      <c r="V491" s="550"/>
    </row>
    <row r="492" spans="1:22">
      <c r="A492" s="1"/>
      <c r="B492" s="88"/>
      <c r="C492" s="552"/>
      <c r="D492" s="553"/>
      <c r="E492" s="158"/>
      <c r="F492" s="158"/>
      <c r="G492" s="159"/>
      <c r="H492" s="215"/>
      <c r="I492" s="215"/>
      <c r="J492" s="322"/>
      <c r="K492" s="554"/>
      <c r="L492" s="65"/>
      <c r="M492" s="65"/>
      <c r="N492" s="163"/>
      <c r="O492" s="243"/>
      <c r="P492" s="215"/>
      <c r="Q492" s="65"/>
      <c r="R492" s="65"/>
      <c r="V492" s="550"/>
    </row>
    <row r="493" spans="1:22">
      <c r="A493" s="1"/>
      <c r="B493" s="88"/>
      <c r="C493" s="552"/>
      <c r="D493" s="553"/>
      <c r="E493" s="158"/>
      <c r="F493" s="158"/>
      <c r="G493" s="159"/>
      <c r="H493" s="215"/>
      <c r="I493" s="215"/>
      <c r="J493" s="322"/>
      <c r="K493" s="554"/>
      <c r="L493" s="65"/>
      <c r="M493" s="65"/>
      <c r="N493" s="163"/>
      <c r="O493" s="243"/>
      <c r="P493" s="215"/>
      <c r="Q493" s="65"/>
      <c r="R493" s="65"/>
      <c r="V493" s="550"/>
    </row>
    <row r="494" spans="1:22">
      <c r="A494" s="1"/>
      <c r="B494" s="88"/>
      <c r="C494" s="552"/>
      <c r="D494" s="553"/>
      <c r="E494" s="158"/>
      <c r="F494" s="158"/>
      <c r="G494" s="159"/>
      <c r="H494" s="215"/>
      <c r="I494" s="215"/>
      <c r="J494" s="322"/>
      <c r="K494" s="554"/>
      <c r="L494" s="65"/>
      <c r="M494" s="65"/>
      <c r="N494" s="163"/>
      <c r="O494" s="243"/>
      <c r="P494" s="215"/>
      <c r="Q494" s="65"/>
      <c r="R494" s="65"/>
      <c r="V494" s="550"/>
    </row>
    <row r="495" spans="1:22">
      <c r="A495" s="1"/>
      <c r="B495" s="88"/>
      <c r="C495" s="552"/>
      <c r="D495" s="553"/>
      <c r="E495" s="158"/>
      <c r="F495" s="158"/>
      <c r="G495" s="159"/>
      <c r="H495" s="215"/>
      <c r="I495" s="215"/>
      <c r="J495" s="322"/>
      <c r="K495" s="554"/>
      <c r="L495" s="65"/>
      <c r="M495" s="65"/>
      <c r="N495" s="163"/>
      <c r="O495" s="243"/>
      <c r="P495" s="215"/>
      <c r="Q495" s="65"/>
      <c r="R495" s="65"/>
      <c r="V495" s="550"/>
    </row>
    <row r="496" spans="1:22">
      <c r="A496" s="1"/>
      <c r="B496" s="88"/>
      <c r="C496" s="552"/>
      <c r="D496" s="553"/>
      <c r="E496" s="158"/>
      <c r="F496" s="158"/>
      <c r="G496" s="159"/>
      <c r="H496" s="215"/>
      <c r="I496" s="215"/>
      <c r="J496" s="322"/>
      <c r="K496" s="554"/>
      <c r="L496" s="65"/>
      <c r="M496" s="65"/>
      <c r="N496" s="163"/>
      <c r="O496" s="243"/>
      <c r="P496" s="215"/>
      <c r="Q496" s="65"/>
      <c r="R496" s="65"/>
      <c r="V496" s="550"/>
    </row>
    <row r="497" spans="1:22">
      <c r="A497" s="1"/>
      <c r="B497" s="88"/>
      <c r="C497" s="552"/>
      <c r="D497" s="553"/>
      <c r="E497" s="158"/>
      <c r="F497" s="158"/>
      <c r="G497" s="159"/>
      <c r="H497" s="215"/>
      <c r="I497" s="215"/>
      <c r="J497" s="322"/>
      <c r="K497" s="554"/>
      <c r="L497" s="65"/>
      <c r="M497" s="65"/>
      <c r="N497" s="163"/>
      <c r="O497" s="243"/>
      <c r="P497" s="215"/>
      <c r="Q497" s="65"/>
      <c r="R497" s="65"/>
      <c r="V497" s="550"/>
    </row>
    <row r="498" spans="1:22">
      <c r="A498" s="1"/>
      <c r="B498" s="88"/>
      <c r="C498" s="552"/>
      <c r="D498" s="553"/>
      <c r="E498" s="158"/>
      <c r="F498" s="158"/>
      <c r="G498" s="159"/>
      <c r="H498" s="215"/>
      <c r="I498" s="215"/>
      <c r="J498" s="322"/>
      <c r="K498" s="554"/>
      <c r="L498" s="65"/>
      <c r="M498" s="65"/>
      <c r="N498" s="163"/>
      <c r="O498" s="243"/>
      <c r="P498" s="215"/>
      <c r="Q498" s="65"/>
      <c r="R498" s="65"/>
      <c r="V498" s="550"/>
    </row>
    <row r="499" spans="1:22">
      <c r="A499" s="1"/>
      <c r="B499" s="88"/>
      <c r="C499" s="552"/>
      <c r="D499" s="553"/>
      <c r="E499" s="158"/>
      <c r="F499" s="158"/>
      <c r="G499" s="159"/>
      <c r="H499" s="215"/>
      <c r="I499" s="215"/>
      <c r="J499" s="322"/>
      <c r="K499" s="554"/>
      <c r="L499" s="65"/>
      <c r="M499" s="65"/>
      <c r="N499" s="163"/>
      <c r="O499" s="243"/>
      <c r="P499" s="215"/>
      <c r="Q499" s="65"/>
      <c r="R499" s="65"/>
      <c r="V499" s="550"/>
    </row>
    <row r="500" spans="1:22">
      <c r="A500" s="1"/>
      <c r="B500" s="88"/>
      <c r="C500" s="552"/>
      <c r="D500" s="553"/>
      <c r="E500" s="158"/>
      <c r="F500" s="158"/>
      <c r="G500" s="159"/>
      <c r="H500" s="215"/>
      <c r="I500" s="215"/>
      <c r="J500" s="322"/>
      <c r="K500" s="554"/>
      <c r="L500" s="65"/>
      <c r="M500" s="65"/>
      <c r="N500" s="163"/>
      <c r="O500" s="243"/>
      <c r="P500" s="215"/>
      <c r="Q500" s="65"/>
      <c r="R500" s="65"/>
      <c r="V500" s="550"/>
    </row>
    <row r="501" spans="1:22">
      <c r="A501" s="1"/>
      <c r="B501" s="88"/>
      <c r="C501" s="552"/>
      <c r="D501" s="553"/>
      <c r="E501" s="158"/>
      <c r="F501" s="158"/>
      <c r="G501" s="159"/>
      <c r="H501" s="215"/>
      <c r="I501" s="215"/>
      <c r="J501" s="322"/>
      <c r="K501" s="554"/>
      <c r="L501" s="65"/>
      <c r="M501" s="65"/>
      <c r="N501" s="163"/>
      <c r="O501" s="243"/>
      <c r="P501" s="215"/>
      <c r="Q501" s="65"/>
      <c r="R501" s="65"/>
      <c r="V501" s="550"/>
    </row>
    <row r="502" spans="1:22">
      <c r="A502" s="1"/>
      <c r="B502" s="88"/>
      <c r="C502" s="552"/>
      <c r="D502" s="553"/>
      <c r="E502" s="158"/>
      <c r="F502" s="158"/>
      <c r="G502" s="159"/>
      <c r="H502" s="215"/>
      <c r="I502" s="215"/>
      <c r="J502" s="322"/>
      <c r="K502" s="554"/>
      <c r="L502" s="65"/>
      <c r="M502" s="65"/>
      <c r="N502" s="163"/>
      <c r="O502" s="243"/>
      <c r="P502" s="215"/>
      <c r="Q502" s="65"/>
      <c r="R502" s="65"/>
      <c r="V502" s="550"/>
    </row>
    <row r="503" spans="1:22">
      <c r="A503" s="1"/>
      <c r="B503" s="88"/>
      <c r="C503" s="552"/>
      <c r="D503" s="553"/>
      <c r="E503" s="158"/>
      <c r="F503" s="158"/>
      <c r="G503" s="159"/>
      <c r="H503" s="215"/>
      <c r="I503" s="215"/>
      <c r="J503" s="322"/>
      <c r="K503" s="554"/>
      <c r="L503" s="65"/>
      <c r="M503" s="65"/>
      <c r="N503" s="163"/>
      <c r="O503" s="243"/>
      <c r="P503" s="215"/>
      <c r="Q503" s="65"/>
      <c r="R503" s="65"/>
      <c r="V503" s="550"/>
    </row>
    <row r="504" spans="1:22">
      <c r="A504" s="1"/>
      <c r="B504" s="88"/>
      <c r="C504" s="552"/>
      <c r="D504" s="553"/>
      <c r="E504" s="158"/>
      <c r="F504" s="158"/>
      <c r="G504" s="159"/>
      <c r="H504" s="215"/>
      <c r="I504" s="215"/>
      <c r="J504" s="322"/>
      <c r="K504" s="554"/>
      <c r="L504" s="65"/>
      <c r="M504" s="65"/>
      <c r="N504" s="163"/>
      <c r="O504" s="243"/>
      <c r="P504" s="215"/>
      <c r="Q504" s="65"/>
      <c r="R504" s="65"/>
      <c r="V504" s="550"/>
    </row>
    <row r="505" spans="1:22">
      <c r="A505" s="1"/>
      <c r="B505" s="88"/>
      <c r="C505" s="552"/>
      <c r="D505" s="553"/>
      <c r="E505" s="158"/>
      <c r="F505" s="158"/>
      <c r="G505" s="159"/>
      <c r="H505" s="215"/>
      <c r="I505" s="215"/>
      <c r="J505" s="322"/>
      <c r="K505" s="554"/>
      <c r="L505" s="65"/>
      <c r="M505" s="65"/>
      <c r="N505" s="163"/>
      <c r="O505" s="243"/>
      <c r="P505" s="215"/>
      <c r="Q505" s="65"/>
      <c r="R505" s="65"/>
      <c r="V505" s="550"/>
    </row>
    <row r="506" spans="1:22">
      <c r="A506" s="1"/>
      <c r="B506" s="88"/>
      <c r="C506" s="552"/>
      <c r="D506" s="553"/>
      <c r="E506" s="158"/>
      <c r="F506" s="158"/>
      <c r="G506" s="159"/>
      <c r="H506" s="215"/>
      <c r="I506" s="215"/>
      <c r="J506" s="322"/>
      <c r="K506" s="554"/>
      <c r="L506" s="65"/>
      <c r="M506" s="65"/>
      <c r="N506" s="163"/>
      <c r="O506" s="243"/>
      <c r="P506" s="215"/>
      <c r="Q506" s="65"/>
      <c r="R506" s="65"/>
      <c r="V506" s="550"/>
    </row>
    <row r="507" spans="1:22">
      <c r="A507" s="1"/>
      <c r="B507" s="88"/>
      <c r="C507" s="552"/>
      <c r="D507" s="553"/>
      <c r="E507" s="158"/>
      <c r="F507" s="158"/>
      <c r="G507" s="159"/>
      <c r="H507" s="215"/>
      <c r="I507" s="215"/>
      <c r="J507" s="322"/>
      <c r="K507" s="554"/>
      <c r="L507" s="65"/>
      <c r="M507" s="65"/>
      <c r="N507" s="163"/>
      <c r="O507" s="243"/>
      <c r="P507" s="215"/>
      <c r="Q507" s="65"/>
      <c r="R507" s="65"/>
      <c r="V507" s="550"/>
    </row>
    <row r="508" spans="1:22">
      <c r="A508" s="1"/>
      <c r="B508" s="88"/>
      <c r="C508" s="552"/>
      <c r="D508" s="553"/>
      <c r="E508" s="158"/>
      <c r="F508" s="158"/>
      <c r="G508" s="159"/>
      <c r="H508" s="215"/>
      <c r="I508" s="215"/>
      <c r="J508" s="322"/>
      <c r="K508" s="554"/>
      <c r="L508" s="65"/>
      <c r="M508" s="65"/>
      <c r="N508" s="163"/>
      <c r="O508" s="243"/>
      <c r="P508" s="215"/>
      <c r="Q508" s="65"/>
      <c r="R508" s="65"/>
      <c r="V508" s="550"/>
    </row>
    <row r="509" spans="1:22">
      <c r="A509" s="1"/>
      <c r="B509" s="88"/>
      <c r="C509" s="552"/>
      <c r="D509" s="553"/>
      <c r="E509" s="158"/>
      <c r="F509" s="158"/>
      <c r="G509" s="159"/>
      <c r="H509" s="215"/>
      <c r="I509" s="215"/>
      <c r="J509" s="322"/>
      <c r="K509" s="554"/>
      <c r="L509" s="65"/>
      <c r="M509" s="65"/>
      <c r="N509" s="163"/>
      <c r="O509" s="243"/>
      <c r="P509" s="215"/>
      <c r="Q509" s="65"/>
      <c r="R509" s="65"/>
      <c r="V509" s="550"/>
    </row>
    <row r="510" spans="1:22">
      <c r="A510" s="1"/>
      <c r="B510" s="88"/>
      <c r="C510" s="552"/>
      <c r="D510" s="553"/>
      <c r="E510" s="158"/>
      <c r="F510" s="158"/>
      <c r="G510" s="159"/>
      <c r="H510" s="215"/>
      <c r="I510" s="215"/>
      <c r="J510" s="322"/>
      <c r="K510" s="554"/>
      <c r="L510" s="65"/>
      <c r="M510" s="65"/>
      <c r="N510" s="163"/>
      <c r="O510" s="243"/>
      <c r="P510" s="215"/>
      <c r="Q510" s="65"/>
      <c r="R510" s="65"/>
      <c r="V510" s="550"/>
    </row>
    <row r="511" spans="1:22">
      <c r="A511" s="1"/>
      <c r="B511" s="88"/>
      <c r="C511" s="552"/>
      <c r="D511" s="553"/>
      <c r="E511" s="158"/>
      <c r="F511" s="158"/>
      <c r="G511" s="159"/>
      <c r="H511" s="215"/>
      <c r="I511" s="215"/>
      <c r="J511" s="322"/>
      <c r="K511" s="554"/>
      <c r="L511" s="65"/>
      <c r="M511" s="65"/>
      <c r="N511" s="163"/>
      <c r="O511" s="243"/>
      <c r="P511" s="215"/>
      <c r="Q511" s="65"/>
      <c r="R511" s="65"/>
      <c r="V511" s="550"/>
    </row>
    <row r="512" spans="1:22">
      <c r="A512" s="1"/>
      <c r="B512" s="88"/>
      <c r="C512" s="552"/>
      <c r="D512" s="553"/>
      <c r="E512" s="158"/>
      <c r="F512" s="158"/>
      <c r="G512" s="159"/>
      <c r="H512" s="215"/>
      <c r="I512" s="215"/>
      <c r="J512" s="322"/>
      <c r="K512" s="554"/>
      <c r="L512" s="65"/>
      <c r="M512" s="65"/>
      <c r="N512" s="163"/>
      <c r="O512" s="243"/>
      <c r="P512" s="215"/>
      <c r="Q512" s="65"/>
      <c r="R512" s="65"/>
      <c r="V512" s="550"/>
    </row>
    <row r="513" spans="1:22">
      <c r="A513" s="1"/>
      <c r="B513" s="88"/>
      <c r="C513" s="552"/>
      <c r="D513" s="553"/>
      <c r="E513" s="158"/>
      <c r="F513" s="158"/>
      <c r="G513" s="159"/>
      <c r="H513" s="215"/>
      <c r="I513" s="215"/>
      <c r="J513" s="322"/>
      <c r="K513" s="554"/>
      <c r="L513" s="65"/>
      <c r="M513" s="65"/>
      <c r="N513" s="163"/>
      <c r="O513" s="243"/>
      <c r="P513" s="215"/>
      <c r="Q513" s="65"/>
      <c r="R513" s="65"/>
      <c r="V513" s="550"/>
    </row>
    <row r="514" spans="1:22">
      <c r="A514" s="1"/>
      <c r="B514" s="88"/>
      <c r="C514" s="552"/>
      <c r="D514" s="553"/>
      <c r="E514" s="158"/>
      <c r="F514" s="158"/>
      <c r="G514" s="159"/>
      <c r="H514" s="215"/>
      <c r="I514" s="215"/>
      <c r="J514" s="322"/>
      <c r="K514" s="554"/>
      <c r="L514" s="65"/>
      <c r="M514" s="65"/>
      <c r="N514" s="163"/>
      <c r="O514" s="243"/>
      <c r="P514" s="215"/>
      <c r="Q514" s="65"/>
      <c r="R514" s="65"/>
      <c r="V514" s="550"/>
    </row>
    <row r="515" spans="1:22">
      <c r="A515" s="1"/>
      <c r="B515" s="88"/>
      <c r="C515" s="552"/>
      <c r="D515" s="553"/>
      <c r="E515" s="158"/>
      <c r="F515" s="158"/>
      <c r="G515" s="159"/>
      <c r="H515" s="215"/>
      <c r="I515" s="215"/>
      <c r="J515" s="322"/>
      <c r="K515" s="554"/>
      <c r="L515" s="65"/>
      <c r="M515" s="65"/>
      <c r="N515" s="163"/>
      <c r="O515" s="243"/>
      <c r="P515" s="215"/>
      <c r="Q515" s="65"/>
      <c r="R515" s="65"/>
      <c r="V515" s="550"/>
    </row>
    <row r="516" spans="1:22">
      <c r="A516" s="1"/>
      <c r="B516" s="88"/>
      <c r="C516" s="552"/>
      <c r="D516" s="553"/>
      <c r="E516" s="158"/>
      <c r="F516" s="158"/>
      <c r="G516" s="159"/>
      <c r="H516" s="215"/>
      <c r="I516" s="215"/>
      <c r="J516" s="322"/>
      <c r="K516" s="554"/>
      <c r="L516" s="65"/>
      <c r="M516" s="65"/>
      <c r="N516" s="163"/>
      <c r="O516" s="243"/>
      <c r="P516" s="215"/>
      <c r="Q516" s="65"/>
      <c r="R516" s="65"/>
      <c r="V516" s="550"/>
    </row>
    <row r="517" spans="1:22">
      <c r="A517" s="1"/>
      <c r="B517" s="88"/>
      <c r="C517" s="552"/>
      <c r="D517" s="553"/>
      <c r="E517" s="158"/>
      <c r="F517" s="158"/>
      <c r="G517" s="159"/>
      <c r="H517" s="215"/>
      <c r="I517" s="215"/>
      <c r="J517" s="322"/>
      <c r="K517" s="554"/>
      <c r="L517" s="65"/>
      <c r="M517" s="65"/>
      <c r="N517" s="163"/>
      <c r="O517" s="243"/>
      <c r="P517" s="215"/>
      <c r="Q517" s="65"/>
      <c r="R517" s="65"/>
      <c r="V517" s="550"/>
    </row>
    <row r="518" spans="1:22">
      <c r="A518" s="1"/>
      <c r="B518" s="88"/>
      <c r="C518" s="552"/>
      <c r="D518" s="553"/>
      <c r="E518" s="158"/>
      <c r="F518" s="158"/>
      <c r="G518" s="159"/>
      <c r="H518" s="215"/>
      <c r="I518" s="215"/>
      <c r="J518" s="322"/>
      <c r="K518" s="554"/>
      <c r="L518" s="65"/>
      <c r="M518" s="65"/>
      <c r="N518" s="163"/>
      <c r="O518" s="243"/>
      <c r="P518" s="215"/>
      <c r="Q518" s="65"/>
      <c r="R518" s="65"/>
      <c r="V518" s="550"/>
    </row>
    <row r="519" spans="1:22">
      <c r="A519" s="1"/>
      <c r="B519" s="88"/>
      <c r="C519" s="552"/>
      <c r="D519" s="553"/>
      <c r="E519" s="158"/>
      <c r="F519" s="158"/>
      <c r="G519" s="159"/>
      <c r="H519" s="215"/>
      <c r="I519" s="215"/>
      <c r="J519" s="322"/>
      <c r="K519" s="554"/>
      <c r="L519" s="65"/>
      <c r="M519" s="65"/>
      <c r="N519" s="163"/>
      <c r="O519" s="243"/>
      <c r="P519" s="215"/>
      <c r="Q519" s="65"/>
      <c r="R519" s="65"/>
      <c r="V519" s="550"/>
    </row>
    <row r="520" spans="1:22">
      <c r="A520" s="1"/>
      <c r="B520" s="88"/>
      <c r="C520" s="552"/>
      <c r="D520" s="553"/>
      <c r="E520" s="158"/>
      <c r="F520" s="158"/>
      <c r="G520" s="159"/>
      <c r="H520" s="215"/>
      <c r="I520" s="215"/>
      <c r="J520" s="322"/>
      <c r="K520" s="554"/>
      <c r="L520" s="65"/>
      <c r="M520" s="65"/>
      <c r="N520" s="163"/>
      <c r="O520" s="243"/>
      <c r="P520" s="215"/>
      <c r="Q520" s="65"/>
      <c r="R520" s="65"/>
      <c r="V520" s="550"/>
    </row>
    <row r="521" spans="1:22">
      <c r="A521" s="1"/>
      <c r="B521" s="88"/>
      <c r="C521" s="552"/>
      <c r="D521" s="553"/>
      <c r="E521" s="158"/>
      <c r="F521" s="158"/>
      <c r="G521" s="159"/>
      <c r="H521" s="215"/>
      <c r="I521" s="215"/>
      <c r="J521" s="322"/>
      <c r="K521" s="554"/>
      <c r="L521" s="65"/>
      <c r="M521" s="65"/>
      <c r="N521" s="163"/>
      <c r="O521" s="243"/>
      <c r="P521" s="215"/>
      <c r="Q521" s="65"/>
      <c r="R521" s="65"/>
      <c r="V521" s="550"/>
    </row>
    <row r="522" spans="1:22">
      <c r="A522" s="1"/>
      <c r="B522" s="88"/>
      <c r="C522" s="552"/>
      <c r="D522" s="553"/>
      <c r="E522" s="158"/>
      <c r="F522" s="158"/>
      <c r="G522" s="159"/>
      <c r="H522" s="215"/>
      <c r="I522" s="215"/>
      <c r="J522" s="322"/>
      <c r="K522" s="554"/>
      <c r="L522" s="65"/>
      <c r="M522" s="65"/>
      <c r="N522" s="163"/>
      <c r="O522" s="243"/>
      <c r="P522" s="215"/>
      <c r="Q522" s="65"/>
      <c r="R522" s="65"/>
      <c r="V522" s="550"/>
    </row>
    <row r="523" spans="1:22">
      <c r="A523" s="1"/>
      <c r="B523" s="88"/>
      <c r="C523" s="552"/>
      <c r="D523" s="553"/>
      <c r="E523" s="158"/>
      <c r="F523" s="158"/>
      <c r="G523" s="159"/>
      <c r="H523" s="215"/>
      <c r="I523" s="215"/>
      <c r="J523" s="322"/>
      <c r="K523" s="554"/>
      <c r="L523" s="65"/>
      <c r="M523" s="65"/>
      <c r="N523" s="163"/>
      <c r="O523" s="243"/>
      <c r="P523" s="215"/>
      <c r="Q523" s="65"/>
      <c r="R523" s="65"/>
      <c r="V523" s="550"/>
    </row>
    <row r="524" spans="1:22">
      <c r="A524" s="1"/>
      <c r="B524" s="88"/>
      <c r="C524" s="552"/>
      <c r="D524" s="553"/>
      <c r="E524" s="158"/>
      <c r="F524" s="158"/>
      <c r="G524" s="159"/>
      <c r="H524" s="215"/>
      <c r="I524" s="215"/>
      <c r="J524" s="322"/>
      <c r="K524" s="554"/>
      <c r="L524" s="65"/>
      <c r="M524" s="65"/>
      <c r="N524" s="163"/>
      <c r="O524" s="243"/>
      <c r="P524" s="215"/>
      <c r="Q524" s="65"/>
      <c r="R524" s="65"/>
      <c r="V524" s="550"/>
    </row>
    <row r="525" spans="1:22">
      <c r="A525" s="1"/>
      <c r="B525" s="88"/>
      <c r="C525" s="552"/>
      <c r="D525" s="553"/>
      <c r="E525" s="158"/>
      <c r="F525" s="158"/>
      <c r="G525" s="159"/>
      <c r="H525" s="215"/>
      <c r="I525" s="215"/>
      <c r="J525" s="322"/>
      <c r="K525" s="554"/>
      <c r="L525" s="65"/>
      <c r="M525" s="65"/>
      <c r="N525" s="163"/>
      <c r="O525" s="243"/>
      <c r="P525" s="215"/>
      <c r="Q525" s="65"/>
      <c r="R525" s="65"/>
      <c r="V525" s="550"/>
    </row>
    <row r="526" spans="1:22">
      <c r="A526" s="1"/>
      <c r="B526" s="88"/>
      <c r="C526" s="552"/>
      <c r="D526" s="553"/>
      <c r="E526" s="158"/>
      <c r="F526" s="158"/>
      <c r="G526" s="159"/>
      <c r="H526" s="215"/>
      <c r="I526" s="215"/>
      <c r="J526" s="322"/>
      <c r="K526" s="554"/>
      <c r="L526" s="65"/>
      <c r="M526" s="65"/>
      <c r="N526" s="163"/>
      <c r="O526" s="243"/>
      <c r="P526" s="215"/>
      <c r="Q526" s="65"/>
      <c r="R526" s="65"/>
      <c r="V526" s="550"/>
    </row>
    <row r="527" spans="1:22">
      <c r="A527" s="1"/>
      <c r="B527" s="88"/>
      <c r="C527" s="552"/>
      <c r="D527" s="553"/>
      <c r="E527" s="158"/>
      <c r="F527" s="158"/>
      <c r="G527" s="159"/>
      <c r="H527" s="215"/>
      <c r="I527" s="215"/>
      <c r="J527" s="322"/>
      <c r="K527" s="554"/>
      <c r="L527" s="65"/>
      <c r="M527" s="65"/>
      <c r="N527" s="163"/>
      <c r="O527" s="243"/>
      <c r="P527" s="215"/>
      <c r="Q527" s="65"/>
      <c r="R527" s="65"/>
      <c r="V527" s="550"/>
    </row>
    <row r="528" spans="1:22">
      <c r="A528" s="1"/>
      <c r="B528" s="88"/>
      <c r="C528" s="552"/>
      <c r="D528" s="553"/>
      <c r="E528" s="158"/>
      <c r="F528" s="158"/>
      <c r="G528" s="159"/>
      <c r="H528" s="215"/>
      <c r="I528" s="215"/>
      <c r="J528" s="322"/>
      <c r="K528" s="554"/>
      <c r="L528" s="65"/>
      <c r="M528" s="65"/>
      <c r="N528" s="163"/>
      <c r="O528" s="243"/>
      <c r="P528" s="215"/>
      <c r="Q528" s="65"/>
      <c r="R528" s="65"/>
      <c r="V528" s="550"/>
    </row>
    <row r="529" spans="1:22">
      <c r="A529" s="1"/>
      <c r="B529" s="88"/>
      <c r="C529" s="552"/>
      <c r="D529" s="553"/>
      <c r="E529" s="158"/>
      <c r="F529" s="158"/>
      <c r="G529" s="159"/>
      <c r="H529" s="215"/>
      <c r="I529" s="215"/>
      <c r="J529" s="322"/>
      <c r="K529" s="554"/>
      <c r="L529" s="65"/>
      <c r="M529" s="65"/>
      <c r="N529" s="163"/>
      <c r="O529" s="243"/>
      <c r="P529" s="215"/>
      <c r="Q529" s="65"/>
      <c r="R529" s="65"/>
      <c r="V529" s="550"/>
    </row>
    <row r="530" spans="1:22">
      <c r="A530" s="1"/>
      <c r="B530" s="88"/>
      <c r="C530" s="552"/>
      <c r="D530" s="553"/>
      <c r="E530" s="158"/>
      <c r="F530" s="158"/>
      <c r="G530" s="159"/>
      <c r="H530" s="215"/>
      <c r="I530" s="215"/>
      <c r="J530" s="322"/>
      <c r="K530" s="554"/>
      <c r="L530" s="65"/>
      <c r="M530" s="65"/>
      <c r="N530" s="163"/>
      <c r="O530" s="243"/>
      <c r="P530" s="215"/>
      <c r="Q530" s="65"/>
      <c r="R530" s="65"/>
      <c r="V530" s="550"/>
    </row>
    <row r="531" spans="1:22">
      <c r="A531" s="1"/>
      <c r="B531" s="88"/>
      <c r="C531" s="552"/>
      <c r="D531" s="553"/>
      <c r="E531" s="158"/>
      <c r="F531" s="158"/>
      <c r="G531" s="159"/>
      <c r="H531" s="215"/>
      <c r="I531" s="215"/>
      <c r="J531" s="322"/>
      <c r="K531" s="554"/>
      <c r="L531" s="65"/>
      <c r="M531" s="65"/>
      <c r="N531" s="163"/>
      <c r="O531" s="243"/>
      <c r="P531" s="215"/>
      <c r="Q531" s="65"/>
      <c r="R531" s="65"/>
      <c r="V531" s="550"/>
    </row>
    <row r="532" spans="1:22">
      <c r="A532" s="1"/>
      <c r="B532" s="88"/>
      <c r="C532" s="552"/>
      <c r="D532" s="553"/>
      <c r="E532" s="158"/>
      <c r="F532" s="158"/>
      <c r="G532" s="159"/>
      <c r="H532" s="215"/>
      <c r="I532" s="215"/>
      <c r="J532" s="322"/>
      <c r="K532" s="554"/>
      <c r="L532" s="65"/>
      <c r="M532" s="65"/>
      <c r="N532" s="163"/>
      <c r="O532" s="243"/>
      <c r="P532" s="215"/>
      <c r="Q532" s="65"/>
      <c r="R532" s="65"/>
      <c r="V532" s="550"/>
    </row>
    <row r="533" spans="1:22">
      <c r="A533" s="1"/>
      <c r="B533" s="88"/>
      <c r="C533" s="552"/>
      <c r="D533" s="553"/>
      <c r="E533" s="158"/>
      <c r="F533" s="158"/>
      <c r="G533" s="159"/>
      <c r="H533" s="215"/>
      <c r="I533" s="215"/>
      <c r="J533" s="322"/>
      <c r="K533" s="554"/>
      <c r="L533" s="65"/>
      <c r="M533" s="65"/>
      <c r="N533" s="163"/>
      <c r="O533" s="243"/>
      <c r="P533" s="215"/>
      <c r="Q533" s="65"/>
      <c r="R533" s="65"/>
      <c r="V533" s="550"/>
    </row>
    <row r="534" spans="1:22">
      <c r="A534" s="1"/>
      <c r="B534" s="88"/>
      <c r="C534" s="552"/>
      <c r="D534" s="553"/>
      <c r="E534" s="158"/>
      <c r="F534" s="158"/>
      <c r="G534" s="159"/>
      <c r="H534" s="215"/>
      <c r="I534" s="215"/>
      <c r="J534" s="322"/>
      <c r="K534" s="554"/>
      <c r="L534" s="65"/>
      <c r="M534" s="65"/>
      <c r="N534" s="163"/>
      <c r="O534" s="243"/>
      <c r="P534" s="215"/>
      <c r="Q534" s="65"/>
      <c r="R534" s="65"/>
      <c r="V534" s="550"/>
    </row>
    <row r="535" spans="1:22">
      <c r="A535" s="1"/>
      <c r="B535" s="88"/>
      <c r="C535" s="552"/>
      <c r="D535" s="553"/>
      <c r="E535" s="158"/>
      <c r="F535" s="158"/>
      <c r="G535" s="159"/>
      <c r="H535" s="215"/>
      <c r="I535" s="215"/>
      <c r="J535" s="322"/>
      <c r="K535" s="554"/>
      <c r="L535" s="65"/>
      <c r="M535" s="65"/>
      <c r="N535" s="163"/>
      <c r="O535" s="243"/>
      <c r="P535" s="215"/>
      <c r="Q535" s="65"/>
      <c r="R535" s="65"/>
      <c r="V535" s="550"/>
    </row>
    <row r="536" spans="1:22">
      <c r="A536" s="1"/>
      <c r="B536" s="88"/>
      <c r="C536" s="552"/>
      <c r="D536" s="553"/>
      <c r="E536" s="158"/>
      <c r="F536" s="158"/>
      <c r="G536" s="159"/>
      <c r="H536" s="215"/>
      <c r="I536" s="215"/>
      <c r="J536" s="322"/>
      <c r="K536" s="554"/>
      <c r="L536" s="65"/>
      <c r="M536" s="65"/>
      <c r="N536" s="163"/>
      <c r="O536" s="243"/>
      <c r="P536" s="215"/>
      <c r="Q536" s="65"/>
      <c r="R536" s="65"/>
      <c r="V536" s="550"/>
    </row>
    <row r="537" spans="1:22">
      <c r="A537" s="1"/>
      <c r="B537" s="88"/>
      <c r="C537" s="552"/>
      <c r="D537" s="553"/>
      <c r="E537" s="158"/>
      <c r="F537" s="158"/>
      <c r="G537" s="159"/>
      <c r="H537" s="215"/>
      <c r="I537" s="215"/>
      <c r="J537" s="322"/>
      <c r="K537" s="554"/>
      <c r="L537" s="65"/>
      <c r="M537" s="65"/>
      <c r="N537" s="163"/>
      <c r="O537" s="243"/>
      <c r="P537" s="215"/>
      <c r="Q537" s="65"/>
      <c r="R537" s="65"/>
      <c r="V537" s="550"/>
    </row>
    <row r="538" spans="1:22">
      <c r="A538" s="1"/>
      <c r="B538" s="88"/>
      <c r="C538" s="552"/>
      <c r="D538" s="553"/>
      <c r="E538" s="158"/>
      <c r="F538" s="158"/>
      <c r="G538" s="159"/>
      <c r="H538" s="215"/>
      <c r="I538" s="215"/>
      <c r="J538" s="322"/>
      <c r="K538" s="554"/>
      <c r="L538" s="65"/>
      <c r="M538" s="65"/>
      <c r="N538" s="163"/>
      <c r="O538" s="243"/>
      <c r="P538" s="215"/>
      <c r="Q538" s="65"/>
      <c r="R538" s="65"/>
      <c r="V538" s="550"/>
    </row>
    <row r="539" spans="1:22">
      <c r="A539" s="1"/>
      <c r="B539" s="88"/>
      <c r="C539" s="552"/>
      <c r="D539" s="553"/>
      <c r="E539" s="158"/>
      <c r="F539" s="158"/>
      <c r="G539" s="159"/>
      <c r="H539" s="215"/>
      <c r="I539" s="215"/>
      <c r="J539" s="322"/>
      <c r="K539" s="554"/>
      <c r="L539" s="65"/>
      <c r="M539" s="65"/>
      <c r="N539" s="163"/>
      <c r="O539" s="243"/>
      <c r="P539" s="215"/>
      <c r="Q539" s="65"/>
      <c r="R539" s="65"/>
      <c r="V539" s="550"/>
    </row>
    <row r="540" spans="1:22">
      <c r="A540" s="1"/>
      <c r="B540" s="88"/>
      <c r="C540" s="552"/>
      <c r="D540" s="553"/>
      <c r="E540" s="158"/>
      <c r="F540" s="158"/>
      <c r="G540" s="159"/>
      <c r="H540" s="215"/>
      <c r="I540" s="215"/>
      <c r="J540" s="322"/>
      <c r="K540" s="554"/>
      <c r="L540" s="65"/>
      <c r="M540" s="65"/>
      <c r="N540" s="163"/>
      <c r="O540" s="243"/>
      <c r="P540" s="215"/>
      <c r="Q540" s="65"/>
      <c r="R540" s="65"/>
      <c r="V540" s="550"/>
    </row>
    <row r="541" spans="1:22">
      <c r="A541" s="1"/>
      <c r="B541" s="88"/>
      <c r="C541" s="552"/>
      <c r="D541" s="553"/>
      <c r="E541" s="158"/>
      <c r="F541" s="158"/>
      <c r="G541" s="159"/>
      <c r="H541" s="215"/>
      <c r="I541" s="215"/>
      <c r="J541" s="322"/>
      <c r="K541" s="554"/>
      <c r="L541" s="65"/>
      <c r="M541" s="65"/>
      <c r="N541" s="163"/>
      <c r="O541" s="243"/>
      <c r="P541" s="215"/>
      <c r="Q541" s="65"/>
      <c r="R541" s="65"/>
      <c r="V541" s="550"/>
    </row>
    <row r="542" spans="1:22">
      <c r="A542" s="1"/>
      <c r="B542" s="88"/>
      <c r="C542" s="552"/>
      <c r="D542" s="553"/>
      <c r="E542" s="158"/>
      <c r="F542" s="158"/>
      <c r="G542" s="159"/>
      <c r="H542" s="215"/>
      <c r="I542" s="215"/>
      <c r="J542" s="322"/>
      <c r="K542" s="554"/>
      <c r="L542" s="65"/>
      <c r="M542" s="65"/>
      <c r="N542" s="163"/>
      <c r="O542" s="243"/>
      <c r="P542" s="215"/>
      <c r="Q542" s="65"/>
      <c r="R542" s="65"/>
      <c r="V542" s="550"/>
    </row>
    <row r="543" spans="1:22">
      <c r="A543" s="1"/>
      <c r="B543" s="88"/>
      <c r="C543" s="552"/>
      <c r="D543" s="553"/>
      <c r="E543" s="158"/>
      <c r="F543" s="158"/>
      <c r="G543" s="159"/>
      <c r="H543" s="215"/>
      <c r="I543" s="215"/>
      <c r="J543" s="322"/>
      <c r="K543" s="554"/>
      <c r="L543" s="65"/>
      <c r="M543" s="65"/>
      <c r="N543" s="163"/>
      <c r="O543" s="243"/>
      <c r="P543" s="215"/>
      <c r="Q543" s="65"/>
      <c r="R543" s="65"/>
      <c r="V543" s="550"/>
    </row>
    <row r="544" spans="1:22">
      <c r="A544" s="1"/>
      <c r="B544" s="88"/>
      <c r="C544" s="552"/>
      <c r="D544" s="553"/>
      <c r="E544" s="158"/>
      <c r="F544" s="158"/>
      <c r="G544" s="159"/>
      <c r="H544" s="215"/>
      <c r="I544" s="215"/>
      <c r="J544" s="322"/>
      <c r="K544" s="554"/>
      <c r="L544" s="65"/>
      <c r="M544" s="65"/>
      <c r="N544" s="163"/>
      <c r="O544" s="243"/>
      <c r="P544" s="215"/>
      <c r="Q544" s="65"/>
      <c r="R544" s="65"/>
      <c r="V544" s="550"/>
    </row>
    <row r="545" spans="1:22">
      <c r="A545" s="1"/>
      <c r="B545" s="88"/>
      <c r="C545" s="552"/>
      <c r="D545" s="553"/>
      <c r="E545" s="158"/>
      <c r="F545" s="158"/>
      <c r="G545" s="159"/>
      <c r="H545" s="215"/>
      <c r="I545" s="215"/>
      <c r="J545" s="322"/>
      <c r="K545" s="554"/>
      <c r="L545" s="65"/>
      <c r="M545" s="65"/>
      <c r="N545" s="163"/>
      <c r="O545" s="243"/>
      <c r="P545" s="215"/>
      <c r="Q545" s="65"/>
      <c r="R545" s="65"/>
      <c r="V545" s="550"/>
    </row>
    <row r="546" spans="1:22">
      <c r="A546" s="1"/>
      <c r="B546" s="88"/>
      <c r="C546" s="552"/>
      <c r="D546" s="553"/>
      <c r="E546" s="158"/>
      <c r="F546" s="158"/>
      <c r="G546" s="159"/>
      <c r="H546" s="215"/>
      <c r="I546" s="215"/>
      <c r="J546" s="322"/>
      <c r="K546" s="554"/>
      <c r="L546" s="65"/>
      <c r="M546" s="65"/>
      <c r="N546" s="163"/>
      <c r="O546" s="243"/>
      <c r="P546" s="215"/>
      <c r="Q546" s="65"/>
      <c r="R546" s="65"/>
      <c r="V546" s="550"/>
    </row>
    <row r="547" spans="1:22">
      <c r="A547" s="1"/>
      <c r="B547" s="88"/>
      <c r="C547" s="552"/>
      <c r="D547" s="553"/>
      <c r="E547" s="158"/>
      <c r="F547" s="158"/>
      <c r="G547" s="159"/>
      <c r="H547" s="215"/>
      <c r="I547" s="215"/>
      <c r="J547" s="322"/>
      <c r="K547" s="554"/>
      <c r="L547" s="65"/>
      <c r="M547" s="65"/>
      <c r="N547" s="163"/>
      <c r="O547" s="243"/>
      <c r="P547" s="215"/>
      <c r="Q547" s="65"/>
      <c r="R547" s="65"/>
      <c r="V547" s="550"/>
    </row>
    <row r="548" spans="1:22">
      <c r="A548" s="1"/>
      <c r="B548" s="88"/>
      <c r="C548" s="552"/>
      <c r="D548" s="553"/>
      <c r="E548" s="158"/>
      <c r="F548" s="158"/>
      <c r="G548" s="159"/>
      <c r="H548" s="215"/>
      <c r="I548" s="215"/>
      <c r="J548" s="322"/>
      <c r="K548" s="554"/>
      <c r="L548" s="65"/>
      <c r="M548" s="65"/>
      <c r="N548" s="163"/>
      <c r="O548" s="243"/>
      <c r="P548" s="215"/>
      <c r="Q548" s="65"/>
      <c r="R548" s="65"/>
      <c r="V548" s="550"/>
    </row>
    <row r="549" spans="1:22">
      <c r="A549" s="1"/>
      <c r="B549" s="88"/>
      <c r="C549" s="552"/>
      <c r="D549" s="553"/>
      <c r="E549" s="158"/>
      <c r="F549" s="158"/>
      <c r="G549" s="159"/>
      <c r="H549" s="215"/>
      <c r="I549" s="215"/>
      <c r="J549" s="322"/>
      <c r="K549" s="554"/>
      <c r="L549" s="65"/>
      <c r="M549" s="65"/>
      <c r="N549" s="163"/>
      <c r="O549" s="243"/>
      <c r="P549" s="215"/>
      <c r="Q549" s="65"/>
      <c r="R549" s="65"/>
      <c r="V549" s="550"/>
    </row>
    <row r="550" spans="1:22">
      <c r="A550" s="1"/>
      <c r="B550" s="88"/>
      <c r="C550" s="552"/>
      <c r="D550" s="553"/>
      <c r="E550" s="158"/>
      <c r="F550" s="158"/>
      <c r="G550" s="159"/>
      <c r="H550" s="215"/>
      <c r="I550" s="215"/>
      <c r="J550" s="322"/>
      <c r="K550" s="554"/>
      <c r="L550" s="65"/>
      <c r="M550" s="65"/>
      <c r="N550" s="163"/>
      <c r="O550" s="243"/>
      <c r="P550" s="215"/>
      <c r="Q550" s="65"/>
      <c r="R550" s="65"/>
      <c r="V550" s="550"/>
    </row>
    <row r="551" spans="1:22">
      <c r="A551" s="1"/>
      <c r="B551" s="88"/>
      <c r="C551" s="552"/>
      <c r="D551" s="553"/>
      <c r="E551" s="158"/>
      <c r="F551" s="158"/>
      <c r="G551" s="159"/>
      <c r="H551" s="215"/>
      <c r="I551" s="215"/>
      <c r="J551" s="322"/>
      <c r="K551" s="554"/>
      <c r="L551" s="65"/>
      <c r="M551" s="65"/>
      <c r="N551" s="163"/>
      <c r="O551" s="243"/>
      <c r="P551" s="215"/>
      <c r="Q551" s="65"/>
      <c r="R551" s="65"/>
      <c r="V551" s="550"/>
    </row>
    <row r="552" spans="1:22">
      <c r="A552" s="1"/>
      <c r="B552" s="88"/>
      <c r="C552" s="552"/>
      <c r="D552" s="553"/>
      <c r="E552" s="158"/>
      <c r="F552" s="158"/>
      <c r="G552" s="159"/>
      <c r="H552" s="215"/>
      <c r="I552" s="215"/>
      <c r="J552" s="322"/>
      <c r="K552" s="554"/>
      <c r="L552" s="65"/>
      <c r="M552" s="65"/>
      <c r="N552" s="163"/>
      <c r="O552" s="243"/>
      <c r="P552" s="215"/>
      <c r="Q552" s="65"/>
      <c r="R552" s="65"/>
      <c r="V552" s="550"/>
    </row>
    <row r="553" spans="1:22">
      <c r="A553" s="1"/>
      <c r="B553" s="88"/>
      <c r="C553" s="552"/>
      <c r="D553" s="553"/>
      <c r="E553" s="158"/>
      <c r="F553" s="158"/>
      <c r="G553" s="159"/>
      <c r="H553" s="215"/>
      <c r="I553" s="215"/>
      <c r="J553" s="322"/>
      <c r="K553" s="554"/>
      <c r="L553" s="65"/>
      <c r="M553" s="65"/>
      <c r="N553" s="163"/>
      <c r="O553" s="243"/>
      <c r="P553" s="215"/>
      <c r="Q553" s="65"/>
      <c r="R553" s="65"/>
      <c r="V553" s="550"/>
    </row>
    <row r="554" spans="1:22">
      <c r="A554" s="1"/>
      <c r="B554" s="88"/>
      <c r="C554" s="552"/>
      <c r="D554" s="553"/>
      <c r="E554" s="158"/>
      <c r="F554" s="158"/>
      <c r="G554" s="159"/>
      <c r="H554" s="215"/>
      <c r="I554" s="215"/>
      <c r="J554" s="322"/>
      <c r="K554" s="554"/>
      <c r="L554" s="65"/>
      <c r="M554" s="65"/>
      <c r="N554" s="163"/>
      <c r="O554" s="243"/>
      <c r="P554" s="215"/>
      <c r="Q554" s="65"/>
      <c r="R554" s="65"/>
      <c r="V554" s="550"/>
    </row>
    <row r="555" spans="1:22">
      <c r="A555" s="1"/>
      <c r="B555" s="88"/>
      <c r="C555" s="552"/>
      <c r="D555" s="553"/>
      <c r="E555" s="158"/>
      <c r="F555" s="158"/>
      <c r="G555" s="159"/>
      <c r="H555" s="215"/>
      <c r="I555" s="215"/>
      <c r="J555" s="322"/>
      <c r="K555" s="554"/>
      <c r="L555" s="65"/>
      <c r="M555" s="65"/>
      <c r="N555" s="163"/>
      <c r="O555" s="243"/>
      <c r="P555" s="215"/>
      <c r="Q555" s="65"/>
      <c r="R555" s="65"/>
      <c r="V555" s="550"/>
    </row>
    <row r="556" spans="1:22">
      <c r="A556" s="1"/>
      <c r="B556" s="88"/>
      <c r="C556" s="552"/>
      <c r="D556" s="553"/>
      <c r="E556" s="158"/>
      <c r="F556" s="158"/>
      <c r="G556" s="159"/>
      <c r="H556" s="215"/>
      <c r="I556" s="215"/>
      <c r="J556" s="322"/>
      <c r="K556" s="554"/>
      <c r="L556" s="65"/>
      <c r="M556" s="65"/>
      <c r="N556" s="163"/>
      <c r="O556" s="243"/>
      <c r="P556" s="215"/>
      <c r="Q556" s="65"/>
      <c r="R556" s="65"/>
      <c r="V556" s="550"/>
    </row>
    <row r="557" spans="1:22">
      <c r="A557" s="1"/>
      <c r="B557" s="88"/>
      <c r="C557" s="552"/>
      <c r="D557" s="553"/>
      <c r="E557" s="158"/>
      <c r="F557" s="158"/>
      <c r="G557" s="159"/>
      <c r="H557" s="215"/>
      <c r="I557" s="215"/>
      <c r="J557" s="322"/>
      <c r="K557" s="554"/>
      <c r="L557" s="65"/>
      <c r="M557" s="65"/>
      <c r="N557" s="163"/>
      <c r="O557" s="243"/>
      <c r="P557" s="215"/>
      <c r="Q557" s="65"/>
      <c r="R557" s="65"/>
      <c r="V557" s="550"/>
    </row>
    <row r="558" spans="1:22">
      <c r="A558" s="1"/>
      <c r="B558" s="88"/>
      <c r="C558" s="552"/>
      <c r="D558" s="553"/>
      <c r="E558" s="158"/>
      <c r="F558" s="158"/>
      <c r="G558" s="159"/>
      <c r="H558" s="215"/>
      <c r="I558" s="215"/>
      <c r="J558" s="322"/>
      <c r="K558" s="554"/>
      <c r="L558" s="65"/>
      <c r="M558" s="65"/>
      <c r="N558" s="163"/>
      <c r="O558" s="243"/>
      <c r="P558" s="215"/>
      <c r="Q558" s="65"/>
      <c r="R558" s="65"/>
      <c r="V558" s="550"/>
    </row>
    <row r="559" spans="1:22">
      <c r="A559" s="1"/>
      <c r="B559" s="88"/>
      <c r="C559" s="552"/>
      <c r="D559" s="553"/>
      <c r="E559" s="158"/>
      <c r="F559" s="158"/>
      <c r="G559" s="159"/>
      <c r="H559" s="215"/>
      <c r="I559" s="215"/>
      <c r="J559" s="322"/>
      <c r="K559" s="554"/>
      <c r="L559" s="65"/>
      <c r="M559" s="65"/>
      <c r="N559" s="163"/>
      <c r="O559" s="243"/>
      <c r="P559" s="215"/>
      <c r="Q559" s="65"/>
      <c r="R559" s="65"/>
      <c r="V559" s="550"/>
    </row>
    <row r="560" spans="1:22">
      <c r="A560" s="1"/>
      <c r="B560" s="88"/>
      <c r="C560" s="552"/>
      <c r="D560" s="553"/>
      <c r="E560" s="158"/>
      <c r="F560" s="158"/>
      <c r="G560" s="159"/>
      <c r="H560" s="215"/>
      <c r="I560" s="215"/>
      <c r="J560" s="322"/>
      <c r="K560" s="554"/>
      <c r="L560" s="65"/>
      <c r="M560" s="65"/>
      <c r="N560" s="163"/>
      <c r="O560" s="243"/>
      <c r="P560" s="215"/>
      <c r="Q560" s="65"/>
      <c r="R560" s="65"/>
      <c r="V560" s="550"/>
    </row>
    <row r="561" spans="1:22">
      <c r="A561" s="1"/>
      <c r="B561" s="88"/>
      <c r="C561" s="552"/>
      <c r="D561" s="553"/>
      <c r="E561" s="158"/>
      <c r="F561" s="158"/>
      <c r="G561" s="159"/>
      <c r="H561" s="215"/>
      <c r="I561" s="215"/>
      <c r="J561" s="322"/>
      <c r="K561" s="554"/>
      <c r="L561" s="65"/>
      <c r="M561" s="65"/>
      <c r="N561" s="163"/>
      <c r="O561" s="243"/>
      <c r="P561" s="215"/>
      <c r="Q561" s="65"/>
      <c r="R561" s="65"/>
      <c r="V561" s="550"/>
    </row>
    <row r="562" spans="1:22">
      <c r="A562" s="1"/>
      <c r="B562" s="88"/>
      <c r="C562" s="552"/>
      <c r="D562" s="553"/>
      <c r="E562" s="158"/>
      <c r="F562" s="158"/>
      <c r="G562" s="159"/>
      <c r="H562" s="215"/>
      <c r="I562" s="215"/>
      <c r="J562" s="322"/>
      <c r="K562" s="554"/>
      <c r="L562" s="65"/>
      <c r="M562" s="65"/>
      <c r="N562" s="163"/>
      <c r="O562" s="243"/>
      <c r="P562" s="215"/>
      <c r="Q562" s="65"/>
      <c r="R562" s="65"/>
      <c r="V562" s="550"/>
    </row>
    <row r="563" spans="1:22">
      <c r="A563" s="1"/>
      <c r="B563" s="88"/>
      <c r="C563" s="552"/>
      <c r="D563" s="553"/>
      <c r="E563" s="158"/>
      <c r="F563" s="158"/>
      <c r="G563" s="159"/>
      <c r="H563" s="215"/>
      <c r="I563" s="215"/>
      <c r="J563" s="322"/>
      <c r="K563" s="554"/>
      <c r="L563" s="65"/>
      <c r="M563" s="65"/>
      <c r="N563" s="163"/>
      <c r="O563" s="243"/>
      <c r="P563" s="215"/>
      <c r="Q563" s="65"/>
      <c r="R563" s="65"/>
      <c r="V563" s="550"/>
    </row>
    <row r="564" spans="1:22">
      <c r="A564" s="1"/>
      <c r="B564" s="88"/>
      <c r="C564" s="552"/>
      <c r="D564" s="553"/>
      <c r="E564" s="158"/>
      <c r="F564" s="158"/>
      <c r="G564" s="159"/>
      <c r="H564" s="215"/>
      <c r="I564" s="215"/>
      <c r="J564" s="322"/>
      <c r="K564" s="554"/>
      <c r="L564" s="65"/>
      <c r="M564" s="65"/>
      <c r="N564" s="163"/>
      <c r="O564" s="243"/>
      <c r="P564" s="215"/>
      <c r="Q564" s="65"/>
      <c r="R564" s="65"/>
      <c r="V564" s="550"/>
    </row>
    <row r="565" spans="1:22">
      <c r="A565" s="1"/>
      <c r="B565" s="88"/>
      <c r="C565" s="552"/>
      <c r="D565" s="553"/>
      <c r="E565" s="158"/>
      <c r="F565" s="158"/>
      <c r="G565" s="159"/>
      <c r="H565" s="215"/>
      <c r="I565" s="215"/>
      <c r="J565" s="322"/>
      <c r="K565" s="554"/>
      <c r="L565" s="65"/>
      <c r="M565" s="65"/>
      <c r="N565" s="163"/>
      <c r="O565" s="243"/>
      <c r="P565" s="215"/>
      <c r="Q565" s="65"/>
      <c r="R565" s="65"/>
      <c r="V565" s="550"/>
    </row>
    <row r="566" spans="1:22">
      <c r="A566" s="1"/>
      <c r="B566" s="88"/>
      <c r="C566" s="552"/>
      <c r="D566" s="553"/>
      <c r="E566" s="158"/>
      <c r="F566" s="158"/>
      <c r="G566" s="159"/>
      <c r="H566" s="215"/>
      <c r="I566" s="215"/>
      <c r="J566" s="322"/>
      <c r="K566" s="554"/>
      <c r="L566" s="65"/>
      <c r="M566" s="65"/>
      <c r="N566" s="163"/>
      <c r="O566" s="243"/>
      <c r="P566" s="215"/>
      <c r="Q566" s="65"/>
      <c r="R566" s="65"/>
      <c r="V566" s="550"/>
    </row>
    <row r="567" spans="1:22">
      <c r="A567" s="1"/>
      <c r="B567" s="88"/>
      <c r="C567" s="552"/>
      <c r="D567" s="553"/>
      <c r="E567" s="158"/>
      <c r="F567" s="158"/>
      <c r="G567" s="159"/>
      <c r="H567" s="215"/>
      <c r="I567" s="215"/>
      <c r="J567" s="322"/>
      <c r="K567" s="554"/>
      <c r="L567" s="65"/>
      <c r="M567" s="65"/>
      <c r="N567" s="163"/>
      <c r="O567" s="243"/>
      <c r="P567" s="215"/>
      <c r="Q567" s="65"/>
      <c r="R567" s="65"/>
      <c r="V567" s="550"/>
    </row>
    <row r="568" spans="1:22">
      <c r="A568" s="1"/>
      <c r="B568" s="88"/>
      <c r="C568" s="552"/>
      <c r="D568" s="553"/>
      <c r="E568" s="158"/>
      <c r="F568" s="158"/>
      <c r="G568" s="159"/>
      <c r="H568" s="215"/>
      <c r="I568" s="215"/>
      <c r="J568" s="322"/>
      <c r="K568" s="554"/>
      <c r="L568" s="65"/>
      <c r="M568" s="65"/>
      <c r="N568" s="163"/>
      <c r="O568" s="243"/>
      <c r="P568" s="215"/>
      <c r="Q568" s="65"/>
      <c r="R568" s="65"/>
      <c r="V568" s="550"/>
    </row>
    <row r="569" spans="1:22">
      <c r="A569" s="1"/>
      <c r="B569" s="88"/>
      <c r="C569" s="552"/>
      <c r="D569" s="553"/>
      <c r="E569" s="158"/>
      <c r="F569" s="158"/>
      <c r="G569" s="159"/>
      <c r="H569" s="215"/>
      <c r="I569" s="215"/>
      <c r="J569" s="322"/>
      <c r="K569" s="554"/>
      <c r="L569" s="65"/>
      <c r="M569" s="65"/>
      <c r="N569" s="163"/>
      <c r="O569" s="243"/>
      <c r="P569" s="215"/>
      <c r="Q569" s="65"/>
      <c r="R569" s="65"/>
      <c r="V569" s="550"/>
    </row>
    <row r="570" spans="1:22">
      <c r="A570" s="1"/>
      <c r="B570" s="88"/>
      <c r="C570" s="552"/>
      <c r="D570" s="553"/>
      <c r="E570" s="158"/>
      <c r="F570" s="158"/>
      <c r="G570" s="159"/>
      <c r="H570" s="215"/>
      <c r="I570" s="215"/>
      <c r="J570" s="322"/>
      <c r="K570" s="554"/>
      <c r="L570" s="65"/>
      <c r="M570" s="65"/>
      <c r="N570" s="163"/>
      <c r="O570" s="243"/>
      <c r="P570" s="215"/>
      <c r="Q570" s="65"/>
      <c r="R570" s="65"/>
      <c r="V570" s="550"/>
    </row>
    <row r="571" spans="1:22">
      <c r="A571" s="1"/>
      <c r="B571" s="88"/>
      <c r="C571" s="552"/>
      <c r="D571" s="553"/>
      <c r="E571" s="158"/>
      <c r="F571" s="158"/>
      <c r="G571" s="159"/>
      <c r="H571" s="215"/>
      <c r="I571" s="215"/>
      <c r="J571" s="322"/>
      <c r="K571" s="554"/>
      <c r="L571" s="65"/>
      <c r="M571" s="65"/>
      <c r="N571" s="163"/>
      <c r="O571" s="243"/>
      <c r="P571" s="215"/>
      <c r="Q571" s="65"/>
      <c r="R571" s="65"/>
      <c r="V571" s="550"/>
    </row>
    <row r="572" spans="1:22">
      <c r="A572" s="1"/>
      <c r="B572" s="88"/>
      <c r="C572" s="552"/>
      <c r="D572" s="553"/>
      <c r="E572" s="158"/>
      <c r="F572" s="158"/>
      <c r="G572" s="159"/>
      <c r="H572" s="215"/>
      <c r="I572" s="215"/>
      <c r="J572" s="322"/>
      <c r="K572" s="554"/>
      <c r="L572" s="65"/>
      <c r="M572" s="65"/>
      <c r="N572" s="163"/>
      <c r="O572" s="243"/>
      <c r="P572" s="215"/>
      <c r="Q572" s="65"/>
      <c r="R572" s="65"/>
      <c r="V572" s="550"/>
    </row>
    <row r="573" spans="1:22">
      <c r="A573" s="1"/>
      <c r="B573" s="88"/>
      <c r="C573" s="552"/>
      <c r="D573" s="553"/>
      <c r="E573" s="158"/>
      <c r="F573" s="158"/>
      <c r="G573" s="159"/>
      <c r="H573" s="215"/>
      <c r="I573" s="215"/>
      <c r="J573" s="322"/>
      <c r="K573" s="554"/>
      <c r="L573" s="65"/>
      <c r="M573" s="65"/>
      <c r="N573" s="163"/>
      <c r="O573" s="243"/>
      <c r="P573" s="215"/>
      <c r="Q573" s="65"/>
      <c r="R573" s="65"/>
      <c r="V573" s="550"/>
    </row>
    <row r="574" spans="1:22">
      <c r="A574" s="1"/>
      <c r="B574" s="88"/>
      <c r="C574" s="552"/>
      <c r="D574" s="553"/>
      <c r="E574" s="158"/>
      <c r="F574" s="158"/>
      <c r="G574" s="159"/>
      <c r="H574" s="215"/>
      <c r="I574" s="215"/>
      <c r="J574" s="322"/>
      <c r="K574" s="554"/>
      <c r="L574" s="65"/>
      <c r="M574" s="65"/>
      <c r="N574" s="163"/>
      <c r="O574" s="243"/>
      <c r="P574" s="215"/>
      <c r="Q574" s="65"/>
      <c r="R574" s="65"/>
      <c r="V574" s="550"/>
    </row>
    <row r="575" spans="1:22">
      <c r="A575" s="1"/>
      <c r="B575" s="88"/>
      <c r="C575" s="552"/>
      <c r="D575" s="553"/>
      <c r="E575" s="158"/>
      <c r="F575" s="158"/>
      <c r="G575" s="159"/>
      <c r="H575" s="215"/>
      <c r="I575" s="215"/>
      <c r="J575" s="322"/>
      <c r="K575" s="554"/>
      <c r="L575" s="65"/>
      <c r="M575" s="65"/>
      <c r="N575" s="163"/>
      <c r="O575" s="243"/>
      <c r="P575" s="215"/>
      <c r="Q575" s="65"/>
      <c r="R575" s="65"/>
      <c r="V575" s="550"/>
    </row>
    <row r="576" spans="1:22">
      <c r="A576" s="1"/>
      <c r="B576" s="88"/>
      <c r="C576" s="552"/>
      <c r="D576" s="553"/>
      <c r="E576" s="158"/>
      <c r="F576" s="158"/>
      <c r="G576" s="159"/>
      <c r="H576" s="215"/>
      <c r="I576" s="215"/>
      <c r="J576" s="322"/>
      <c r="K576" s="554"/>
      <c r="L576" s="65"/>
      <c r="M576" s="65"/>
      <c r="N576" s="163"/>
      <c r="O576" s="243"/>
      <c r="P576" s="215"/>
      <c r="Q576" s="65"/>
      <c r="R576" s="65"/>
      <c r="V576" s="550"/>
    </row>
    <row r="577" spans="1:22">
      <c r="A577" s="1"/>
      <c r="B577" s="88"/>
      <c r="C577" s="552"/>
      <c r="D577" s="553"/>
      <c r="E577" s="158"/>
      <c r="F577" s="158"/>
      <c r="G577" s="159"/>
      <c r="H577" s="215"/>
      <c r="I577" s="215"/>
      <c r="J577" s="322"/>
      <c r="K577" s="554"/>
      <c r="L577" s="65"/>
      <c r="M577" s="65"/>
      <c r="N577" s="163"/>
      <c r="O577" s="243"/>
      <c r="P577" s="215"/>
      <c r="Q577" s="65"/>
      <c r="R577" s="65"/>
      <c r="V577" s="550"/>
    </row>
    <row r="578" spans="1:22">
      <c r="A578" s="1"/>
      <c r="B578" s="88"/>
      <c r="C578" s="552"/>
      <c r="D578" s="553"/>
      <c r="E578" s="158"/>
      <c r="F578" s="158"/>
      <c r="G578" s="159"/>
      <c r="H578" s="215"/>
      <c r="I578" s="215"/>
      <c r="J578" s="322"/>
      <c r="K578" s="554"/>
      <c r="L578" s="65"/>
      <c r="M578" s="65"/>
      <c r="N578" s="163"/>
      <c r="O578" s="243"/>
      <c r="P578" s="215"/>
      <c r="Q578" s="65"/>
      <c r="R578" s="65"/>
      <c r="V578" s="550"/>
    </row>
    <row r="579" spans="1:22">
      <c r="A579" s="1"/>
      <c r="B579" s="88"/>
      <c r="C579" s="552"/>
      <c r="D579" s="553"/>
      <c r="E579" s="158"/>
      <c r="F579" s="158"/>
      <c r="G579" s="159"/>
      <c r="H579" s="215"/>
      <c r="I579" s="215"/>
      <c r="J579" s="322"/>
      <c r="K579" s="554"/>
      <c r="L579" s="65"/>
      <c r="M579" s="65"/>
      <c r="N579" s="163"/>
      <c r="O579" s="243"/>
      <c r="P579" s="215"/>
      <c r="Q579" s="65"/>
      <c r="R579" s="65"/>
      <c r="V579" s="550"/>
    </row>
    <row r="580" spans="1:22">
      <c r="A580" s="1"/>
      <c r="B580" s="88"/>
      <c r="C580" s="552"/>
      <c r="D580" s="553"/>
      <c r="E580" s="158"/>
      <c r="F580" s="158"/>
      <c r="G580" s="159"/>
      <c r="H580" s="215"/>
      <c r="I580" s="215"/>
      <c r="J580" s="322"/>
      <c r="K580" s="554"/>
      <c r="L580" s="65"/>
      <c r="M580" s="65"/>
      <c r="N580" s="163"/>
      <c r="O580" s="243"/>
      <c r="P580" s="215"/>
      <c r="Q580" s="65"/>
      <c r="R580" s="65"/>
      <c r="V580" s="550"/>
    </row>
    <row r="581" spans="1:22">
      <c r="A581" s="1"/>
      <c r="B581" s="88"/>
      <c r="C581" s="552"/>
      <c r="D581" s="553"/>
      <c r="E581" s="158"/>
      <c r="F581" s="158"/>
      <c r="G581" s="159"/>
      <c r="H581" s="215"/>
      <c r="I581" s="215"/>
      <c r="J581" s="322"/>
      <c r="K581" s="554"/>
      <c r="L581" s="65"/>
      <c r="M581" s="65"/>
      <c r="N581" s="163"/>
      <c r="O581" s="243"/>
      <c r="P581" s="215"/>
      <c r="Q581" s="65"/>
      <c r="R581" s="65"/>
      <c r="V581" s="550"/>
    </row>
    <row r="582" spans="1:22">
      <c r="A582" s="1"/>
      <c r="B582" s="88"/>
      <c r="C582" s="552"/>
      <c r="D582" s="553"/>
      <c r="E582" s="158"/>
      <c r="F582" s="158"/>
      <c r="G582" s="159"/>
      <c r="H582" s="215"/>
      <c r="I582" s="215"/>
      <c r="J582" s="322"/>
      <c r="K582" s="554"/>
      <c r="L582" s="65"/>
      <c r="M582" s="65"/>
      <c r="N582" s="163"/>
      <c r="O582" s="243"/>
      <c r="P582" s="215"/>
      <c r="Q582" s="65"/>
      <c r="R582" s="65"/>
      <c r="V582" s="550"/>
    </row>
    <row r="583" spans="1:22">
      <c r="A583" s="1"/>
      <c r="B583" s="88"/>
      <c r="C583" s="552"/>
      <c r="D583" s="553"/>
      <c r="E583" s="158"/>
      <c r="F583" s="158"/>
      <c r="G583" s="159"/>
      <c r="H583" s="215"/>
      <c r="I583" s="215"/>
      <c r="J583" s="322"/>
      <c r="K583" s="554"/>
      <c r="L583" s="65"/>
      <c r="M583" s="65"/>
      <c r="N583" s="163"/>
      <c r="O583" s="243"/>
      <c r="P583" s="215"/>
      <c r="Q583" s="65"/>
      <c r="R583" s="65"/>
      <c r="V583" s="550"/>
    </row>
    <row r="584" spans="1:22">
      <c r="A584" s="1"/>
      <c r="B584" s="88"/>
      <c r="C584" s="552"/>
      <c r="D584" s="553"/>
      <c r="E584" s="158"/>
      <c r="F584" s="158"/>
      <c r="G584" s="159"/>
      <c r="H584" s="215"/>
      <c r="I584" s="215"/>
      <c r="J584" s="322"/>
      <c r="K584" s="554"/>
      <c r="L584" s="65"/>
      <c r="M584" s="65"/>
      <c r="N584" s="163"/>
      <c r="O584" s="243"/>
      <c r="P584" s="215"/>
      <c r="Q584" s="65"/>
      <c r="R584" s="65"/>
      <c r="V584" s="550"/>
    </row>
    <row r="585" spans="1:22">
      <c r="A585" s="1"/>
      <c r="B585" s="88"/>
      <c r="C585" s="552"/>
      <c r="D585" s="553"/>
      <c r="E585" s="158"/>
      <c r="F585" s="158"/>
      <c r="G585" s="159"/>
      <c r="H585" s="215"/>
      <c r="I585" s="215"/>
      <c r="J585" s="322"/>
      <c r="K585" s="554"/>
      <c r="L585" s="65"/>
      <c r="M585" s="65"/>
      <c r="N585" s="163"/>
      <c r="O585" s="243"/>
      <c r="P585" s="215"/>
      <c r="Q585" s="65"/>
      <c r="R585" s="65"/>
      <c r="V585" s="550"/>
    </row>
    <row r="586" spans="1:22">
      <c r="A586" s="1"/>
      <c r="B586" s="88"/>
      <c r="C586" s="552"/>
      <c r="D586" s="553"/>
      <c r="E586" s="158"/>
      <c r="F586" s="158"/>
      <c r="G586" s="159"/>
      <c r="H586" s="215"/>
      <c r="I586" s="215"/>
      <c r="J586" s="322"/>
      <c r="K586" s="554"/>
      <c r="L586" s="65"/>
      <c r="M586" s="65"/>
      <c r="N586" s="163"/>
      <c r="O586" s="243"/>
      <c r="P586" s="215"/>
      <c r="Q586" s="65"/>
      <c r="R586" s="65"/>
      <c r="V586" s="550"/>
    </row>
    <row r="587" spans="1:22">
      <c r="A587" s="1"/>
      <c r="B587" s="88"/>
      <c r="C587" s="552"/>
      <c r="D587" s="553"/>
      <c r="E587" s="158"/>
      <c r="F587" s="158"/>
      <c r="G587" s="159"/>
      <c r="H587" s="215"/>
      <c r="I587" s="215"/>
      <c r="J587" s="322"/>
      <c r="K587" s="554"/>
      <c r="L587" s="65"/>
      <c r="M587" s="65"/>
      <c r="N587" s="163"/>
      <c r="O587" s="243"/>
      <c r="P587" s="215"/>
      <c r="Q587" s="65"/>
      <c r="R587" s="65"/>
      <c r="V587" s="550"/>
    </row>
    <row r="588" spans="1:22">
      <c r="A588" s="1"/>
      <c r="B588" s="88"/>
      <c r="C588" s="552"/>
      <c r="D588" s="553"/>
      <c r="E588" s="158"/>
      <c r="F588" s="158"/>
      <c r="G588" s="159"/>
      <c r="H588" s="215"/>
      <c r="I588" s="215"/>
      <c r="J588" s="322"/>
      <c r="K588" s="554"/>
      <c r="L588" s="65"/>
      <c r="M588" s="65"/>
      <c r="N588" s="163"/>
      <c r="O588" s="243"/>
      <c r="P588" s="215"/>
      <c r="Q588" s="65"/>
      <c r="R588" s="65"/>
      <c r="V588" s="550"/>
    </row>
    <row r="589" spans="1:22">
      <c r="A589" s="1"/>
      <c r="B589" s="88"/>
      <c r="C589" s="552"/>
      <c r="D589" s="553"/>
      <c r="E589" s="158"/>
      <c r="F589" s="158"/>
      <c r="G589" s="159"/>
      <c r="H589" s="215"/>
      <c r="I589" s="215"/>
      <c r="J589" s="322"/>
      <c r="K589" s="554"/>
      <c r="L589" s="65"/>
      <c r="M589" s="65"/>
      <c r="N589" s="163"/>
      <c r="O589" s="243"/>
      <c r="P589" s="215"/>
      <c r="Q589" s="65"/>
      <c r="R589" s="65"/>
      <c r="V589" s="550"/>
    </row>
    <row r="590" spans="1:22">
      <c r="A590" s="1"/>
      <c r="B590" s="88"/>
      <c r="C590" s="552"/>
      <c r="D590" s="553"/>
      <c r="E590" s="158"/>
      <c r="F590" s="158"/>
      <c r="G590" s="159"/>
      <c r="H590" s="215"/>
      <c r="I590" s="215"/>
      <c r="J590" s="322"/>
      <c r="K590" s="554"/>
      <c r="L590" s="65"/>
      <c r="M590" s="65"/>
      <c r="N590" s="163"/>
      <c r="O590" s="243"/>
      <c r="P590" s="215"/>
      <c r="Q590" s="65"/>
      <c r="R590" s="65"/>
      <c r="V590" s="550"/>
    </row>
    <row r="591" spans="1:22">
      <c r="A591" s="1"/>
      <c r="B591" s="88"/>
      <c r="C591" s="552"/>
      <c r="D591" s="553"/>
      <c r="E591" s="158"/>
      <c r="F591" s="158"/>
      <c r="G591" s="159"/>
      <c r="H591" s="215"/>
      <c r="I591" s="215"/>
      <c r="J591" s="322"/>
      <c r="K591" s="554"/>
      <c r="L591" s="65"/>
      <c r="M591" s="65"/>
      <c r="N591" s="163"/>
      <c r="O591" s="243"/>
      <c r="P591" s="215"/>
      <c r="Q591" s="65"/>
      <c r="R591" s="65"/>
      <c r="V591" s="550"/>
    </row>
    <row r="592" spans="1:22">
      <c r="A592" s="1"/>
      <c r="B592" s="88"/>
      <c r="C592" s="552"/>
      <c r="D592" s="553"/>
      <c r="E592" s="158"/>
      <c r="F592" s="158"/>
      <c r="G592" s="159"/>
      <c r="H592" s="215"/>
      <c r="I592" s="215"/>
      <c r="J592" s="322"/>
      <c r="K592" s="554"/>
      <c r="L592" s="65"/>
      <c r="M592" s="65"/>
      <c r="N592" s="163"/>
      <c r="O592" s="243"/>
      <c r="P592" s="215"/>
      <c r="Q592" s="65"/>
      <c r="R592" s="65"/>
      <c r="V592" s="550"/>
    </row>
    <row r="593" spans="1:22">
      <c r="A593" s="1"/>
      <c r="B593" s="88"/>
      <c r="C593" s="552"/>
      <c r="D593" s="553"/>
      <c r="E593" s="158"/>
      <c r="F593" s="158"/>
      <c r="G593" s="159"/>
      <c r="H593" s="215"/>
      <c r="I593" s="215"/>
      <c r="J593" s="322"/>
      <c r="K593" s="554"/>
      <c r="L593" s="65"/>
      <c r="M593" s="65"/>
      <c r="N593" s="163"/>
      <c r="O593" s="243"/>
      <c r="P593" s="215"/>
      <c r="Q593" s="65"/>
      <c r="R593" s="65"/>
      <c r="V593" s="550"/>
    </row>
    <row r="594" spans="1:22">
      <c r="A594" s="1"/>
      <c r="B594" s="88"/>
      <c r="C594" s="552"/>
      <c r="D594" s="553"/>
      <c r="E594" s="158"/>
      <c r="F594" s="158"/>
      <c r="G594" s="159"/>
      <c r="H594" s="215"/>
      <c r="I594" s="215"/>
      <c r="J594" s="322"/>
      <c r="K594" s="554"/>
      <c r="L594" s="65"/>
      <c r="M594" s="65"/>
      <c r="N594" s="163"/>
      <c r="O594" s="243"/>
      <c r="P594" s="215"/>
      <c r="Q594" s="65"/>
      <c r="R594" s="65"/>
      <c r="V594" s="550"/>
    </row>
    <row r="595" spans="1:22">
      <c r="A595" s="1"/>
      <c r="B595" s="88"/>
      <c r="C595" s="552"/>
      <c r="D595" s="553"/>
      <c r="E595" s="158"/>
      <c r="F595" s="158"/>
      <c r="G595" s="159"/>
      <c r="H595" s="215"/>
      <c r="I595" s="215"/>
      <c r="J595" s="322"/>
      <c r="K595" s="554"/>
      <c r="L595" s="65"/>
      <c r="M595" s="65"/>
      <c r="N595" s="163"/>
      <c r="O595" s="243"/>
      <c r="P595" s="215"/>
      <c r="Q595" s="65"/>
      <c r="R595" s="65"/>
      <c r="V595" s="550"/>
    </row>
    <row r="596" spans="1:22">
      <c r="A596" s="1"/>
      <c r="B596" s="88"/>
      <c r="C596" s="552"/>
      <c r="D596" s="553"/>
      <c r="E596" s="158"/>
      <c r="F596" s="158"/>
      <c r="G596" s="159"/>
      <c r="H596" s="215"/>
      <c r="I596" s="215"/>
      <c r="J596" s="322"/>
      <c r="K596" s="554"/>
      <c r="L596" s="65"/>
      <c r="M596" s="65"/>
      <c r="N596" s="163"/>
      <c r="O596" s="243"/>
      <c r="P596" s="215"/>
      <c r="Q596" s="65"/>
      <c r="R596" s="65"/>
      <c r="V596" s="550"/>
    </row>
    <row r="597" spans="1:22">
      <c r="A597" s="1"/>
      <c r="B597" s="88"/>
      <c r="C597" s="552"/>
      <c r="D597" s="553"/>
      <c r="E597" s="158"/>
      <c r="F597" s="158"/>
      <c r="G597" s="159"/>
      <c r="H597" s="215"/>
      <c r="I597" s="215"/>
      <c r="J597" s="322"/>
      <c r="K597" s="554"/>
      <c r="L597" s="65"/>
      <c r="M597" s="65"/>
      <c r="N597" s="163"/>
      <c r="O597" s="243"/>
      <c r="P597" s="215"/>
      <c r="Q597" s="65"/>
      <c r="R597" s="65"/>
      <c r="V597" s="550"/>
    </row>
    <row r="598" spans="1:22">
      <c r="A598" s="1"/>
      <c r="B598" s="88"/>
      <c r="C598" s="552"/>
      <c r="D598" s="553"/>
      <c r="E598" s="158"/>
      <c r="F598" s="158"/>
      <c r="G598" s="159"/>
      <c r="H598" s="215"/>
      <c r="I598" s="215"/>
      <c r="J598" s="322"/>
      <c r="K598" s="554"/>
      <c r="L598" s="65"/>
      <c r="M598" s="65"/>
      <c r="N598" s="163"/>
      <c r="O598" s="243"/>
      <c r="P598" s="215"/>
      <c r="Q598" s="65"/>
      <c r="R598" s="65"/>
      <c r="V598" s="550"/>
    </row>
    <row r="599" spans="1:22">
      <c r="A599" s="1"/>
      <c r="B599" s="88"/>
      <c r="C599" s="552"/>
      <c r="D599" s="553"/>
      <c r="E599" s="158"/>
      <c r="F599" s="158"/>
      <c r="G599" s="159"/>
      <c r="H599" s="215"/>
      <c r="I599" s="215"/>
      <c r="J599" s="322"/>
      <c r="K599" s="554"/>
      <c r="L599" s="65"/>
      <c r="M599" s="65"/>
      <c r="N599" s="163"/>
      <c r="O599" s="243"/>
      <c r="P599" s="215"/>
      <c r="Q599" s="65"/>
      <c r="R599" s="65"/>
      <c r="V599" s="550"/>
    </row>
    <row r="600" spans="1:22">
      <c r="A600" s="1"/>
      <c r="B600" s="88"/>
      <c r="C600" s="552"/>
      <c r="D600" s="553"/>
      <c r="E600" s="158"/>
      <c r="F600" s="158"/>
      <c r="G600" s="159"/>
      <c r="H600" s="215"/>
      <c r="I600" s="215"/>
      <c r="J600" s="322"/>
      <c r="K600" s="554"/>
      <c r="L600" s="65"/>
      <c r="M600" s="65"/>
      <c r="N600" s="163"/>
      <c r="O600" s="243"/>
      <c r="P600" s="215"/>
      <c r="Q600" s="65"/>
      <c r="R600" s="65"/>
      <c r="V600" s="550"/>
    </row>
    <row r="601" spans="1:22">
      <c r="A601" s="1"/>
      <c r="B601" s="88"/>
      <c r="C601" s="552"/>
      <c r="D601" s="553"/>
      <c r="E601" s="158"/>
      <c r="F601" s="158"/>
      <c r="G601" s="159"/>
      <c r="H601" s="215"/>
      <c r="I601" s="215"/>
      <c r="J601" s="322"/>
      <c r="K601" s="554"/>
      <c r="L601" s="65"/>
      <c r="M601" s="65"/>
      <c r="N601" s="163"/>
      <c r="O601" s="243"/>
      <c r="P601" s="215"/>
      <c r="Q601" s="65"/>
      <c r="R601" s="65"/>
      <c r="V601" s="550"/>
    </row>
    <row r="602" spans="1:22">
      <c r="A602" s="1"/>
      <c r="B602" s="88"/>
      <c r="C602" s="552"/>
      <c r="D602" s="553"/>
      <c r="E602" s="158"/>
      <c r="F602" s="158"/>
      <c r="G602" s="159"/>
      <c r="H602" s="215"/>
      <c r="I602" s="215"/>
      <c r="J602" s="322"/>
      <c r="K602" s="554"/>
      <c r="L602" s="65"/>
      <c r="M602" s="65"/>
      <c r="N602" s="163"/>
      <c r="O602" s="243"/>
      <c r="P602" s="215"/>
      <c r="Q602" s="65"/>
      <c r="R602" s="65"/>
      <c r="V602" s="550"/>
    </row>
    <row r="603" spans="1:22">
      <c r="A603" s="1"/>
      <c r="B603" s="88"/>
      <c r="C603" s="552"/>
      <c r="D603" s="553"/>
      <c r="E603" s="158"/>
      <c r="F603" s="158"/>
      <c r="G603" s="159"/>
      <c r="H603" s="215"/>
      <c r="I603" s="215"/>
      <c r="J603" s="322"/>
      <c r="K603" s="554"/>
      <c r="L603" s="65"/>
      <c r="M603" s="65"/>
      <c r="N603" s="163"/>
      <c r="O603" s="243"/>
      <c r="P603" s="215"/>
      <c r="Q603" s="65"/>
      <c r="R603" s="65"/>
      <c r="V603" s="550"/>
    </row>
    <row r="604" spans="1:22">
      <c r="A604" s="1"/>
      <c r="B604" s="88"/>
      <c r="C604" s="552"/>
      <c r="D604" s="553"/>
      <c r="E604" s="158"/>
      <c r="F604" s="158"/>
      <c r="G604" s="159"/>
      <c r="H604" s="215"/>
      <c r="I604" s="215"/>
      <c r="J604" s="322"/>
      <c r="K604" s="554"/>
      <c r="L604" s="65"/>
      <c r="M604" s="65"/>
      <c r="N604" s="163"/>
      <c r="O604" s="243"/>
      <c r="P604" s="215"/>
      <c r="Q604" s="65"/>
      <c r="R604" s="65"/>
      <c r="V604" s="550"/>
    </row>
    <row r="605" spans="1:22">
      <c r="A605" s="1"/>
      <c r="B605" s="88"/>
      <c r="C605" s="552"/>
      <c r="D605" s="553"/>
      <c r="E605" s="158"/>
      <c r="F605" s="158"/>
      <c r="G605" s="159"/>
      <c r="H605" s="215"/>
      <c r="I605" s="215"/>
      <c r="J605" s="322"/>
      <c r="K605" s="554"/>
      <c r="L605" s="65"/>
      <c r="M605" s="65"/>
      <c r="N605" s="163"/>
      <c r="O605" s="243"/>
      <c r="P605" s="215"/>
      <c r="Q605" s="65"/>
      <c r="R605" s="65"/>
      <c r="V605" s="550"/>
    </row>
    <row r="606" spans="1:22">
      <c r="A606" s="1"/>
      <c r="B606" s="88"/>
      <c r="C606" s="552"/>
      <c r="D606" s="553"/>
      <c r="E606" s="158"/>
      <c r="F606" s="158"/>
      <c r="G606" s="159"/>
      <c r="H606" s="215"/>
      <c r="I606" s="215"/>
      <c r="J606" s="322"/>
      <c r="K606" s="554"/>
      <c r="L606" s="65"/>
      <c r="M606" s="65"/>
      <c r="N606" s="163"/>
      <c r="O606" s="243"/>
      <c r="P606" s="215"/>
      <c r="Q606" s="65"/>
      <c r="R606" s="65"/>
      <c r="V606" s="550"/>
    </row>
    <row r="607" spans="1:22">
      <c r="A607" s="1"/>
      <c r="B607" s="88"/>
      <c r="C607" s="552"/>
      <c r="D607" s="553"/>
      <c r="E607" s="158"/>
      <c r="F607" s="158"/>
      <c r="G607" s="159"/>
      <c r="H607" s="215"/>
      <c r="I607" s="215"/>
      <c r="J607" s="322"/>
      <c r="K607" s="554"/>
      <c r="L607" s="65"/>
      <c r="M607" s="65"/>
      <c r="N607" s="163"/>
      <c r="O607" s="243"/>
      <c r="P607" s="215"/>
      <c r="Q607" s="65"/>
      <c r="R607" s="65"/>
      <c r="V607" s="550"/>
    </row>
    <row r="608" spans="1:22">
      <c r="A608" s="1"/>
      <c r="B608" s="88"/>
      <c r="C608" s="552"/>
      <c r="D608" s="553"/>
      <c r="E608" s="158"/>
      <c r="F608" s="158"/>
      <c r="G608" s="159"/>
      <c r="H608" s="215"/>
      <c r="I608" s="215"/>
      <c r="J608" s="322"/>
      <c r="K608" s="554"/>
      <c r="L608" s="65"/>
      <c r="M608" s="65"/>
      <c r="N608" s="163"/>
      <c r="O608" s="243"/>
      <c r="P608" s="215"/>
      <c r="Q608" s="65"/>
      <c r="R608" s="65"/>
      <c r="V608" s="550"/>
    </row>
    <row r="609" spans="1:22">
      <c r="A609" s="1"/>
      <c r="B609" s="88"/>
      <c r="C609" s="552"/>
      <c r="D609" s="553"/>
      <c r="E609" s="158"/>
      <c r="F609" s="158"/>
      <c r="G609" s="159"/>
      <c r="H609" s="215"/>
      <c r="I609" s="215"/>
      <c r="J609" s="322"/>
      <c r="K609" s="554"/>
      <c r="L609" s="65"/>
      <c r="M609" s="65"/>
      <c r="N609" s="163"/>
      <c r="O609" s="243"/>
      <c r="P609" s="215"/>
      <c r="Q609" s="65"/>
      <c r="R609" s="65"/>
      <c r="V609" s="550"/>
    </row>
    <row r="610" spans="1:22">
      <c r="A610" s="1"/>
      <c r="B610" s="88"/>
      <c r="C610" s="552"/>
      <c r="D610" s="553"/>
      <c r="E610" s="158"/>
      <c r="F610" s="158"/>
      <c r="G610" s="159"/>
      <c r="H610" s="215"/>
      <c r="I610" s="215"/>
      <c r="J610" s="322"/>
      <c r="K610" s="554"/>
      <c r="L610" s="65"/>
      <c r="M610" s="65"/>
      <c r="N610" s="163"/>
      <c r="O610" s="243"/>
      <c r="P610" s="215"/>
      <c r="Q610" s="65"/>
      <c r="R610" s="65"/>
      <c r="V610" s="550"/>
    </row>
    <row r="611" spans="1:22">
      <c r="A611" s="1"/>
      <c r="B611" s="88"/>
      <c r="C611" s="552"/>
      <c r="D611" s="553"/>
      <c r="E611" s="158"/>
      <c r="F611" s="158"/>
      <c r="G611" s="159"/>
      <c r="H611" s="215"/>
      <c r="I611" s="215"/>
      <c r="J611" s="322"/>
      <c r="K611" s="554"/>
      <c r="L611" s="65"/>
      <c r="M611" s="65"/>
      <c r="N611" s="163"/>
      <c r="O611" s="243"/>
      <c r="P611" s="215"/>
      <c r="Q611" s="65"/>
      <c r="R611" s="65"/>
      <c r="V611" s="550"/>
    </row>
    <row r="612" spans="1:22">
      <c r="A612" s="1"/>
      <c r="B612" s="88"/>
      <c r="C612" s="552"/>
      <c r="D612" s="553"/>
      <c r="E612" s="158"/>
      <c r="F612" s="158"/>
      <c r="G612" s="159"/>
      <c r="H612" s="215"/>
      <c r="I612" s="215"/>
      <c r="J612" s="322"/>
      <c r="K612" s="554"/>
      <c r="L612" s="65"/>
      <c r="M612" s="65"/>
      <c r="N612" s="163"/>
      <c r="O612" s="243"/>
      <c r="P612" s="215"/>
      <c r="Q612" s="65"/>
      <c r="R612" s="65"/>
      <c r="V612" s="550"/>
    </row>
    <row r="613" spans="1:22">
      <c r="A613" s="1"/>
      <c r="B613" s="88"/>
      <c r="C613" s="552"/>
      <c r="D613" s="553"/>
      <c r="E613" s="158"/>
      <c r="F613" s="158"/>
      <c r="G613" s="159"/>
      <c r="H613" s="215"/>
      <c r="I613" s="215"/>
      <c r="J613" s="322"/>
      <c r="K613" s="554"/>
      <c r="L613" s="65"/>
      <c r="M613" s="65"/>
      <c r="N613" s="163"/>
      <c r="O613" s="243"/>
      <c r="P613" s="215"/>
      <c r="Q613" s="65"/>
      <c r="R613" s="65"/>
      <c r="V613" s="550"/>
    </row>
    <row r="614" spans="1:22">
      <c r="A614" s="1"/>
      <c r="B614" s="88"/>
      <c r="C614" s="552"/>
      <c r="D614" s="553"/>
      <c r="E614" s="158"/>
      <c r="F614" s="158"/>
      <c r="G614" s="159"/>
      <c r="H614" s="215"/>
      <c r="I614" s="215"/>
      <c r="J614" s="322"/>
      <c r="K614" s="554"/>
      <c r="L614" s="65"/>
      <c r="M614" s="65"/>
      <c r="N614" s="163"/>
      <c r="O614" s="243"/>
      <c r="P614" s="215"/>
      <c r="Q614" s="65"/>
      <c r="R614" s="65"/>
      <c r="V614" s="550"/>
    </row>
    <row r="615" spans="1:22">
      <c r="A615" s="1"/>
      <c r="B615" s="88"/>
      <c r="C615" s="552"/>
      <c r="D615" s="553"/>
      <c r="E615" s="158"/>
      <c r="F615" s="158"/>
      <c r="G615" s="159"/>
      <c r="H615" s="215"/>
      <c r="I615" s="215"/>
      <c r="J615" s="322"/>
      <c r="K615" s="554"/>
      <c r="L615" s="65"/>
      <c r="M615" s="65"/>
      <c r="N615" s="163"/>
      <c r="O615" s="243"/>
      <c r="P615" s="215"/>
      <c r="Q615" s="65"/>
      <c r="R615" s="65"/>
      <c r="V615" s="550"/>
    </row>
    <row r="616" spans="1:22">
      <c r="A616" s="1"/>
      <c r="B616" s="88"/>
      <c r="C616" s="552"/>
      <c r="D616" s="553"/>
      <c r="E616" s="158"/>
      <c r="F616" s="158"/>
      <c r="G616" s="159"/>
      <c r="H616" s="215"/>
      <c r="I616" s="215"/>
      <c r="J616" s="322"/>
      <c r="K616" s="554"/>
      <c r="L616" s="65"/>
      <c r="M616" s="65"/>
      <c r="N616" s="163"/>
      <c r="O616" s="243"/>
      <c r="P616" s="215"/>
      <c r="Q616" s="65"/>
      <c r="R616" s="65"/>
      <c r="V616" s="550"/>
    </row>
    <row r="617" spans="1:22">
      <c r="A617" s="1"/>
      <c r="B617" s="88"/>
      <c r="C617" s="552"/>
      <c r="D617" s="553"/>
      <c r="E617" s="158"/>
      <c r="F617" s="158"/>
      <c r="G617" s="159"/>
      <c r="H617" s="215"/>
      <c r="I617" s="215"/>
      <c r="J617" s="322"/>
      <c r="K617" s="554"/>
      <c r="L617" s="65"/>
      <c r="M617" s="65"/>
      <c r="N617" s="163"/>
      <c r="O617" s="243"/>
      <c r="P617" s="215"/>
      <c r="Q617" s="65"/>
      <c r="R617" s="65"/>
      <c r="V617" s="550"/>
    </row>
    <row r="618" spans="1:22">
      <c r="A618" s="1"/>
      <c r="B618" s="88"/>
      <c r="C618" s="552"/>
      <c r="D618" s="553"/>
      <c r="E618" s="158"/>
      <c r="F618" s="158"/>
      <c r="G618" s="159"/>
      <c r="H618" s="215"/>
      <c r="I618" s="215"/>
      <c r="J618" s="322"/>
      <c r="K618" s="554"/>
      <c r="L618" s="65"/>
      <c r="M618" s="65"/>
      <c r="N618" s="163"/>
      <c r="O618" s="243"/>
      <c r="P618" s="215"/>
      <c r="Q618" s="65"/>
      <c r="R618" s="65"/>
      <c r="V618" s="550"/>
    </row>
    <row r="619" spans="1:22">
      <c r="A619" s="1"/>
      <c r="B619" s="88"/>
      <c r="C619" s="552"/>
      <c r="D619" s="553"/>
      <c r="E619" s="158"/>
      <c r="F619" s="158"/>
      <c r="G619" s="159"/>
      <c r="H619" s="215"/>
      <c r="I619" s="215"/>
      <c r="J619" s="322"/>
      <c r="K619" s="554"/>
      <c r="L619" s="65"/>
      <c r="M619" s="65"/>
      <c r="N619" s="163"/>
      <c r="O619" s="243"/>
      <c r="P619" s="215"/>
      <c r="Q619" s="65"/>
      <c r="R619" s="65"/>
      <c r="V619" s="550"/>
    </row>
    <row r="620" spans="1:22">
      <c r="A620" s="1"/>
      <c r="B620" s="88"/>
      <c r="C620" s="552"/>
      <c r="D620" s="553"/>
      <c r="E620" s="158"/>
      <c r="F620" s="158"/>
      <c r="G620" s="159"/>
      <c r="H620" s="215"/>
      <c r="I620" s="215"/>
      <c r="J620" s="322"/>
      <c r="K620" s="554"/>
      <c r="L620" s="65"/>
      <c r="M620" s="65"/>
      <c r="N620" s="163"/>
      <c r="O620" s="243"/>
      <c r="P620" s="215"/>
      <c r="Q620" s="65"/>
      <c r="R620" s="65"/>
      <c r="V620" s="550"/>
    </row>
    <row r="621" spans="1:22">
      <c r="A621" s="1"/>
      <c r="B621" s="88"/>
      <c r="C621" s="552"/>
      <c r="D621" s="553"/>
      <c r="E621" s="158"/>
      <c r="F621" s="158"/>
      <c r="G621" s="159"/>
      <c r="H621" s="215"/>
      <c r="I621" s="215"/>
      <c r="J621" s="322"/>
      <c r="K621" s="554"/>
      <c r="L621" s="65"/>
      <c r="M621" s="65"/>
      <c r="N621" s="163"/>
      <c r="O621" s="243"/>
      <c r="P621" s="215"/>
      <c r="Q621" s="65"/>
      <c r="R621" s="65"/>
      <c r="V621" s="550"/>
    </row>
    <row r="622" spans="1:22">
      <c r="A622" s="1"/>
      <c r="B622" s="88"/>
      <c r="C622" s="552"/>
      <c r="D622" s="553"/>
      <c r="E622" s="158"/>
      <c r="F622" s="158"/>
      <c r="G622" s="159"/>
      <c r="H622" s="215"/>
      <c r="I622" s="215"/>
      <c r="J622" s="322"/>
      <c r="K622" s="554"/>
      <c r="L622" s="65"/>
      <c r="M622" s="65"/>
      <c r="N622" s="163"/>
      <c r="O622" s="243"/>
      <c r="P622" s="215"/>
      <c r="Q622" s="65"/>
      <c r="R622" s="65"/>
      <c r="V622" s="550"/>
    </row>
    <row r="623" spans="1:22">
      <c r="A623" s="1"/>
      <c r="B623" s="88"/>
      <c r="C623" s="552"/>
      <c r="D623" s="553"/>
      <c r="E623" s="158"/>
      <c r="F623" s="158"/>
      <c r="G623" s="159"/>
      <c r="H623" s="215"/>
      <c r="I623" s="215"/>
      <c r="J623" s="322"/>
      <c r="K623" s="554"/>
      <c r="L623" s="65"/>
      <c r="M623" s="65"/>
      <c r="N623" s="163"/>
      <c r="O623" s="243"/>
      <c r="P623" s="215"/>
      <c r="Q623" s="65"/>
      <c r="R623" s="65"/>
      <c r="V623" s="550"/>
    </row>
    <row r="624" spans="1:22">
      <c r="A624" s="1"/>
      <c r="B624" s="88"/>
      <c r="C624" s="552"/>
      <c r="D624" s="553"/>
      <c r="E624" s="158"/>
      <c r="F624" s="158"/>
      <c r="G624" s="159"/>
      <c r="H624" s="215"/>
      <c r="I624" s="215"/>
      <c r="J624" s="322"/>
      <c r="K624" s="554"/>
      <c r="L624" s="65"/>
      <c r="M624" s="65"/>
      <c r="N624" s="163"/>
      <c r="O624" s="243"/>
      <c r="P624" s="215"/>
      <c r="Q624" s="65"/>
      <c r="R624" s="65"/>
      <c r="V624" s="550"/>
    </row>
    <row r="625" spans="1:22">
      <c r="A625" s="1"/>
      <c r="B625" s="88"/>
      <c r="C625" s="552"/>
      <c r="D625" s="553"/>
      <c r="E625" s="158"/>
      <c r="F625" s="158"/>
      <c r="G625" s="159"/>
      <c r="H625" s="215"/>
      <c r="I625" s="215"/>
      <c r="J625" s="322"/>
      <c r="K625" s="554"/>
      <c r="L625" s="65"/>
      <c r="M625" s="65"/>
      <c r="N625" s="163"/>
      <c r="O625" s="243"/>
      <c r="P625" s="215"/>
      <c r="Q625" s="65"/>
      <c r="R625" s="65"/>
      <c r="V625" s="550"/>
    </row>
    <row r="626" spans="1:22">
      <c r="A626" s="1"/>
      <c r="B626" s="88"/>
      <c r="C626" s="552"/>
      <c r="D626" s="553"/>
      <c r="E626" s="158"/>
      <c r="F626" s="158"/>
      <c r="G626" s="159"/>
      <c r="H626" s="215"/>
      <c r="I626" s="215"/>
      <c r="J626" s="322"/>
      <c r="K626" s="554"/>
      <c r="L626" s="65"/>
      <c r="M626" s="65"/>
      <c r="N626" s="163"/>
      <c r="O626" s="243"/>
      <c r="P626" s="215"/>
      <c r="Q626" s="65"/>
      <c r="R626" s="65"/>
      <c r="V626" s="550"/>
    </row>
    <row r="627" spans="1:22">
      <c r="A627" s="1"/>
      <c r="B627" s="88"/>
      <c r="C627" s="552"/>
      <c r="D627" s="553"/>
      <c r="E627" s="158"/>
      <c r="F627" s="158"/>
      <c r="G627" s="159"/>
      <c r="H627" s="215"/>
      <c r="I627" s="215"/>
      <c r="J627" s="322"/>
      <c r="K627" s="554"/>
      <c r="L627" s="65"/>
      <c r="M627" s="65"/>
      <c r="N627" s="163"/>
      <c r="O627" s="243"/>
      <c r="P627" s="215"/>
      <c r="Q627" s="65"/>
      <c r="R627" s="65"/>
      <c r="V627" s="550"/>
    </row>
    <row r="628" spans="1:22">
      <c r="A628" s="1"/>
      <c r="B628" s="88"/>
      <c r="C628" s="552"/>
      <c r="D628" s="553"/>
      <c r="E628" s="158"/>
      <c r="F628" s="158"/>
      <c r="G628" s="159"/>
      <c r="H628" s="215"/>
      <c r="I628" s="215"/>
      <c r="J628" s="322"/>
      <c r="K628" s="554"/>
      <c r="L628" s="65"/>
      <c r="M628" s="65"/>
      <c r="N628" s="163"/>
      <c r="O628" s="243"/>
      <c r="P628" s="215"/>
      <c r="Q628" s="65"/>
      <c r="R628" s="65"/>
      <c r="V628" s="550"/>
    </row>
    <row r="629" spans="1:22">
      <c r="A629" s="1"/>
      <c r="B629" s="88"/>
      <c r="C629" s="552"/>
      <c r="D629" s="553"/>
      <c r="E629" s="158"/>
      <c r="F629" s="158"/>
      <c r="G629" s="159"/>
      <c r="H629" s="215"/>
      <c r="I629" s="215"/>
      <c r="J629" s="322"/>
      <c r="K629" s="554"/>
      <c r="L629" s="65"/>
      <c r="M629" s="65"/>
      <c r="N629" s="163"/>
      <c r="O629" s="243"/>
      <c r="P629" s="215"/>
      <c r="Q629" s="65"/>
      <c r="R629" s="65"/>
      <c r="V629" s="550"/>
    </row>
    <row r="630" spans="1:22">
      <c r="A630" s="1"/>
      <c r="B630" s="88"/>
      <c r="C630" s="552"/>
      <c r="D630" s="553"/>
      <c r="E630" s="158"/>
      <c r="F630" s="158"/>
      <c r="G630" s="159"/>
      <c r="H630" s="215"/>
      <c r="I630" s="215"/>
      <c r="J630" s="322"/>
      <c r="K630" s="554"/>
      <c r="L630" s="65"/>
      <c r="M630" s="65"/>
      <c r="N630" s="163"/>
      <c r="O630" s="243"/>
      <c r="P630" s="215"/>
      <c r="Q630" s="65"/>
      <c r="R630" s="65"/>
      <c r="V630" s="550"/>
    </row>
    <row r="631" spans="1:22">
      <c r="A631" s="1"/>
      <c r="B631" s="88"/>
      <c r="C631" s="552"/>
      <c r="D631" s="553"/>
      <c r="E631" s="158"/>
      <c r="F631" s="158"/>
      <c r="G631" s="159"/>
      <c r="H631" s="215"/>
      <c r="I631" s="215"/>
      <c r="J631" s="322"/>
      <c r="K631" s="554"/>
      <c r="L631" s="65"/>
      <c r="M631" s="65"/>
      <c r="N631" s="163"/>
      <c r="O631" s="243"/>
      <c r="P631" s="215"/>
      <c r="Q631" s="65"/>
      <c r="R631" s="65"/>
      <c r="V631" s="550"/>
    </row>
    <row r="632" spans="1:22">
      <c r="A632" s="1"/>
      <c r="B632" s="88"/>
      <c r="C632" s="552"/>
      <c r="D632" s="553"/>
      <c r="E632" s="158"/>
      <c r="F632" s="158"/>
      <c r="G632" s="159"/>
      <c r="H632" s="215"/>
      <c r="I632" s="215"/>
      <c r="J632" s="322"/>
      <c r="K632" s="554"/>
      <c r="L632" s="65"/>
      <c r="M632" s="65"/>
      <c r="N632" s="163"/>
      <c r="O632" s="243"/>
      <c r="P632" s="215"/>
      <c r="Q632" s="65"/>
      <c r="R632" s="65"/>
      <c r="V632" s="550"/>
    </row>
    <row r="633" spans="1:22">
      <c r="A633" s="1"/>
      <c r="B633" s="88"/>
      <c r="C633" s="552"/>
      <c r="D633" s="553"/>
      <c r="E633" s="158"/>
      <c r="F633" s="158"/>
      <c r="G633" s="159"/>
      <c r="H633" s="215"/>
      <c r="I633" s="215"/>
      <c r="J633" s="322"/>
      <c r="K633" s="554"/>
      <c r="L633" s="65"/>
      <c r="M633" s="65"/>
      <c r="N633" s="163"/>
      <c r="O633" s="243"/>
      <c r="P633" s="215"/>
      <c r="Q633" s="65"/>
      <c r="R633" s="65"/>
      <c r="V633" s="550"/>
    </row>
    <row r="634" spans="1:22">
      <c r="A634" s="1"/>
      <c r="B634" s="88"/>
      <c r="C634" s="552"/>
      <c r="D634" s="553"/>
      <c r="E634" s="158"/>
      <c r="F634" s="158"/>
      <c r="G634" s="159"/>
      <c r="H634" s="215"/>
      <c r="I634" s="215"/>
      <c r="J634" s="322"/>
      <c r="K634" s="554"/>
      <c r="L634" s="65"/>
      <c r="M634" s="65"/>
      <c r="N634" s="163"/>
      <c r="O634" s="243"/>
      <c r="P634" s="215"/>
      <c r="Q634" s="65"/>
      <c r="R634" s="65"/>
      <c r="V634" s="550"/>
    </row>
    <row r="635" spans="1:22">
      <c r="A635" s="1"/>
      <c r="B635" s="88"/>
      <c r="C635" s="552"/>
      <c r="D635" s="553"/>
      <c r="E635" s="158"/>
      <c r="F635" s="158"/>
      <c r="G635" s="159"/>
      <c r="H635" s="215"/>
      <c r="I635" s="215"/>
      <c r="J635" s="322"/>
      <c r="K635" s="554"/>
      <c r="L635" s="65"/>
      <c r="M635" s="65"/>
      <c r="N635" s="163"/>
      <c r="O635" s="243"/>
      <c r="P635" s="215"/>
      <c r="Q635" s="65"/>
      <c r="R635" s="65"/>
      <c r="V635" s="550"/>
    </row>
    <row r="636" spans="1:22">
      <c r="A636" s="1"/>
      <c r="B636" s="88"/>
      <c r="C636" s="552"/>
      <c r="D636" s="553"/>
      <c r="E636" s="158"/>
      <c r="F636" s="158"/>
      <c r="G636" s="159"/>
      <c r="H636" s="215"/>
      <c r="I636" s="215"/>
      <c r="J636" s="322"/>
      <c r="K636" s="554"/>
      <c r="L636" s="65"/>
      <c r="M636" s="65"/>
      <c r="N636" s="163"/>
      <c r="O636" s="243"/>
      <c r="P636" s="215"/>
      <c r="Q636" s="65"/>
      <c r="R636" s="65"/>
      <c r="V636" s="550"/>
    </row>
    <row r="637" spans="1:22">
      <c r="A637" s="1"/>
      <c r="B637" s="88"/>
      <c r="C637" s="552"/>
      <c r="D637" s="553"/>
      <c r="E637" s="158"/>
      <c r="F637" s="158"/>
      <c r="G637" s="159"/>
      <c r="H637" s="215"/>
      <c r="I637" s="215"/>
      <c r="J637" s="322"/>
      <c r="K637" s="554"/>
      <c r="L637" s="65"/>
      <c r="M637" s="65"/>
      <c r="N637" s="163"/>
      <c r="O637" s="243"/>
      <c r="P637" s="215"/>
      <c r="Q637" s="65"/>
      <c r="R637" s="65"/>
      <c r="V637" s="550"/>
    </row>
    <row r="638" spans="1:22">
      <c r="A638" s="1"/>
      <c r="B638" s="88"/>
      <c r="C638" s="552"/>
      <c r="D638" s="553"/>
      <c r="E638" s="158"/>
      <c r="F638" s="158"/>
      <c r="G638" s="159"/>
      <c r="H638" s="215"/>
      <c r="I638" s="215"/>
      <c r="J638" s="322"/>
      <c r="K638" s="554"/>
      <c r="L638" s="65"/>
      <c r="M638" s="65"/>
      <c r="N638" s="163"/>
      <c r="O638" s="243"/>
      <c r="P638" s="215"/>
      <c r="Q638" s="65"/>
      <c r="R638" s="65"/>
      <c r="V638" s="550"/>
    </row>
    <row r="639" spans="1:22">
      <c r="A639" s="1"/>
      <c r="B639" s="88"/>
      <c r="C639" s="552"/>
      <c r="D639" s="553"/>
      <c r="E639" s="158"/>
      <c r="F639" s="158"/>
      <c r="G639" s="159"/>
      <c r="H639" s="215"/>
      <c r="I639" s="215"/>
      <c r="J639" s="322"/>
      <c r="K639" s="554"/>
      <c r="L639" s="65"/>
      <c r="M639" s="65"/>
      <c r="N639" s="163"/>
      <c r="O639" s="243"/>
      <c r="P639" s="215"/>
      <c r="Q639" s="65"/>
      <c r="R639" s="65"/>
      <c r="V639" s="550"/>
    </row>
    <row r="640" spans="1:22">
      <c r="A640" s="1"/>
      <c r="B640" s="88"/>
      <c r="C640" s="552"/>
      <c r="D640" s="553"/>
      <c r="E640" s="158"/>
      <c r="F640" s="158"/>
      <c r="G640" s="159"/>
      <c r="H640" s="215"/>
      <c r="I640" s="215"/>
      <c r="J640" s="322"/>
      <c r="K640" s="554"/>
      <c r="L640" s="65"/>
      <c r="M640" s="65"/>
      <c r="N640" s="163"/>
      <c r="O640" s="243"/>
      <c r="P640" s="215"/>
      <c r="Q640" s="65"/>
      <c r="R640" s="65"/>
      <c r="V640" s="550"/>
    </row>
    <row r="641" spans="1:22">
      <c r="A641" s="1"/>
      <c r="B641" s="88"/>
      <c r="C641" s="552"/>
      <c r="D641" s="553"/>
      <c r="E641" s="158"/>
      <c r="F641" s="158"/>
      <c r="G641" s="159"/>
      <c r="H641" s="215"/>
      <c r="I641" s="215"/>
      <c r="J641" s="322"/>
      <c r="K641" s="554"/>
      <c r="L641" s="65"/>
      <c r="M641" s="65"/>
      <c r="N641" s="163"/>
      <c r="O641" s="243"/>
      <c r="P641" s="215"/>
      <c r="Q641" s="65"/>
      <c r="R641" s="65"/>
      <c r="V641" s="550"/>
    </row>
    <row r="642" spans="1:22">
      <c r="A642" s="1"/>
      <c r="B642" s="88"/>
      <c r="C642" s="552"/>
      <c r="D642" s="553"/>
      <c r="E642" s="158"/>
      <c r="F642" s="158"/>
      <c r="G642" s="159"/>
      <c r="H642" s="215"/>
      <c r="I642" s="215"/>
      <c r="J642" s="322"/>
      <c r="K642" s="554"/>
      <c r="L642" s="65"/>
      <c r="M642" s="65"/>
      <c r="N642" s="163"/>
      <c r="O642" s="243"/>
      <c r="P642" s="215"/>
      <c r="Q642" s="65"/>
      <c r="R642" s="65"/>
      <c r="V642" s="550"/>
    </row>
    <row r="643" spans="1:22">
      <c r="A643" s="1"/>
      <c r="B643" s="88"/>
      <c r="C643" s="552"/>
      <c r="D643" s="553"/>
      <c r="E643" s="158"/>
      <c r="F643" s="158"/>
      <c r="G643" s="159"/>
      <c r="H643" s="215"/>
      <c r="I643" s="215"/>
      <c r="J643" s="322"/>
      <c r="K643" s="554"/>
      <c r="L643" s="65"/>
      <c r="M643" s="65"/>
      <c r="N643" s="163"/>
      <c r="O643" s="243"/>
      <c r="P643" s="215"/>
      <c r="Q643" s="65"/>
      <c r="R643" s="65"/>
      <c r="V643" s="550"/>
    </row>
    <row r="644" spans="1:22">
      <c r="A644" s="1"/>
      <c r="B644" s="88"/>
      <c r="C644" s="552"/>
      <c r="D644" s="553"/>
      <c r="E644" s="158"/>
      <c r="F644" s="158"/>
      <c r="G644" s="159"/>
      <c r="H644" s="215"/>
      <c r="I644" s="215"/>
      <c r="J644" s="322"/>
      <c r="K644" s="554"/>
      <c r="L644" s="65"/>
      <c r="M644" s="65"/>
      <c r="N644" s="163"/>
      <c r="O644" s="243"/>
      <c r="P644" s="215"/>
      <c r="Q644" s="65"/>
      <c r="R644" s="65"/>
      <c r="V644" s="550"/>
    </row>
    <row r="645" spans="1:22">
      <c r="A645" s="1"/>
      <c r="B645" s="88"/>
      <c r="C645" s="552"/>
      <c r="D645" s="553"/>
      <c r="E645" s="158"/>
      <c r="F645" s="158"/>
      <c r="G645" s="159"/>
      <c r="H645" s="215"/>
      <c r="I645" s="215"/>
      <c r="J645" s="322"/>
      <c r="K645" s="554"/>
      <c r="L645" s="65"/>
      <c r="M645" s="65"/>
      <c r="N645" s="163"/>
      <c r="O645" s="243"/>
      <c r="P645" s="215"/>
      <c r="Q645" s="65"/>
      <c r="R645" s="65"/>
      <c r="V645" s="550"/>
    </row>
    <row r="646" spans="1:22">
      <c r="A646" s="1"/>
      <c r="B646" s="88"/>
      <c r="C646" s="552"/>
      <c r="D646" s="553"/>
      <c r="E646" s="158"/>
      <c r="F646" s="158"/>
      <c r="G646" s="159"/>
      <c r="H646" s="215"/>
      <c r="I646" s="215"/>
      <c r="J646" s="322"/>
      <c r="K646" s="554"/>
      <c r="L646" s="65"/>
      <c r="M646" s="65"/>
      <c r="N646" s="163"/>
      <c r="O646" s="243"/>
      <c r="P646" s="215"/>
      <c r="Q646" s="65"/>
      <c r="R646" s="65"/>
      <c r="V646" s="550"/>
    </row>
    <row r="647" spans="1:22">
      <c r="A647" s="1"/>
      <c r="B647" s="88"/>
      <c r="C647" s="552"/>
      <c r="D647" s="553"/>
      <c r="E647" s="158"/>
      <c r="F647" s="158"/>
      <c r="G647" s="159"/>
      <c r="H647" s="215"/>
      <c r="I647" s="215"/>
      <c r="J647" s="322"/>
      <c r="K647" s="554"/>
      <c r="L647" s="65"/>
      <c r="M647" s="65"/>
      <c r="N647" s="163"/>
      <c r="O647" s="243"/>
      <c r="P647" s="215"/>
      <c r="Q647" s="65"/>
      <c r="R647" s="65"/>
      <c r="V647" s="550"/>
    </row>
    <row r="648" spans="1:22">
      <c r="A648" s="1"/>
      <c r="B648" s="88"/>
      <c r="C648" s="552"/>
      <c r="D648" s="553"/>
      <c r="E648" s="158"/>
      <c r="F648" s="158"/>
      <c r="G648" s="159"/>
      <c r="H648" s="215"/>
      <c r="I648" s="215"/>
      <c r="J648" s="322"/>
      <c r="K648" s="554"/>
      <c r="L648" s="65"/>
      <c r="M648" s="65"/>
      <c r="N648" s="163"/>
      <c r="O648" s="243"/>
      <c r="P648" s="215"/>
      <c r="Q648" s="65"/>
      <c r="R648" s="65"/>
      <c r="V648" s="550"/>
    </row>
    <row r="649" spans="1:22">
      <c r="A649" s="1"/>
      <c r="B649" s="88"/>
      <c r="C649" s="552"/>
      <c r="D649" s="553"/>
      <c r="E649" s="158"/>
      <c r="F649" s="158"/>
      <c r="G649" s="159"/>
      <c r="H649" s="215"/>
      <c r="I649" s="215"/>
      <c r="J649" s="322"/>
      <c r="K649" s="554"/>
      <c r="L649" s="65"/>
      <c r="M649" s="65"/>
      <c r="N649" s="163"/>
      <c r="O649" s="243"/>
      <c r="P649" s="215"/>
      <c r="Q649" s="65"/>
      <c r="R649" s="65"/>
      <c r="V649" s="550"/>
    </row>
    <row r="650" spans="1:22">
      <c r="A650" s="1"/>
      <c r="B650" s="88"/>
      <c r="C650" s="552"/>
      <c r="D650" s="553"/>
      <c r="E650" s="158"/>
      <c r="F650" s="158"/>
      <c r="G650" s="159"/>
      <c r="H650" s="215"/>
      <c r="I650" s="215"/>
      <c r="J650" s="322"/>
      <c r="K650" s="554"/>
      <c r="L650" s="65"/>
      <c r="M650" s="65"/>
      <c r="N650" s="163"/>
      <c r="O650" s="243"/>
      <c r="P650" s="215"/>
      <c r="Q650" s="65"/>
      <c r="R650" s="65"/>
      <c r="V650" s="550"/>
    </row>
    <row r="651" spans="1:22">
      <c r="A651" s="1"/>
      <c r="B651" s="88"/>
      <c r="C651" s="552"/>
      <c r="D651" s="553"/>
      <c r="E651" s="158"/>
      <c r="F651" s="158"/>
      <c r="G651" s="159"/>
      <c r="H651" s="215"/>
      <c r="I651" s="215"/>
      <c r="J651" s="322"/>
      <c r="K651" s="554"/>
      <c r="L651" s="65"/>
      <c r="M651" s="65"/>
      <c r="N651" s="163"/>
      <c r="O651" s="243"/>
      <c r="P651" s="215"/>
      <c r="Q651" s="65"/>
      <c r="R651" s="65"/>
      <c r="V651" s="550"/>
    </row>
    <row r="652" spans="1:22">
      <c r="A652" s="1"/>
      <c r="B652" s="88"/>
      <c r="C652" s="552"/>
      <c r="D652" s="553"/>
      <c r="E652" s="158"/>
      <c r="F652" s="158"/>
      <c r="G652" s="159"/>
      <c r="H652" s="215"/>
      <c r="I652" s="215"/>
      <c r="J652" s="322"/>
      <c r="K652" s="554"/>
      <c r="L652" s="65"/>
      <c r="M652" s="65"/>
      <c r="N652" s="163"/>
      <c r="O652" s="243"/>
      <c r="P652" s="215"/>
      <c r="Q652" s="65"/>
      <c r="R652" s="65"/>
      <c r="V652" s="550"/>
    </row>
    <row r="653" spans="1:22">
      <c r="A653" s="1"/>
      <c r="B653" s="88"/>
      <c r="C653" s="552"/>
      <c r="D653" s="553"/>
      <c r="E653" s="158"/>
      <c r="F653" s="158"/>
      <c r="G653" s="159"/>
      <c r="H653" s="215"/>
      <c r="I653" s="215"/>
      <c r="J653" s="322"/>
      <c r="K653" s="554"/>
      <c r="L653" s="65"/>
      <c r="M653" s="65"/>
      <c r="N653" s="163"/>
      <c r="O653" s="243"/>
      <c r="P653" s="215"/>
      <c r="Q653" s="65"/>
      <c r="R653" s="65"/>
      <c r="V653" s="550"/>
    </row>
    <row r="654" spans="1:22">
      <c r="A654" s="1"/>
      <c r="B654" s="88"/>
      <c r="C654" s="552"/>
      <c r="D654" s="553"/>
      <c r="E654" s="158"/>
      <c r="F654" s="158"/>
      <c r="G654" s="159"/>
      <c r="H654" s="215"/>
      <c r="I654" s="215"/>
      <c r="J654" s="322"/>
      <c r="K654" s="554"/>
      <c r="L654" s="65"/>
      <c r="M654" s="65"/>
      <c r="N654" s="163"/>
      <c r="O654" s="243"/>
      <c r="P654" s="215"/>
      <c r="Q654" s="65"/>
      <c r="R654" s="65"/>
      <c r="V654" s="550"/>
    </row>
    <row r="655" spans="1:22">
      <c r="A655" s="1"/>
      <c r="B655" s="88"/>
      <c r="C655" s="552"/>
      <c r="D655" s="553"/>
      <c r="E655" s="158"/>
      <c r="F655" s="158"/>
      <c r="G655" s="159"/>
      <c r="H655" s="215"/>
      <c r="I655" s="215"/>
      <c r="J655" s="322"/>
      <c r="K655" s="554"/>
      <c r="L655" s="65"/>
      <c r="M655" s="65"/>
      <c r="N655" s="163"/>
      <c r="O655" s="243"/>
      <c r="P655" s="215"/>
      <c r="Q655" s="65"/>
      <c r="R655" s="65"/>
      <c r="V655" s="550"/>
    </row>
    <row r="656" spans="1:22">
      <c r="A656" s="1"/>
      <c r="B656" s="88"/>
      <c r="C656" s="552"/>
      <c r="D656" s="553"/>
      <c r="E656" s="158"/>
      <c r="F656" s="158"/>
      <c r="G656" s="159"/>
      <c r="H656" s="215"/>
      <c r="I656" s="215"/>
      <c r="J656" s="322"/>
      <c r="K656" s="554"/>
      <c r="L656" s="65"/>
      <c r="M656" s="65"/>
      <c r="N656" s="163"/>
      <c r="O656" s="243"/>
      <c r="P656" s="215"/>
      <c r="Q656" s="65"/>
      <c r="R656" s="65"/>
      <c r="V656" s="550"/>
    </row>
    <row r="657" spans="1:22">
      <c r="A657" s="1"/>
      <c r="B657" s="88"/>
      <c r="C657" s="552"/>
      <c r="D657" s="553"/>
      <c r="E657" s="158"/>
      <c r="F657" s="158"/>
      <c r="G657" s="159"/>
      <c r="H657" s="215"/>
      <c r="I657" s="215"/>
      <c r="J657" s="322"/>
      <c r="K657" s="554"/>
      <c r="L657" s="65"/>
      <c r="M657" s="65"/>
      <c r="N657" s="163"/>
      <c r="O657" s="243"/>
      <c r="P657" s="215"/>
      <c r="Q657" s="65"/>
      <c r="R657" s="65"/>
      <c r="V657" s="550"/>
    </row>
    <row r="658" spans="1:22">
      <c r="A658" s="1"/>
      <c r="B658" s="88"/>
      <c r="C658" s="552"/>
      <c r="D658" s="553"/>
      <c r="E658" s="158"/>
      <c r="F658" s="158"/>
      <c r="G658" s="159"/>
      <c r="H658" s="215"/>
      <c r="I658" s="215"/>
      <c r="J658" s="322"/>
      <c r="K658" s="554"/>
      <c r="L658" s="65"/>
      <c r="M658" s="65"/>
      <c r="N658" s="163"/>
      <c r="O658" s="243"/>
      <c r="P658" s="215"/>
      <c r="Q658" s="65"/>
      <c r="R658" s="65"/>
      <c r="V658" s="550"/>
    </row>
    <row r="659" spans="1:22">
      <c r="A659" s="1"/>
      <c r="B659" s="88"/>
      <c r="C659" s="552"/>
      <c r="D659" s="553"/>
      <c r="E659" s="158"/>
      <c r="F659" s="158"/>
      <c r="G659" s="159"/>
      <c r="H659" s="215"/>
      <c r="I659" s="215"/>
      <c r="J659" s="322"/>
      <c r="K659" s="554"/>
      <c r="L659" s="65"/>
      <c r="M659" s="65"/>
      <c r="N659" s="163"/>
      <c r="O659" s="243"/>
      <c r="P659" s="215"/>
      <c r="Q659" s="65"/>
      <c r="R659" s="65"/>
      <c r="V659" s="550"/>
    </row>
    <row r="660" spans="1:22">
      <c r="A660" s="1"/>
      <c r="B660" s="88"/>
      <c r="C660" s="552"/>
      <c r="D660" s="553"/>
      <c r="E660" s="158"/>
      <c r="F660" s="158"/>
      <c r="G660" s="159"/>
      <c r="H660" s="215"/>
      <c r="I660" s="215"/>
      <c r="J660" s="322"/>
      <c r="K660" s="554"/>
      <c r="L660" s="65"/>
      <c r="M660" s="65"/>
      <c r="N660" s="163"/>
      <c r="O660" s="243"/>
      <c r="P660" s="215"/>
      <c r="Q660" s="65"/>
      <c r="R660" s="65"/>
      <c r="V660" s="550"/>
    </row>
    <row r="661" spans="1:22">
      <c r="A661" s="1"/>
      <c r="B661" s="88"/>
      <c r="C661" s="552"/>
      <c r="D661" s="553"/>
      <c r="E661" s="158"/>
      <c r="F661" s="158"/>
      <c r="G661" s="159"/>
      <c r="H661" s="215"/>
      <c r="I661" s="215"/>
      <c r="J661" s="322"/>
      <c r="K661" s="554"/>
      <c r="L661" s="65"/>
      <c r="M661" s="65"/>
      <c r="N661" s="163"/>
      <c r="O661" s="243"/>
      <c r="P661" s="215"/>
      <c r="Q661" s="65"/>
      <c r="R661" s="65"/>
      <c r="V661" s="550"/>
    </row>
    <row r="662" spans="1:22">
      <c r="A662" s="1"/>
      <c r="B662" s="88"/>
      <c r="C662" s="552"/>
      <c r="D662" s="553"/>
      <c r="E662" s="158"/>
      <c r="F662" s="158"/>
      <c r="G662" s="159"/>
      <c r="H662" s="215"/>
      <c r="I662" s="215"/>
      <c r="J662" s="322"/>
      <c r="K662" s="554"/>
      <c r="L662" s="65"/>
      <c r="M662" s="65"/>
      <c r="N662" s="163"/>
      <c r="O662" s="243"/>
      <c r="P662" s="215"/>
      <c r="Q662" s="65"/>
      <c r="R662" s="65"/>
      <c r="V662" s="550"/>
    </row>
    <row r="663" spans="1:22">
      <c r="A663" s="1"/>
      <c r="B663" s="88"/>
      <c r="C663" s="552"/>
      <c r="D663" s="553"/>
      <c r="E663" s="158"/>
      <c r="F663" s="158"/>
      <c r="G663" s="159"/>
      <c r="H663" s="215"/>
      <c r="I663" s="215"/>
      <c r="J663" s="322"/>
      <c r="K663" s="554"/>
      <c r="L663" s="65"/>
      <c r="M663" s="65"/>
      <c r="N663" s="163"/>
      <c r="O663" s="243"/>
      <c r="P663" s="215"/>
      <c r="Q663" s="65"/>
      <c r="R663" s="65"/>
      <c r="V663" s="550"/>
    </row>
    <row r="664" spans="1:22">
      <c r="A664" s="1"/>
      <c r="B664" s="88"/>
      <c r="C664" s="552"/>
      <c r="D664" s="553"/>
      <c r="E664" s="158"/>
      <c r="F664" s="158"/>
      <c r="G664" s="159"/>
      <c r="H664" s="215"/>
      <c r="I664" s="215"/>
      <c r="J664" s="322"/>
      <c r="K664" s="554"/>
      <c r="L664" s="65"/>
      <c r="M664" s="65"/>
      <c r="N664" s="163"/>
      <c r="O664" s="243"/>
      <c r="P664" s="215"/>
      <c r="Q664" s="65"/>
      <c r="R664" s="65"/>
      <c r="V664" s="550"/>
    </row>
    <row r="665" spans="1:22">
      <c r="A665" s="1"/>
      <c r="B665" s="88"/>
      <c r="C665" s="552"/>
      <c r="D665" s="553"/>
      <c r="E665" s="158"/>
      <c r="F665" s="158"/>
      <c r="G665" s="159"/>
      <c r="H665" s="215"/>
      <c r="I665" s="215"/>
      <c r="J665" s="322"/>
      <c r="K665" s="554"/>
      <c r="L665" s="65"/>
      <c r="M665" s="65"/>
      <c r="N665" s="163"/>
      <c r="O665" s="243"/>
      <c r="P665" s="215"/>
      <c r="Q665" s="65"/>
      <c r="R665" s="65"/>
      <c r="V665" s="550"/>
    </row>
    <row r="666" spans="1:22">
      <c r="A666" s="1"/>
      <c r="B666" s="88"/>
      <c r="C666" s="552"/>
      <c r="D666" s="553"/>
      <c r="E666" s="158"/>
      <c r="F666" s="158"/>
      <c r="G666" s="159"/>
      <c r="H666" s="215"/>
      <c r="I666" s="215"/>
      <c r="J666" s="322"/>
      <c r="K666" s="554"/>
      <c r="L666" s="65"/>
      <c r="M666" s="65"/>
      <c r="N666" s="163"/>
      <c r="O666" s="243"/>
      <c r="P666" s="215"/>
      <c r="Q666" s="65"/>
      <c r="R666" s="65"/>
      <c r="V666" s="550"/>
    </row>
    <row r="667" spans="1:22">
      <c r="A667" s="1"/>
      <c r="B667" s="88"/>
      <c r="C667" s="552"/>
      <c r="D667" s="553"/>
      <c r="E667" s="158"/>
      <c r="F667" s="158"/>
      <c r="G667" s="159"/>
      <c r="H667" s="215"/>
      <c r="I667" s="215"/>
      <c r="J667" s="322"/>
      <c r="K667" s="554"/>
      <c r="L667" s="65"/>
      <c r="M667" s="65"/>
      <c r="N667" s="163"/>
      <c r="O667" s="243"/>
      <c r="P667" s="215"/>
      <c r="Q667" s="65"/>
      <c r="R667" s="65"/>
      <c r="V667" s="550"/>
    </row>
    <row r="668" spans="1:22">
      <c r="A668" s="1"/>
      <c r="B668" s="88"/>
      <c r="C668" s="552"/>
      <c r="D668" s="553"/>
      <c r="E668" s="158"/>
      <c r="F668" s="158"/>
      <c r="G668" s="159"/>
      <c r="H668" s="215"/>
      <c r="I668" s="215"/>
      <c r="J668" s="322"/>
      <c r="K668" s="554"/>
      <c r="L668" s="65"/>
      <c r="M668" s="65"/>
      <c r="N668" s="163"/>
      <c r="O668" s="243"/>
      <c r="P668" s="215"/>
      <c r="Q668" s="65"/>
      <c r="R668" s="65"/>
      <c r="V668" s="550"/>
    </row>
    <row r="669" spans="1:22">
      <c r="A669" s="1"/>
      <c r="B669" s="88"/>
      <c r="C669" s="552"/>
      <c r="D669" s="553"/>
      <c r="E669" s="158"/>
      <c r="F669" s="158"/>
      <c r="G669" s="159"/>
      <c r="H669" s="215"/>
      <c r="I669" s="215"/>
      <c r="J669" s="322"/>
      <c r="K669" s="554"/>
      <c r="L669" s="65"/>
      <c r="M669" s="65"/>
      <c r="N669" s="163"/>
      <c r="O669" s="243"/>
      <c r="P669" s="215"/>
      <c r="Q669" s="65"/>
      <c r="R669" s="65"/>
      <c r="V669" s="550"/>
    </row>
    <row r="670" spans="1:22">
      <c r="A670" s="1"/>
      <c r="B670" s="88"/>
      <c r="C670" s="552"/>
      <c r="D670" s="553"/>
      <c r="E670" s="158"/>
      <c r="F670" s="158"/>
      <c r="G670" s="159"/>
      <c r="H670" s="215"/>
      <c r="I670" s="215"/>
      <c r="J670" s="322"/>
      <c r="K670" s="554"/>
      <c r="L670" s="65"/>
      <c r="M670" s="65"/>
      <c r="N670" s="163"/>
      <c r="O670" s="243"/>
      <c r="P670" s="215"/>
      <c r="Q670" s="65"/>
      <c r="R670" s="65"/>
      <c r="V670" s="550"/>
    </row>
    <row r="671" spans="1:22">
      <c r="A671" s="1"/>
      <c r="B671" s="88"/>
      <c r="C671" s="552"/>
      <c r="D671" s="553"/>
      <c r="E671" s="158"/>
      <c r="F671" s="158"/>
      <c r="G671" s="159"/>
      <c r="H671" s="215"/>
      <c r="I671" s="215"/>
      <c r="J671" s="322"/>
      <c r="K671" s="554"/>
      <c r="L671" s="65"/>
      <c r="M671" s="65"/>
      <c r="N671" s="163"/>
      <c r="O671" s="243"/>
      <c r="P671" s="215"/>
      <c r="Q671" s="65"/>
      <c r="R671" s="65"/>
      <c r="V671" s="550"/>
    </row>
    <row r="672" spans="1:22">
      <c r="A672" s="1"/>
      <c r="B672" s="88"/>
      <c r="C672" s="552"/>
      <c r="D672" s="553"/>
      <c r="E672" s="158"/>
      <c r="F672" s="158"/>
      <c r="G672" s="159"/>
      <c r="H672" s="215"/>
      <c r="I672" s="215"/>
      <c r="J672" s="322"/>
      <c r="K672" s="554"/>
      <c r="L672" s="65"/>
      <c r="M672" s="65"/>
      <c r="N672" s="163"/>
      <c r="O672" s="243"/>
      <c r="P672" s="215"/>
      <c r="Q672" s="65"/>
      <c r="R672" s="65"/>
      <c r="V672" s="550"/>
    </row>
    <row r="673" spans="1:22">
      <c r="A673" s="1"/>
      <c r="B673" s="88"/>
      <c r="C673" s="552"/>
      <c r="D673" s="553"/>
      <c r="E673" s="158"/>
      <c r="F673" s="158"/>
      <c r="G673" s="159"/>
      <c r="H673" s="215"/>
      <c r="I673" s="215"/>
      <c r="J673" s="322"/>
      <c r="K673" s="554"/>
      <c r="L673" s="65"/>
      <c r="M673" s="65"/>
      <c r="N673" s="163"/>
      <c r="O673" s="243"/>
      <c r="P673" s="215"/>
      <c r="Q673" s="65"/>
      <c r="R673" s="65"/>
      <c r="V673" s="550"/>
    </row>
    <row r="674" spans="1:22">
      <c r="A674" s="1"/>
      <c r="B674" s="88"/>
      <c r="C674" s="552"/>
      <c r="D674" s="553"/>
      <c r="E674" s="158"/>
      <c r="F674" s="158"/>
      <c r="G674" s="159"/>
      <c r="H674" s="215"/>
      <c r="I674" s="215"/>
      <c r="J674" s="322"/>
      <c r="K674" s="554"/>
      <c r="L674" s="65"/>
      <c r="M674" s="65"/>
      <c r="N674" s="163"/>
      <c r="O674" s="243"/>
      <c r="P674" s="215"/>
      <c r="Q674" s="65"/>
      <c r="R674" s="65"/>
      <c r="V674" s="550"/>
    </row>
    <row r="675" spans="1:22">
      <c r="A675" s="1"/>
      <c r="B675" s="88"/>
      <c r="C675" s="552"/>
      <c r="D675" s="553"/>
      <c r="E675" s="158"/>
      <c r="F675" s="158"/>
      <c r="G675" s="159"/>
      <c r="H675" s="215"/>
      <c r="I675" s="215"/>
      <c r="J675" s="322"/>
      <c r="K675" s="554"/>
      <c r="L675" s="65"/>
      <c r="M675" s="65"/>
      <c r="N675" s="163"/>
      <c r="O675" s="243"/>
      <c r="P675" s="215"/>
      <c r="Q675" s="65"/>
      <c r="R675" s="65"/>
      <c r="V675" s="550"/>
    </row>
    <row r="676" spans="1:22">
      <c r="A676" s="1"/>
      <c r="B676" s="88"/>
      <c r="C676" s="552"/>
      <c r="D676" s="553"/>
      <c r="E676" s="158"/>
      <c r="F676" s="158"/>
      <c r="G676" s="159"/>
      <c r="H676" s="215"/>
      <c r="I676" s="215"/>
      <c r="J676" s="322"/>
      <c r="K676" s="554"/>
      <c r="L676" s="65"/>
      <c r="M676" s="65"/>
      <c r="N676" s="163"/>
      <c r="O676" s="243"/>
      <c r="P676" s="215"/>
      <c r="Q676" s="65"/>
      <c r="R676" s="65"/>
      <c r="V676" s="550"/>
    </row>
    <row r="677" spans="1:22">
      <c r="A677" s="1"/>
      <c r="B677" s="88"/>
      <c r="C677" s="552"/>
      <c r="D677" s="553"/>
      <c r="E677" s="158"/>
      <c r="F677" s="158"/>
      <c r="G677" s="159"/>
      <c r="H677" s="215"/>
      <c r="I677" s="215"/>
      <c r="J677" s="322"/>
      <c r="K677" s="554"/>
      <c r="L677" s="65"/>
      <c r="M677" s="65"/>
      <c r="N677" s="163"/>
      <c r="O677" s="243"/>
      <c r="P677" s="215"/>
      <c r="Q677" s="65"/>
      <c r="R677" s="65"/>
      <c r="V677" s="550"/>
    </row>
    <row r="678" spans="1:22">
      <c r="A678" s="1"/>
      <c r="B678" s="88"/>
      <c r="C678" s="552"/>
      <c r="D678" s="553"/>
      <c r="E678" s="158"/>
      <c r="F678" s="158"/>
      <c r="G678" s="159"/>
      <c r="H678" s="215"/>
      <c r="I678" s="215"/>
      <c r="J678" s="322"/>
      <c r="K678" s="554"/>
      <c r="L678" s="65"/>
      <c r="M678" s="65"/>
      <c r="N678" s="163"/>
      <c r="O678" s="243"/>
      <c r="P678" s="215"/>
      <c r="Q678" s="65"/>
      <c r="R678" s="65"/>
      <c r="V678" s="550"/>
    </row>
    <row r="679" spans="1:22">
      <c r="A679" s="1"/>
      <c r="B679" s="88"/>
      <c r="C679" s="552"/>
      <c r="D679" s="553"/>
      <c r="E679" s="158"/>
      <c r="F679" s="158"/>
      <c r="G679" s="159"/>
      <c r="H679" s="215"/>
      <c r="I679" s="215"/>
      <c r="J679" s="322"/>
      <c r="K679" s="554"/>
      <c r="L679" s="65"/>
      <c r="M679" s="65"/>
      <c r="N679" s="163"/>
      <c r="O679" s="243"/>
      <c r="P679" s="215"/>
      <c r="Q679" s="65"/>
      <c r="R679" s="65"/>
      <c r="V679" s="550"/>
    </row>
    <row r="680" spans="1:22">
      <c r="A680" s="1"/>
      <c r="B680" s="88"/>
      <c r="C680" s="552"/>
      <c r="D680" s="553"/>
      <c r="E680" s="158"/>
      <c r="F680" s="158"/>
      <c r="G680" s="159"/>
      <c r="H680" s="215"/>
      <c r="I680" s="215"/>
      <c r="J680" s="322"/>
      <c r="K680" s="554"/>
      <c r="L680" s="65"/>
      <c r="M680" s="65"/>
      <c r="N680" s="163"/>
      <c r="O680" s="243"/>
      <c r="P680" s="215"/>
      <c r="Q680" s="65"/>
      <c r="R680" s="65"/>
      <c r="V680" s="550"/>
    </row>
    <row r="681" spans="1:22">
      <c r="A681" s="1"/>
      <c r="B681" s="88"/>
      <c r="C681" s="552"/>
      <c r="D681" s="553"/>
      <c r="E681" s="158"/>
      <c r="F681" s="158"/>
      <c r="G681" s="159"/>
      <c r="H681" s="215"/>
      <c r="I681" s="215"/>
      <c r="J681" s="322"/>
      <c r="K681" s="554"/>
      <c r="L681" s="65"/>
      <c r="M681" s="65"/>
      <c r="N681" s="163"/>
      <c r="O681" s="243"/>
      <c r="P681" s="215"/>
      <c r="Q681" s="65"/>
      <c r="R681" s="65"/>
      <c r="V681" s="550"/>
    </row>
    <row r="682" spans="1:22">
      <c r="A682" s="1"/>
      <c r="B682" s="88"/>
      <c r="C682" s="552"/>
      <c r="D682" s="553"/>
      <c r="E682" s="158"/>
      <c r="F682" s="158"/>
      <c r="G682" s="159"/>
      <c r="H682" s="215"/>
      <c r="I682" s="215"/>
      <c r="J682" s="322"/>
      <c r="K682" s="554"/>
      <c r="L682" s="65"/>
      <c r="M682" s="65"/>
      <c r="N682" s="163"/>
      <c r="O682" s="243"/>
      <c r="P682" s="215"/>
      <c r="Q682" s="65"/>
      <c r="R682" s="65"/>
      <c r="V682" s="550"/>
    </row>
    <row r="683" spans="1:22">
      <c r="A683" s="1"/>
      <c r="B683" s="88"/>
      <c r="C683" s="552"/>
      <c r="D683" s="553"/>
      <c r="E683" s="158"/>
      <c r="F683" s="158"/>
      <c r="G683" s="159"/>
      <c r="H683" s="215"/>
      <c r="I683" s="215"/>
      <c r="J683" s="322"/>
      <c r="K683" s="554"/>
      <c r="L683" s="65"/>
      <c r="M683" s="65"/>
      <c r="N683" s="163"/>
      <c r="O683" s="243"/>
      <c r="P683" s="215"/>
      <c r="Q683" s="65"/>
      <c r="R683" s="65"/>
      <c r="V683" s="550"/>
    </row>
    <row r="684" spans="1:22">
      <c r="A684" s="1"/>
      <c r="B684" s="88"/>
      <c r="C684" s="552"/>
      <c r="D684" s="553"/>
      <c r="E684" s="158"/>
      <c r="F684" s="158"/>
      <c r="G684" s="159"/>
      <c r="H684" s="215"/>
      <c r="I684" s="215"/>
      <c r="J684" s="322"/>
      <c r="K684" s="554"/>
      <c r="L684" s="65"/>
      <c r="M684" s="65"/>
      <c r="N684" s="163"/>
      <c r="O684" s="243"/>
      <c r="P684" s="215"/>
      <c r="Q684" s="65"/>
      <c r="R684" s="65"/>
      <c r="V684" s="550"/>
    </row>
    <row r="685" spans="1:22">
      <c r="A685" s="1"/>
      <c r="B685" s="88"/>
      <c r="C685" s="552"/>
      <c r="D685" s="553"/>
      <c r="E685" s="158"/>
      <c r="F685" s="158"/>
      <c r="G685" s="159"/>
      <c r="H685" s="215"/>
      <c r="I685" s="215"/>
      <c r="J685" s="322"/>
      <c r="K685" s="554"/>
      <c r="L685" s="65"/>
      <c r="M685" s="65"/>
      <c r="N685" s="163"/>
      <c r="O685" s="243"/>
      <c r="P685" s="215"/>
      <c r="Q685" s="65"/>
      <c r="R685" s="65"/>
      <c r="V685" s="550"/>
    </row>
    <row r="686" spans="1:22">
      <c r="A686" s="1"/>
      <c r="B686" s="88"/>
      <c r="C686" s="552"/>
      <c r="D686" s="553"/>
      <c r="E686" s="158"/>
      <c r="F686" s="158"/>
      <c r="G686" s="159"/>
      <c r="H686" s="215"/>
      <c r="I686" s="215"/>
      <c r="J686" s="322"/>
      <c r="K686" s="554"/>
      <c r="L686" s="65"/>
      <c r="M686" s="65"/>
      <c r="N686" s="163"/>
      <c r="O686" s="243"/>
      <c r="P686" s="215"/>
      <c r="Q686" s="65"/>
      <c r="R686" s="65"/>
      <c r="V686" s="550"/>
    </row>
    <row r="687" spans="1:22">
      <c r="A687" s="1"/>
      <c r="B687" s="88"/>
      <c r="C687" s="552"/>
      <c r="D687" s="553"/>
      <c r="E687" s="158"/>
      <c r="F687" s="158"/>
      <c r="G687" s="159"/>
      <c r="H687" s="215"/>
      <c r="I687" s="215"/>
      <c r="J687" s="322"/>
      <c r="K687" s="554"/>
      <c r="L687" s="65"/>
      <c r="M687" s="65"/>
      <c r="N687" s="163"/>
      <c r="O687" s="243"/>
      <c r="P687" s="215"/>
      <c r="Q687" s="65"/>
      <c r="R687" s="65"/>
      <c r="V687" s="550"/>
    </row>
    <row r="688" spans="1:22">
      <c r="A688" s="1"/>
      <c r="B688" s="88"/>
      <c r="C688" s="552"/>
      <c r="D688" s="553"/>
      <c r="E688" s="158"/>
      <c r="F688" s="158"/>
      <c r="G688" s="159"/>
      <c r="H688" s="215"/>
      <c r="I688" s="215"/>
      <c r="J688" s="322"/>
      <c r="K688" s="554"/>
      <c r="L688" s="65"/>
      <c r="M688" s="65"/>
      <c r="N688" s="163"/>
      <c r="O688" s="243"/>
      <c r="P688" s="215"/>
      <c r="Q688" s="65"/>
      <c r="R688" s="65"/>
      <c r="V688" s="550"/>
    </row>
    <row r="689" spans="1:22">
      <c r="A689" s="1"/>
      <c r="B689" s="88"/>
      <c r="C689" s="552"/>
      <c r="D689" s="553"/>
      <c r="E689" s="158"/>
      <c r="F689" s="158"/>
      <c r="G689" s="159"/>
      <c r="H689" s="215"/>
      <c r="I689" s="215"/>
      <c r="J689" s="322"/>
      <c r="K689" s="554"/>
      <c r="L689" s="65"/>
      <c r="M689" s="65"/>
      <c r="N689" s="163"/>
      <c r="O689" s="243"/>
      <c r="P689" s="215"/>
      <c r="Q689" s="65"/>
      <c r="R689" s="65"/>
      <c r="V689" s="550"/>
    </row>
    <row r="690" spans="1:22">
      <c r="A690" s="1"/>
      <c r="B690" s="88"/>
      <c r="C690" s="552"/>
      <c r="D690" s="553"/>
      <c r="E690" s="158"/>
      <c r="F690" s="158"/>
      <c r="G690" s="159"/>
      <c r="H690" s="215"/>
      <c r="I690" s="215"/>
      <c r="J690" s="322"/>
      <c r="K690" s="554"/>
      <c r="L690" s="65"/>
      <c r="M690" s="65"/>
      <c r="N690" s="163"/>
      <c r="O690" s="243"/>
      <c r="P690" s="215"/>
      <c r="Q690" s="65"/>
      <c r="R690" s="65"/>
      <c r="V690" s="550"/>
    </row>
    <row r="691" spans="1:22">
      <c r="A691" s="1"/>
      <c r="B691" s="88"/>
      <c r="C691" s="552"/>
      <c r="D691" s="553"/>
      <c r="E691" s="158"/>
      <c r="F691" s="158"/>
      <c r="G691" s="159"/>
      <c r="H691" s="215"/>
      <c r="I691" s="215"/>
      <c r="J691" s="322"/>
      <c r="K691" s="554"/>
      <c r="L691" s="65"/>
      <c r="M691" s="65"/>
      <c r="N691" s="163"/>
      <c r="O691" s="243"/>
      <c r="P691" s="215"/>
      <c r="Q691" s="65"/>
      <c r="R691" s="65"/>
      <c r="V691" s="550"/>
    </row>
    <row r="692" spans="1:22">
      <c r="A692" s="1"/>
      <c r="B692" s="88"/>
      <c r="C692" s="552"/>
      <c r="D692" s="553"/>
      <c r="E692" s="158"/>
      <c r="F692" s="158"/>
      <c r="G692" s="159"/>
      <c r="H692" s="215"/>
      <c r="I692" s="215"/>
      <c r="J692" s="322"/>
      <c r="K692" s="554"/>
      <c r="L692" s="65"/>
      <c r="M692" s="65"/>
      <c r="N692" s="163"/>
      <c r="O692" s="243"/>
      <c r="P692" s="215"/>
      <c r="Q692" s="65"/>
      <c r="R692" s="65"/>
      <c r="V692" s="550"/>
    </row>
    <row r="693" spans="1:22">
      <c r="A693" s="1"/>
      <c r="B693" s="88"/>
      <c r="C693" s="552"/>
      <c r="D693" s="553"/>
      <c r="E693" s="158"/>
      <c r="F693" s="158"/>
      <c r="G693" s="159"/>
      <c r="H693" s="215"/>
      <c r="I693" s="215"/>
      <c r="J693" s="322"/>
      <c r="K693" s="554"/>
      <c r="L693" s="65"/>
      <c r="M693" s="65"/>
      <c r="N693" s="163"/>
      <c r="O693" s="243"/>
      <c r="P693" s="215"/>
      <c r="Q693" s="65"/>
      <c r="R693" s="65"/>
      <c r="V693" s="550"/>
    </row>
    <row r="694" spans="1:22">
      <c r="A694" s="1"/>
      <c r="B694" s="88"/>
      <c r="C694" s="552"/>
      <c r="D694" s="553"/>
      <c r="E694" s="158"/>
      <c r="F694" s="158"/>
      <c r="G694" s="159"/>
      <c r="H694" s="215"/>
      <c r="I694" s="215"/>
      <c r="J694" s="322"/>
      <c r="K694" s="554"/>
      <c r="L694" s="65"/>
      <c r="M694" s="65"/>
      <c r="N694" s="163"/>
      <c r="O694" s="243"/>
      <c r="P694" s="215"/>
      <c r="Q694" s="65"/>
      <c r="R694" s="65"/>
      <c r="V694" s="550"/>
    </row>
    <row r="695" spans="1:22">
      <c r="A695" s="1"/>
      <c r="B695" s="88"/>
      <c r="C695" s="552"/>
      <c r="D695" s="553"/>
      <c r="E695" s="158"/>
      <c r="F695" s="158"/>
      <c r="G695" s="159"/>
      <c r="H695" s="215"/>
      <c r="I695" s="215"/>
      <c r="J695" s="322"/>
      <c r="K695" s="554"/>
      <c r="L695" s="65"/>
      <c r="M695" s="65"/>
      <c r="N695" s="163"/>
      <c r="O695" s="243"/>
      <c r="P695" s="215"/>
      <c r="Q695" s="65"/>
      <c r="R695" s="65"/>
      <c r="V695" s="550"/>
    </row>
    <row r="696" spans="1:22">
      <c r="A696" s="1"/>
      <c r="B696" s="88"/>
      <c r="C696" s="552"/>
      <c r="D696" s="553"/>
      <c r="E696" s="158"/>
      <c r="F696" s="158"/>
      <c r="G696" s="159"/>
      <c r="H696" s="215"/>
      <c r="I696" s="215"/>
      <c r="J696" s="322"/>
      <c r="K696" s="554"/>
      <c r="L696" s="65"/>
      <c r="M696" s="65"/>
      <c r="N696" s="163"/>
      <c r="O696" s="243"/>
      <c r="P696" s="215"/>
      <c r="Q696" s="65"/>
      <c r="R696" s="65"/>
      <c r="V696" s="550"/>
    </row>
    <row r="697" spans="1:22">
      <c r="A697" s="1"/>
      <c r="B697" s="88"/>
      <c r="C697" s="552"/>
      <c r="D697" s="553"/>
      <c r="E697" s="158"/>
      <c r="F697" s="158"/>
      <c r="G697" s="159"/>
      <c r="H697" s="215"/>
      <c r="I697" s="215"/>
      <c r="J697" s="322"/>
      <c r="K697" s="554"/>
      <c r="L697" s="65"/>
      <c r="M697" s="65"/>
      <c r="N697" s="163"/>
      <c r="O697" s="243"/>
      <c r="P697" s="215"/>
      <c r="Q697" s="65"/>
      <c r="R697" s="65"/>
      <c r="V697" s="550"/>
    </row>
    <row r="698" spans="1:22">
      <c r="A698" s="1"/>
      <c r="B698" s="88"/>
      <c r="C698" s="552"/>
      <c r="D698" s="553"/>
      <c r="E698" s="158"/>
      <c r="F698" s="158"/>
      <c r="G698" s="159"/>
      <c r="H698" s="215"/>
      <c r="I698" s="215"/>
      <c r="J698" s="322"/>
      <c r="K698" s="554"/>
      <c r="L698" s="65"/>
      <c r="M698" s="65"/>
      <c r="N698" s="163"/>
      <c r="O698" s="243"/>
      <c r="P698" s="215"/>
      <c r="Q698" s="65"/>
      <c r="R698" s="65"/>
      <c r="V698" s="550"/>
    </row>
    <row r="699" spans="1:22">
      <c r="A699" s="1"/>
      <c r="B699" s="88"/>
      <c r="C699" s="552"/>
      <c r="D699" s="553"/>
      <c r="E699" s="158"/>
      <c r="F699" s="158"/>
      <c r="G699" s="159"/>
      <c r="H699" s="215"/>
      <c r="I699" s="215"/>
      <c r="J699" s="322"/>
      <c r="K699" s="554"/>
      <c r="L699" s="65"/>
      <c r="M699" s="65"/>
      <c r="N699" s="163"/>
      <c r="O699" s="243"/>
      <c r="P699" s="215"/>
      <c r="Q699" s="65"/>
      <c r="R699" s="65"/>
      <c r="V699" s="550"/>
    </row>
    <row r="700" spans="1:22">
      <c r="A700" s="1"/>
      <c r="B700" s="88"/>
      <c r="C700" s="552"/>
      <c r="D700" s="553"/>
      <c r="E700" s="158"/>
      <c r="F700" s="158"/>
      <c r="G700" s="159"/>
      <c r="H700" s="215"/>
      <c r="I700" s="215"/>
      <c r="J700" s="322"/>
      <c r="K700" s="554"/>
      <c r="L700" s="65"/>
      <c r="M700" s="65"/>
      <c r="N700" s="163"/>
      <c r="O700" s="243"/>
      <c r="P700" s="215"/>
      <c r="Q700" s="65"/>
      <c r="R700" s="65"/>
      <c r="V700" s="550"/>
    </row>
    <row r="701" spans="1:22">
      <c r="A701" s="1"/>
      <c r="B701" s="88"/>
      <c r="C701" s="552"/>
      <c r="D701" s="553"/>
      <c r="E701" s="158"/>
      <c r="F701" s="158"/>
      <c r="G701" s="159"/>
      <c r="H701" s="215"/>
      <c r="I701" s="215"/>
      <c r="J701" s="322"/>
      <c r="K701" s="554"/>
      <c r="L701" s="65"/>
      <c r="M701" s="65"/>
      <c r="N701" s="163"/>
      <c r="O701" s="243"/>
      <c r="P701" s="215"/>
      <c r="Q701" s="65"/>
      <c r="R701" s="65"/>
      <c r="V701" s="550"/>
    </row>
    <row r="702" spans="1:22">
      <c r="A702" s="1"/>
      <c r="B702" s="88"/>
      <c r="C702" s="552"/>
      <c r="D702" s="553"/>
      <c r="E702" s="158"/>
      <c r="F702" s="158"/>
      <c r="G702" s="159"/>
      <c r="H702" s="215"/>
      <c r="I702" s="215"/>
      <c r="J702" s="322"/>
      <c r="K702" s="554"/>
      <c r="L702" s="65"/>
      <c r="M702" s="65"/>
      <c r="N702" s="163"/>
      <c r="O702" s="243"/>
      <c r="P702" s="215"/>
      <c r="Q702" s="65"/>
      <c r="R702" s="65"/>
      <c r="V702" s="550"/>
    </row>
    <row r="703" spans="1:22">
      <c r="A703" s="1"/>
      <c r="B703" s="88"/>
      <c r="C703" s="552"/>
      <c r="D703" s="553"/>
      <c r="E703" s="158"/>
      <c r="F703" s="158"/>
      <c r="G703" s="159"/>
      <c r="H703" s="215"/>
      <c r="I703" s="215"/>
      <c r="J703" s="322"/>
      <c r="K703" s="554"/>
      <c r="L703" s="65"/>
      <c r="M703" s="65"/>
      <c r="N703" s="163"/>
      <c r="O703" s="243"/>
      <c r="P703" s="215"/>
      <c r="Q703" s="65"/>
      <c r="R703" s="65"/>
      <c r="V703" s="550"/>
    </row>
    <row r="704" spans="1:22">
      <c r="A704" s="1"/>
      <c r="B704" s="88"/>
      <c r="C704" s="552"/>
      <c r="D704" s="553"/>
      <c r="E704" s="158"/>
      <c r="F704" s="158"/>
      <c r="G704" s="159"/>
      <c r="H704" s="215"/>
      <c r="I704" s="215"/>
      <c r="J704" s="322"/>
      <c r="K704" s="554"/>
      <c r="L704" s="65"/>
      <c r="M704" s="65"/>
      <c r="N704" s="163"/>
      <c r="O704" s="243"/>
      <c r="P704" s="215"/>
      <c r="Q704" s="65"/>
      <c r="R704" s="65"/>
      <c r="V704" s="550"/>
    </row>
    <row r="705" spans="1:22">
      <c r="A705" s="1"/>
      <c r="B705" s="88"/>
      <c r="C705" s="552"/>
      <c r="D705" s="553"/>
      <c r="E705" s="158"/>
      <c r="F705" s="158"/>
      <c r="G705" s="159"/>
      <c r="H705" s="215"/>
      <c r="I705" s="215"/>
      <c r="J705" s="322"/>
      <c r="K705" s="554"/>
      <c r="L705" s="65"/>
      <c r="M705" s="65"/>
      <c r="N705" s="163"/>
      <c r="O705" s="243"/>
      <c r="P705" s="215"/>
      <c r="Q705" s="65"/>
      <c r="R705" s="65"/>
      <c r="V705" s="550"/>
    </row>
    <row r="706" spans="1:22">
      <c r="A706" s="1"/>
      <c r="B706" s="88"/>
      <c r="C706" s="552"/>
      <c r="D706" s="553"/>
      <c r="E706" s="158"/>
      <c r="F706" s="158"/>
      <c r="G706" s="159"/>
      <c r="H706" s="215"/>
      <c r="I706" s="215"/>
      <c r="J706" s="322"/>
      <c r="K706" s="554"/>
      <c r="L706" s="65"/>
      <c r="M706" s="65"/>
      <c r="N706" s="163"/>
      <c r="O706" s="243"/>
      <c r="P706" s="215"/>
      <c r="Q706" s="65"/>
      <c r="R706" s="65"/>
      <c r="V706" s="550"/>
    </row>
    <row r="707" spans="1:22">
      <c r="A707" s="1"/>
      <c r="B707" s="88"/>
      <c r="C707" s="552"/>
      <c r="D707" s="553"/>
      <c r="E707" s="158"/>
      <c r="F707" s="158"/>
      <c r="G707" s="159"/>
      <c r="H707" s="215"/>
      <c r="I707" s="215"/>
      <c r="J707" s="322"/>
      <c r="K707" s="554"/>
      <c r="L707" s="65"/>
      <c r="M707" s="65"/>
      <c r="N707" s="163"/>
      <c r="O707" s="243"/>
      <c r="P707" s="215"/>
      <c r="Q707" s="65"/>
      <c r="R707" s="65"/>
      <c r="V707" s="550"/>
    </row>
    <row r="708" spans="1:22">
      <c r="A708" s="1"/>
      <c r="B708" s="88"/>
      <c r="C708" s="552"/>
      <c r="D708" s="553"/>
      <c r="E708" s="158"/>
      <c r="F708" s="158"/>
      <c r="G708" s="159"/>
      <c r="H708" s="215"/>
      <c r="I708" s="215"/>
      <c r="J708" s="322"/>
      <c r="K708" s="554"/>
      <c r="L708" s="65"/>
      <c r="M708" s="65"/>
      <c r="N708" s="163"/>
      <c r="O708" s="243"/>
      <c r="P708" s="215"/>
      <c r="Q708" s="65"/>
      <c r="R708" s="65"/>
      <c r="V708" s="550"/>
    </row>
    <row r="709" spans="1:22">
      <c r="A709" s="1"/>
      <c r="B709" s="88"/>
      <c r="C709" s="552"/>
      <c r="D709" s="553"/>
      <c r="E709" s="158"/>
      <c r="F709" s="158"/>
      <c r="G709" s="159"/>
      <c r="H709" s="215"/>
      <c r="I709" s="215"/>
      <c r="J709" s="322"/>
      <c r="K709" s="554"/>
      <c r="L709" s="65"/>
      <c r="M709" s="65"/>
      <c r="N709" s="163"/>
      <c r="O709" s="243"/>
      <c r="P709" s="215"/>
      <c r="Q709" s="65"/>
      <c r="R709" s="65"/>
      <c r="V709" s="550"/>
    </row>
    <row r="710" spans="1:22">
      <c r="A710" s="1"/>
      <c r="B710" s="88"/>
      <c r="C710" s="552"/>
      <c r="D710" s="553"/>
      <c r="E710" s="158"/>
      <c r="F710" s="158"/>
      <c r="G710" s="159"/>
      <c r="H710" s="215"/>
      <c r="I710" s="215"/>
      <c r="J710" s="322"/>
      <c r="K710" s="554"/>
      <c r="L710" s="65"/>
      <c r="M710" s="65"/>
      <c r="N710" s="163"/>
      <c r="O710" s="243"/>
      <c r="P710" s="215"/>
      <c r="Q710" s="65"/>
      <c r="R710" s="65"/>
      <c r="V710" s="550"/>
    </row>
    <row r="711" spans="1:22">
      <c r="A711" s="1"/>
      <c r="B711" s="88"/>
      <c r="C711" s="552"/>
      <c r="D711" s="553"/>
      <c r="E711" s="158"/>
      <c r="F711" s="158"/>
      <c r="G711" s="159"/>
      <c r="H711" s="215"/>
      <c r="I711" s="215"/>
      <c r="J711" s="322"/>
      <c r="K711" s="554"/>
      <c r="L711" s="65"/>
      <c r="M711" s="65"/>
      <c r="N711" s="163"/>
      <c r="O711" s="243"/>
      <c r="P711" s="215"/>
      <c r="Q711" s="65"/>
      <c r="R711" s="65"/>
      <c r="V711" s="550"/>
    </row>
    <row r="712" spans="1:22">
      <c r="A712" s="1"/>
      <c r="B712" s="88"/>
      <c r="C712" s="552"/>
      <c r="D712" s="553"/>
      <c r="E712" s="158"/>
      <c r="F712" s="158"/>
      <c r="G712" s="159"/>
      <c r="H712" s="215"/>
      <c r="I712" s="215"/>
      <c r="J712" s="322"/>
      <c r="K712" s="554"/>
      <c r="L712" s="65"/>
      <c r="M712" s="65"/>
      <c r="N712" s="163"/>
      <c r="O712" s="243"/>
      <c r="P712" s="215"/>
      <c r="Q712" s="65"/>
      <c r="R712" s="65"/>
      <c r="V712" s="550"/>
    </row>
    <row r="713" spans="1:22">
      <c r="A713" s="1"/>
      <c r="B713" s="88"/>
      <c r="C713" s="552"/>
      <c r="D713" s="553"/>
      <c r="E713" s="158"/>
      <c r="F713" s="158"/>
      <c r="G713" s="159"/>
      <c r="H713" s="215"/>
      <c r="I713" s="215"/>
      <c r="J713" s="322"/>
      <c r="K713" s="554"/>
      <c r="L713" s="65"/>
      <c r="M713" s="65"/>
      <c r="N713" s="163"/>
      <c r="O713" s="243"/>
      <c r="P713" s="215"/>
      <c r="Q713" s="65"/>
      <c r="R713" s="65"/>
      <c r="V713" s="550"/>
    </row>
    <row r="714" spans="1:22">
      <c r="A714" s="1"/>
      <c r="B714" s="88"/>
      <c r="C714" s="552"/>
      <c r="D714" s="553"/>
      <c r="E714" s="158"/>
      <c r="F714" s="158"/>
      <c r="G714" s="159"/>
      <c r="H714" s="215"/>
      <c r="I714" s="215"/>
      <c r="J714" s="322"/>
      <c r="K714" s="554"/>
      <c r="L714" s="65"/>
      <c r="M714" s="65"/>
      <c r="N714" s="163"/>
      <c r="O714" s="243"/>
      <c r="P714" s="215"/>
      <c r="Q714" s="65"/>
      <c r="R714" s="65"/>
      <c r="V714" s="550"/>
    </row>
    <row r="715" spans="1:22">
      <c r="A715" s="1"/>
      <c r="B715" s="88"/>
      <c r="C715" s="552"/>
      <c r="D715" s="553"/>
      <c r="E715" s="158"/>
      <c r="F715" s="158"/>
      <c r="G715" s="159"/>
      <c r="H715" s="215"/>
      <c r="I715" s="215"/>
      <c r="J715" s="322"/>
      <c r="K715" s="554"/>
      <c r="L715" s="65"/>
      <c r="M715" s="65"/>
      <c r="N715" s="163"/>
      <c r="O715" s="243"/>
      <c r="P715" s="215"/>
      <c r="Q715" s="65"/>
      <c r="R715" s="65"/>
      <c r="V715" s="550"/>
    </row>
    <row r="716" spans="1:22">
      <c r="A716" s="1"/>
      <c r="B716" s="88"/>
      <c r="C716" s="552"/>
      <c r="D716" s="553"/>
      <c r="E716" s="158"/>
      <c r="F716" s="158"/>
      <c r="G716" s="159"/>
      <c r="H716" s="215"/>
      <c r="I716" s="215"/>
      <c r="J716" s="322"/>
      <c r="K716" s="554"/>
      <c r="L716" s="65"/>
      <c r="M716" s="65"/>
      <c r="N716" s="163"/>
      <c r="O716" s="243"/>
      <c r="P716" s="215"/>
      <c r="Q716" s="65"/>
      <c r="R716" s="65"/>
      <c r="V716" s="550"/>
    </row>
    <row r="717" spans="1:22">
      <c r="A717" s="1"/>
      <c r="B717" s="88"/>
      <c r="C717" s="552"/>
      <c r="D717" s="553"/>
      <c r="E717" s="158"/>
      <c r="F717" s="158"/>
      <c r="G717" s="159"/>
      <c r="H717" s="215"/>
      <c r="I717" s="215"/>
      <c r="J717" s="322"/>
      <c r="K717" s="554"/>
      <c r="L717" s="65"/>
      <c r="M717" s="65"/>
      <c r="N717" s="163"/>
      <c r="O717" s="243"/>
      <c r="P717" s="215"/>
      <c r="Q717" s="65"/>
      <c r="R717" s="65"/>
      <c r="V717" s="550"/>
    </row>
    <row r="718" spans="1:22">
      <c r="A718" s="1"/>
      <c r="B718" s="88"/>
      <c r="C718" s="552"/>
      <c r="D718" s="553"/>
      <c r="E718" s="158"/>
      <c r="F718" s="158"/>
      <c r="G718" s="159"/>
      <c r="H718" s="215"/>
      <c r="I718" s="215"/>
      <c r="J718" s="322"/>
      <c r="K718" s="554"/>
      <c r="L718" s="65"/>
      <c r="M718" s="65"/>
      <c r="N718" s="163"/>
      <c r="O718" s="243"/>
      <c r="P718" s="215"/>
      <c r="Q718" s="65"/>
      <c r="R718" s="65"/>
      <c r="V718" s="550"/>
    </row>
    <row r="719" spans="1:22">
      <c r="A719" s="1"/>
      <c r="B719" s="88"/>
      <c r="C719" s="552"/>
      <c r="D719" s="553"/>
      <c r="E719" s="158"/>
      <c r="F719" s="158"/>
      <c r="G719" s="159"/>
      <c r="H719" s="215"/>
      <c r="I719" s="215"/>
      <c r="J719" s="322"/>
      <c r="K719" s="554"/>
      <c r="L719" s="65"/>
      <c r="M719" s="65"/>
      <c r="N719" s="163"/>
      <c r="O719" s="243"/>
      <c r="P719" s="215"/>
      <c r="Q719" s="65"/>
      <c r="R719" s="65"/>
      <c r="V719" s="550"/>
    </row>
    <row r="720" spans="1:22">
      <c r="A720" s="1"/>
      <c r="B720" s="88"/>
      <c r="C720" s="552"/>
      <c r="D720" s="553"/>
      <c r="E720" s="158"/>
      <c r="F720" s="158"/>
      <c r="G720" s="159"/>
      <c r="H720" s="215"/>
      <c r="I720" s="215"/>
      <c r="J720" s="322"/>
      <c r="K720" s="554"/>
      <c r="L720" s="65"/>
      <c r="M720" s="65"/>
      <c r="N720" s="163"/>
      <c r="O720" s="243"/>
      <c r="P720" s="215"/>
      <c r="Q720" s="65"/>
      <c r="R720" s="65"/>
      <c r="V720" s="550"/>
    </row>
    <row r="721" spans="1:22">
      <c r="A721" s="1"/>
      <c r="B721" s="88"/>
      <c r="C721" s="552"/>
      <c r="D721" s="553"/>
      <c r="E721" s="158"/>
      <c r="F721" s="158"/>
      <c r="G721" s="159"/>
      <c r="H721" s="215"/>
      <c r="I721" s="215"/>
      <c r="J721" s="322"/>
      <c r="K721" s="554"/>
      <c r="L721" s="65"/>
      <c r="M721" s="65"/>
      <c r="N721" s="163"/>
      <c r="O721" s="243"/>
      <c r="P721" s="215"/>
      <c r="Q721" s="65"/>
      <c r="R721" s="65"/>
      <c r="V721" s="550"/>
    </row>
    <row r="722" spans="1:22">
      <c r="A722" s="1"/>
      <c r="B722" s="88"/>
      <c r="C722" s="552"/>
      <c r="D722" s="553"/>
      <c r="E722" s="158"/>
      <c r="F722" s="158"/>
      <c r="G722" s="159"/>
      <c r="H722" s="215"/>
      <c r="I722" s="215"/>
      <c r="J722" s="322"/>
      <c r="K722" s="554"/>
      <c r="L722" s="65"/>
      <c r="M722" s="65"/>
      <c r="N722" s="163"/>
      <c r="O722" s="243"/>
      <c r="P722" s="215"/>
      <c r="Q722" s="65"/>
      <c r="R722" s="65"/>
      <c r="V722" s="550"/>
    </row>
    <row r="723" spans="1:22">
      <c r="A723" s="1"/>
      <c r="B723" s="88"/>
      <c r="C723" s="552"/>
      <c r="D723" s="553"/>
      <c r="E723" s="158"/>
      <c r="F723" s="158"/>
      <c r="G723" s="159"/>
      <c r="H723" s="215"/>
      <c r="I723" s="215"/>
      <c r="J723" s="322"/>
      <c r="K723" s="554"/>
      <c r="L723" s="65"/>
      <c r="M723" s="65"/>
      <c r="N723" s="163"/>
      <c r="O723" s="243"/>
      <c r="P723" s="215"/>
      <c r="Q723" s="65"/>
      <c r="R723" s="65"/>
      <c r="V723" s="550"/>
    </row>
    <row r="724" spans="1:22">
      <c r="A724" s="1"/>
      <c r="B724" s="88"/>
      <c r="C724" s="552"/>
      <c r="D724" s="553"/>
      <c r="E724" s="158"/>
      <c r="F724" s="158"/>
      <c r="G724" s="159"/>
      <c r="H724" s="215"/>
      <c r="I724" s="215"/>
      <c r="J724" s="322"/>
      <c r="K724" s="554"/>
      <c r="L724" s="65"/>
      <c r="M724" s="65"/>
      <c r="N724" s="163"/>
      <c r="O724" s="243"/>
      <c r="P724" s="215"/>
      <c r="Q724" s="65"/>
      <c r="R724" s="65"/>
      <c r="V724" s="550"/>
    </row>
    <row r="725" spans="1:22">
      <c r="A725" s="1"/>
      <c r="B725" s="88"/>
      <c r="C725" s="552"/>
      <c r="D725" s="553"/>
      <c r="E725" s="158"/>
      <c r="F725" s="158"/>
      <c r="G725" s="159"/>
      <c r="H725" s="215"/>
      <c r="I725" s="215"/>
      <c r="J725" s="322"/>
      <c r="K725" s="554"/>
      <c r="L725" s="65"/>
      <c r="M725" s="65"/>
      <c r="N725" s="163"/>
      <c r="O725" s="243"/>
      <c r="P725" s="215"/>
      <c r="Q725" s="65"/>
      <c r="R725" s="65"/>
      <c r="V725" s="550"/>
    </row>
    <row r="726" spans="1:22">
      <c r="A726" s="1"/>
      <c r="B726" s="88"/>
      <c r="C726" s="552"/>
      <c r="D726" s="553"/>
      <c r="E726" s="158"/>
      <c r="F726" s="158"/>
      <c r="G726" s="159"/>
      <c r="H726" s="215"/>
      <c r="I726" s="215"/>
      <c r="J726" s="322"/>
      <c r="K726" s="554"/>
      <c r="L726" s="65"/>
      <c r="M726" s="65"/>
      <c r="N726" s="163"/>
      <c r="O726" s="243"/>
      <c r="P726" s="215"/>
      <c r="Q726" s="65"/>
      <c r="R726" s="65"/>
      <c r="V726" s="550"/>
    </row>
    <row r="727" spans="1:22">
      <c r="A727" s="1"/>
      <c r="B727" s="88"/>
      <c r="C727" s="552"/>
      <c r="D727" s="553"/>
      <c r="E727" s="158"/>
      <c r="F727" s="158"/>
      <c r="G727" s="159"/>
      <c r="H727" s="215"/>
      <c r="I727" s="215"/>
      <c r="J727" s="322"/>
      <c r="K727" s="554"/>
      <c r="L727" s="65"/>
      <c r="M727" s="65"/>
      <c r="N727" s="163"/>
      <c r="O727" s="243"/>
      <c r="P727" s="215"/>
      <c r="Q727" s="65"/>
      <c r="R727" s="65"/>
      <c r="V727" s="550"/>
    </row>
    <row r="728" spans="1:22">
      <c r="A728" s="1"/>
      <c r="B728" s="88"/>
      <c r="C728" s="552"/>
      <c r="D728" s="553"/>
      <c r="E728" s="158"/>
      <c r="F728" s="158"/>
      <c r="G728" s="159"/>
      <c r="H728" s="215"/>
      <c r="I728" s="215"/>
      <c r="J728" s="322"/>
      <c r="K728" s="554"/>
      <c r="L728" s="65"/>
      <c r="M728" s="65"/>
      <c r="N728" s="163"/>
      <c r="O728" s="243"/>
      <c r="P728" s="215"/>
      <c r="Q728" s="65"/>
      <c r="R728" s="65"/>
      <c r="V728" s="550"/>
    </row>
    <row r="729" spans="1:22">
      <c r="A729" s="1"/>
      <c r="B729" s="88"/>
      <c r="C729" s="552"/>
      <c r="D729" s="553"/>
      <c r="E729" s="158"/>
      <c r="F729" s="158"/>
      <c r="G729" s="159"/>
      <c r="H729" s="215"/>
      <c r="I729" s="215"/>
      <c r="J729" s="322"/>
      <c r="K729" s="554"/>
      <c r="L729" s="65"/>
      <c r="M729" s="65"/>
      <c r="N729" s="163"/>
      <c r="O729" s="243"/>
      <c r="P729" s="215"/>
      <c r="Q729" s="65"/>
      <c r="R729" s="65"/>
      <c r="V729" s="550"/>
    </row>
    <row r="730" spans="1:22">
      <c r="A730" s="1"/>
      <c r="B730" s="88"/>
      <c r="C730" s="552"/>
      <c r="D730" s="553"/>
      <c r="E730" s="158"/>
      <c r="F730" s="158"/>
      <c r="G730" s="159"/>
      <c r="H730" s="215"/>
      <c r="I730" s="215"/>
      <c r="J730" s="322"/>
      <c r="K730" s="554"/>
      <c r="L730" s="65"/>
      <c r="M730" s="65"/>
      <c r="N730" s="163"/>
      <c r="O730" s="243"/>
      <c r="P730" s="215"/>
      <c r="Q730" s="65"/>
      <c r="R730" s="65"/>
      <c r="V730" s="550"/>
    </row>
    <row r="731" spans="1:22">
      <c r="A731" s="1"/>
      <c r="B731" s="88"/>
      <c r="C731" s="552"/>
      <c r="D731" s="553"/>
      <c r="E731" s="158"/>
      <c r="F731" s="158"/>
      <c r="G731" s="159"/>
      <c r="H731" s="215"/>
      <c r="I731" s="215"/>
      <c r="J731" s="322"/>
      <c r="K731" s="554"/>
      <c r="L731" s="65"/>
      <c r="M731" s="65"/>
      <c r="N731" s="163"/>
      <c r="O731" s="243"/>
      <c r="P731" s="215"/>
      <c r="Q731" s="65"/>
      <c r="R731" s="65"/>
      <c r="V731" s="550"/>
    </row>
    <row r="732" spans="1:22">
      <c r="A732" s="1"/>
      <c r="B732" s="88"/>
      <c r="C732" s="552"/>
      <c r="D732" s="553"/>
      <c r="E732" s="158"/>
      <c r="F732" s="158"/>
      <c r="G732" s="159"/>
      <c r="H732" s="215"/>
      <c r="I732" s="215"/>
      <c r="J732" s="322"/>
      <c r="K732" s="554"/>
      <c r="L732" s="65"/>
      <c r="M732" s="65"/>
      <c r="N732" s="163"/>
      <c r="O732" s="243"/>
      <c r="P732" s="215"/>
      <c r="Q732" s="65"/>
      <c r="R732" s="65"/>
      <c r="V732" s="550"/>
    </row>
    <row r="733" spans="1:22">
      <c r="A733" s="1"/>
      <c r="B733" s="88"/>
      <c r="C733" s="552"/>
      <c r="D733" s="553"/>
      <c r="E733" s="158"/>
      <c r="F733" s="158"/>
      <c r="G733" s="159"/>
      <c r="H733" s="215"/>
      <c r="I733" s="215"/>
      <c r="J733" s="322"/>
      <c r="K733" s="554"/>
      <c r="L733" s="65"/>
      <c r="M733" s="65"/>
      <c r="N733" s="163"/>
      <c r="O733" s="243"/>
      <c r="P733" s="215"/>
      <c r="Q733" s="65"/>
      <c r="R733" s="65"/>
      <c r="V733" s="550"/>
    </row>
    <row r="734" spans="1:22">
      <c r="A734" s="1"/>
      <c r="B734" s="88"/>
      <c r="C734" s="552"/>
      <c r="D734" s="553"/>
      <c r="E734" s="158"/>
      <c r="F734" s="158"/>
      <c r="G734" s="159"/>
      <c r="H734" s="215"/>
      <c r="I734" s="215"/>
      <c r="J734" s="322"/>
      <c r="K734" s="554"/>
      <c r="L734" s="65"/>
      <c r="M734" s="65"/>
      <c r="N734" s="163"/>
      <c r="O734" s="243"/>
      <c r="P734" s="215"/>
      <c r="Q734" s="65"/>
      <c r="R734" s="65"/>
      <c r="V734" s="550"/>
    </row>
    <row r="735" spans="1:22">
      <c r="A735" s="1"/>
      <c r="B735" s="88"/>
      <c r="C735" s="552"/>
      <c r="D735" s="553"/>
      <c r="E735" s="158"/>
      <c r="F735" s="158"/>
      <c r="G735" s="159"/>
      <c r="H735" s="215"/>
      <c r="I735" s="215"/>
      <c r="J735" s="322"/>
      <c r="K735" s="554"/>
      <c r="L735" s="65"/>
      <c r="M735" s="65"/>
      <c r="N735" s="163"/>
      <c r="O735" s="243"/>
      <c r="P735" s="215"/>
      <c r="Q735" s="65"/>
      <c r="R735" s="65"/>
      <c r="V735" s="550"/>
    </row>
    <row r="736" spans="1:22">
      <c r="A736" s="1"/>
      <c r="B736" s="88"/>
      <c r="C736" s="552"/>
      <c r="D736" s="553"/>
      <c r="E736" s="158"/>
      <c r="F736" s="158"/>
      <c r="G736" s="159"/>
      <c r="H736" s="215"/>
      <c r="I736" s="215"/>
      <c r="J736" s="322"/>
      <c r="K736" s="554"/>
      <c r="L736" s="65"/>
      <c r="M736" s="65"/>
      <c r="N736" s="163"/>
      <c r="O736" s="243"/>
      <c r="P736" s="215"/>
      <c r="Q736" s="65"/>
      <c r="R736" s="65"/>
      <c r="V736" s="550"/>
    </row>
    <row r="737" spans="1:22">
      <c r="A737" s="1"/>
      <c r="B737" s="88"/>
      <c r="C737" s="552"/>
      <c r="D737" s="553"/>
      <c r="E737" s="158"/>
      <c r="F737" s="158"/>
      <c r="G737" s="159"/>
      <c r="H737" s="215"/>
      <c r="I737" s="215"/>
      <c r="J737" s="322"/>
      <c r="K737" s="554"/>
      <c r="L737" s="65"/>
      <c r="M737" s="65"/>
      <c r="N737" s="163"/>
      <c r="O737" s="243"/>
      <c r="P737" s="215"/>
      <c r="Q737" s="65"/>
      <c r="R737" s="65"/>
      <c r="V737" s="550"/>
    </row>
    <row r="738" spans="1:22">
      <c r="A738" s="1"/>
      <c r="B738" s="88"/>
      <c r="C738" s="552"/>
      <c r="D738" s="553"/>
      <c r="E738" s="158"/>
      <c r="F738" s="158"/>
      <c r="G738" s="159"/>
      <c r="H738" s="215"/>
      <c r="I738" s="215"/>
      <c r="J738" s="322"/>
      <c r="K738" s="554"/>
      <c r="L738" s="65"/>
      <c r="M738" s="65"/>
      <c r="N738" s="163"/>
      <c r="O738" s="243"/>
      <c r="P738" s="215"/>
      <c r="Q738" s="65"/>
      <c r="R738" s="65"/>
      <c r="V738" s="550"/>
    </row>
    <row r="739" spans="1:22">
      <c r="A739" s="1"/>
      <c r="B739" s="88"/>
      <c r="C739" s="552"/>
      <c r="D739" s="553"/>
      <c r="E739" s="158"/>
      <c r="F739" s="158"/>
      <c r="G739" s="159"/>
      <c r="H739" s="215"/>
      <c r="I739" s="215"/>
      <c r="J739" s="322"/>
      <c r="K739" s="554"/>
      <c r="L739" s="65"/>
      <c r="M739" s="65"/>
      <c r="N739" s="163"/>
      <c r="O739" s="243"/>
      <c r="P739" s="215"/>
      <c r="Q739" s="65"/>
      <c r="R739" s="65"/>
      <c r="V739" s="550"/>
    </row>
    <row r="740" spans="1:22">
      <c r="A740" s="1"/>
      <c r="B740" s="88"/>
      <c r="C740" s="552"/>
      <c r="D740" s="553"/>
      <c r="E740" s="158"/>
      <c r="F740" s="158"/>
      <c r="G740" s="159"/>
      <c r="H740" s="215"/>
      <c r="I740" s="215"/>
      <c r="J740" s="322"/>
      <c r="K740" s="554"/>
      <c r="L740" s="65"/>
      <c r="M740" s="65"/>
      <c r="N740" s="163"/>
      <c r="O740" s="243"/>
      <c r="P740" s="215"/>
      <c r="Q740" s="65"/>
      <c r="R740" s="65"/>
      <c r="V740" s="550"/>
    </row>
    <row r="741" spans="1:22">
      <c r="A741" s="1"/>
      <c r="B741" s="88"/>
      <c r="C741" s="552"/>
      <c r="D741" s="553"/>
      <c r="E741" s="158"/>
      <c r="F741" s="158"/>
      <c r="G741" s="159"/>
      <c r="H741" s="215"/>
      <c r="I741" s="215"/>
      <c r="J741" s="322"/>
      <c r="K741" s="554"/>
      <c r="L741" s="65"/>
      <c r="M741" s="65"/>
      <c r="N741" s="163"/>
      <c r="O741" s="243"/>
      <c r="P741" s="215"/>
      <c r="Q741" s="65"/>
      <c r="R741" s="65"/>
      <c r="V741" s="550"/>
    </row>
    <row r="742" spans="1:22">
      <c r="A742" s="1"/>
      <c r="B742" s="88"/>
      <c r="C742" s="552"/>
      <c r="D742" s="553"/>
      <c r="E742" s="158"/>
      <c r="F742" s="158"/>
      <c r="G742" s="159"/>
      <c r="H742" s="215"/>
      <c r="I742" s="215"/>
      <c r="J742" s="322"/>
      <c r="K742" s="554"/>
      <c r="L742" s="65"/>
      <c r="M742" s="65"/>
      <c r="N742" s="163"/>
      <c r="O742" s="243"/>
      <c r="P742" s="215"/>
      <c r="Q742" s="65"/>
      <c r="R742" s="65"/>
      <c r="V742" s="550"/>
    </row>
    <row r="743" spans="1:22">
      <c r="A743" s="1"/>
      <c r="B743" s="88"/>
      <c r="C743" s="552"/>
      <c r="D743" s="553"/>
      <c r="E743" s="158"/>
      <c r="F743" s="158"/>
      <c r="G743" s="159"/>
      <c r="H743" s="215"/>
      <c r="I743" s="215"/>
      <c r="J743" s="322"/>
      <c r="K743" s="554"/>
      <c r="L743" s="65"/>
      <c r="M743" s="65"/>
      <c r="N743" s="163"/>
      <c r="O743" s="243"/>
      <c r="P743" s="215"/>
      <c r="Q743" s="65"/>
      <c r="R743" s="65"/>
      <c r="V743" s="550"/>
    </row>
    <row r="744" spans="1:22">
      <c r="A744" s="1"/>
      <c r="B744" s="88"/>
      <c r="C744" s="552"/>
      <c r="D744" s="553"/>
      <c r="E744" s="158"/>
      <c r="F744" s="158"/>
      <c r="G744" s="159"/>
      <c r="H744" s="215"/>
      <c r="I744" s="215"/>
      <c r="J744" s="322"/>
      <c r="K744" s="554"/>
      <c r="L744" s="65"/>
      <c r="M744" s="65"/>
      <c r="N744" s="163"/>
      <c r="O744" s="243"/>
      <c r="P744" s="215"/>
      <c r="Q744" s="65"/>
      <c r="R744" s="65"/>
      <c r="V744" s="550"/>
    </row>
    <row r="745" spans="1:22">
      <c r="A745" s="1"/>
      <c r="B745" s="88"/>
      <c r="C745" s="552"/>
      <c r="D745" s="553"/>
      <c r="E745" s="158"/>
      <c r="F745" s="158"/>
      <c r="G745" s="159"/>
      <c r="H745" s="215"/>
      <c r="I745" s="215"/>
      <c r="J745" s="322"/>
      <c r="K745" s="554"/>
      <c r="L745" s="65"/>
      <c r="M745" s="65"/>
      <c r="N745" s="163"/>
      <c r="O745" s="243"/>
      <c r="P745" s="215"/>
      <c r="Q745" s="65"/>
      <c r="R745" s="65"/>
      <c r="V745" s="550"/>
    </row>
    <row r="746" spans="1:22">
      <c r="A746" s="1"/>
      <c r="B746" s="88"/>
      <c r="C746" s="552"/>
      <c r="D746" s="553"/>
      <c r="E746" s="158"/>
      <c r="F746" s="158"/>
      <c r="G746" s="159"/>
      <c r="H746" s="215"/>
      <c r="I746" s="215"/>
      <c r="J746" s="322"/>
      <c r="K746" s="554"/>
      <c r="L746" s="65"/>
      <c r="M746" s="65"/>
      <c r="N746" s="163"/>
      <c r="O746" s="243"/>
      <c r="P746" s="215"/>
      <c r="Q746" s="65"/>
      <c r="R746" s="65"/>
      <c r="V746" s="550"/>
    </row>
    <row r="747" spans="1:22">
      <c r="A747" s="1"/>
      <c r="B747" s="88"/>
      <c r="C747" s="552"/>
      <c r="D747" s="553"/>
      <c r="E747" s="158"/>
      <c r="F747" s="158"/>
      <c r="G747" s="159"/>
      <c r="H747" s="215"/>
      <c r="I747" s="215"/>
      <c r="J747" s="322"/>
      <c r="K747" s="554"/>
      <c r="L747" s="65"/>
      <c r="M747" s="65"/>
      <c r="N747" s="163"/>
      <c r="O747" s="243"/>
      <c r="P747" s="215"/>
      <c r="Q747" s="65"/>
      <c r="R747" s="65"/>
      <c r="V747" s="550"/>
    </row>
    <row r="748" spans="1:22">
      <c r="A748" s="1"/>
      <c r="B748" s="88"/>
      <c r="C748" s="552"/>
      <c r="D748" s="553"/>
      <c r="E748" s="158"/>
      <c r="F748" s="158"/>
      <c r="G748" s="159"/>
      <c r="H748" s="215"/>
      <c r="I748" s="215"/>
      <c r="J748" s="322"/>
      <c r="K748" s="554"/>
      <c r="L748" s="65"/>
      <c r="M748" s="65"/>
      <c r="N748" s="163"/>
      <c r="O748" s="243"/>
      <c r="P748" s="215"/>
      <c r="Q748" s="65"/>
      <c r="R748" s="65"/>
      <c r="V748" s="550"/>
    </row>
    <row r="749" spans="1:22">
      <c r="A749" s="1"/>
      <c r="B749" s="88"/>
      <c r="C749" s="552"/>
      <c r="D749" s="553"/>
      <c r="E749" s="158"/>
      <c r="F749" s="158"/>
      <c r="G749" s="159"/>
      <c r="H749" s="215"/>
      <c r="I749" s="215"/>
      <c r="J749" s="322"/>
      <c r="K749" s="554"/>
      <c r="L749" s="65"/>
      <c r="M749" s="65"/>
      <c r="N749" s="163"/>
      <c r="O749" s="243"/>
      <c r="P749" s="215"/>
      <c r="Q749" s="65"/>
      <c r="R749" s="65"/>
      <c r="V749" s="550"/>
    </row>
    <row r="750" spans="1:22">
      <c r="A750" s="1"/>
      <c r="B750" s="88"/>
      <c r="C750" s="552"/>
      <c r="D750" s="553"/>
      <c r="E750" s="158"/>
      <c r="F750" s="158"/>
      <c r="G750" s="159"/>
      <c r="H750" s="215"/>
      <c r="I750" s="215"/>
      <c r="J750" s="322"/>
      <c r="K750" s="554"/>
      <c r="L750" s="65"/>
      <c r="M750" s="65"/>
      <c r="N750" s="163"/>
      <c r="O750" s="243"/>
      <c r="P750" s="215"/>
      <c r="Q750" s="65"/>
      <c r="R750" s="65"/>
      <c r="V750" s="550"/>
    </row>
    <row r="751" spans="1:22">
      <c r="A751" s="1"/>
      <c r="B751" s="88"/>
      <c r="C751" s="552"/>
      <c r="D751" s="553"/>
      <c r="E751" s="158"/>
      <c r="F751" s="158"/>
      <c r="G751" s="159"/>
      <c r="H751" s="215"/>
      <c r="I751" s="215"/>
      <c r="J751" s="322"/>
      <c r="K751" s="554"/>
      <c r="L751" s="65"/>
      <c r="M751" s="65"/>
      <c r="N751" s="163"/>
      <c r="O751" s="243"/>
      <c r="P751" s="215"/>
      <c r="Q751" s="65"/>
      <c r="R751" s="65"/>
      <c r="V751" s="550"/>
    </row>
    <row r="752" spans="1:22">
      <c r="A752" s="1"/>
      <c r="B752" s="88"/>
      <c r="C752" s="552"/>
      <c r="D752" s="553"/>
      <c r="E752" s="158"/>
      <c r="F752" s="158"/>
      <c r="G752" s="159"/>
      <c r="H752" s="215"/>
      <c r="I752" s="215"/>
      <c r="J752" s="322"/>
      <c r="K752" s="554"/>
      <c r="L752" s="65"/>
      <c r="M752" s="65"/>
      <c r="N752" s="163"/>
      <c r="O752" s="243"/>
      <c r="P752" s="215"/>
      <c r="Q752" s="65"/>
      <c r="R752" s="65"/>
      <c r="V752" s="550"/>
    </row>
    <row r="753" spans="1:22">
      <c r="A753" s="1"/>
      <c r="B753" s="88"/>
      <c r="C753" s="552"/>
      <c r="D753" s="553"/>
      <c r="E753" s="158"/>
      <c r="F753" s="158"/>
      <c r="G753" s="159"/>
      <c r="H753" s="215"/>
      <c r="I753" s="215"/>
      <c r="J753" s="322"/>
      <c r="K753" s="554"/>
      <c r="L753" s="65"/>
      <c r="M753" s="65"/>
      <c r="N753" s="163"/>
      <c r="O753" s="243"/>
      <c r="P753" s="215"/>
      <c r="Q753" s="65"/>
      <c r="R753" s="65"/>
      <c r="V753" s="550"/>
    </row>
    <row r="754" spans="1:22">
      <c r="A754" s="1"/>
      <c r="B754" s="88"/>
      <c r="C754" s="552"/>
      <c r="D754" s="553"/>
      <c r="E754" s="158"/>
      <c r="F754" s="158"/>
      <c r="G754" s="159"/>
      <c r="H754" s="215"/>
      <c r="I754" s="215"/>
      <c r="J754" s="322"/>
      <c r="K754" s="554"/>
      <c r="L754" s="65"/>
      <c r="M754" s="65"/>
      <c r="N754" s="163"/>
      <c r="O754" s="243"/>
      <c r="P754" s="215"/>
      <c r="Q754" s="65"/>
      <c r="R754" s="65"/>
      <c r="V754" s="550"/>
    </row>
    <row r="755" spans="1:22">
      <c r="A755" s="1"/>
      <c r="B755" s="88"/>
      <c r="C755" s="552"/>
      <c r="D755" s="553"/>
      <c r="E755" s="158"/>
      <c r="F755" s="158"/>
      <c r="G755" s="159"/>
      <c r="H755" s="215"/>
      <c r="I755" s="215"/>
      <c r="J755" s="322"/>
      <c r="K755" s="554"/>
      <c r="L755" s="65"/>
      <c r="M755" s="65"/>
      <c r="N755" s="163"/>
      <c r="O755" s="243"/>
      <c r="P755" s="215"/>
      <c r="Q755" s="65"/>
      <c r="R755" s="65"/>
      <c r="V755" s="550"/>
    </row>
    <row r="756" spans="1:22">
      <c r="A756" s="1"/>
      <c r="B756" s="88"/>
      <c r="C756" s="552"/>
      <c r="D756" s="553"/>
      <c r="E756" s="158"/>
      <c r="F756" s="158"/>
      <c r="G756" s="159"/>
      <c r="H756" s="215"/>
      <c r="I756" s="215"/>
      <c r="J756" s="322"/>
      <c r="K756" s="554"/>
      <c r="L756" s="65"/>
      <c r="M756" s="65"/>
      <c r="N756" s="163"/>
      <c r="O756" s="243"/>
      <c r="P756" s="215"/>
      <c r="Q756" s="65"/>
      <c r="R756" s="65"/>
      <c r="V756" s="550"/>
    </row>
    <row r="757" spans="1:22">
      <c r="A757" s="1"/>
      <c r="B757" s="88"/>
      <c r="C757" s="552"/>
      <c r="D757" s="553"/>
      <c r="E757" s="158"/>
      <c r="F757" s="158"/>
      <c r="G757" s="159"/>
      <c r="H757" s="215"/>
      <c r="I757" s="215"/>
      <c r="J757" s="322"/>
      <c r="K757" s="554"/>
      <c r="L757" s="65"/>
      <c r="M757" s="65"/>
      <c r="N757" s="163"/>
      <c r="O757" s="243"/>
      <c r="P757" s="215"/>
      <c r="Q757" s="65"/>
      <c r="R757" s="65"/>
      <c r="V757" s="550"/>
    </row>
    <row r="758" spans="1:22">
      <c r="A758" s="1"/>
      <c r="B758" s="88"/>
      <c r="C758" s="552"/>
      <c r="D758" s="553"/>
      <c r="E758" s="158"/>
      <c r="F758" s="158"/>
      <c r="G758" s="159"/>
      <c r="H758" s="215"/>
      <c r="I758" s="215"/>
      <c r="J758" s="322"/>
      <c r="K758" s="554"/>
      <c r="L758" s="65"/>
      <c r="M758" s="65"/>
      <c r="N758" s="163"/>
      <c r="O758" s="243"/>
      <c r="P758" s="215"/>
      <c r="Q758" s="65"/>
      <c r="R758" s="65"/>
      <c r="V758" s="550"/>
    </row>
    <row r="759" spans="1:22">
      <c r="A759" s="1"/>
      <c r="B759" s="88"/>
      <c r="C759" s="552"/>
      <c r="D759" s="553"/>
      <c r="E759" s="158"/>
      <c r="F759" s="158"/>
      <c r="G759" s="159"/>
      <c r="H759" s="215"/>
      <c r="I759" s="215"/>
      <c r="J759" s="322"/>
      <c r="K759" s="554"/>
      <c r="L759" s="65"/>
      <c r="M759" s="65"/>
      <c r="N759" s="163"/>
      <c r="O759" s="243"/>
      <c r="P759" s="215"/>
      <c r="Q759" s="65"/>
      <c r="R759" s="65"/>
      <c r="V759" s="550"/>
    </row>
    <row r="760" spans="1:22">
      <c r="A760" s="1"/>
      <c r="B760" s="88"/>
      <c r="C760" s="552"/>
      <c r="D760" s="553"/>
      <c r="E760" s="158"/>
      <c r="F760" s="158"/>
      <c r="G760" s="159"/>
      <c r="H760" s="215"/>
      <c r="I760" s="215"/>
      <c r="J760" s="322"/>
      <c r="K760" s="554"/>
      <c r="L760" s="65"/>
      <c r="M760" s="65"/>
      <c r="N760" s="163"/>
      <c r="O760" s="243"/>
      <c r="P760" s="215"/>
      <c r="Q760" s="65"/>
      <c r="R760" s="65"/>
      <c r="V760" s="550"/>
    </row>
    <row r="761" spans="1:22">
      <c r="A761" s="1"/>
      <c r="B761" s="88"/>
      <c r="C761" s="552"/>
      <c r="D761" s="553"/>
      <c r="E761" s="158"/>
      <c r="F761" s="158"/>
      <c r="G761" s="159"/>
      <c r="H761" s="215"/>
      <c r="I761" s="215"/>
      <c r="J761" s="322"/>
      <c r="K761" s="554"/>
      <c r="L761" s="65"/>
      <c r="M761" s="65"/>
      <c r="N761" s="163"/>
      <c r="O761" s="243"/>
      <c r="P761" s="215"/>
      <c r="Q761" s="65"/>
      <c r="R761" s="65"/>
      <c r="V761" s="550"/>
    </row>
    <row r="762" spans="1:22">
      <c r="A762" s="1"/>
      <c r="B762" s="88"/>
      <c r="C762" s="552"/>
      <c r="D762" s="553"/>
      <c r="E762" s="158"/>
      <c r="F762" s="158"/>
      <c r="G762" s="159"/>
      <c r="H762" s="215"/>
      <c r="I762" s="215"/>
      <c r="J762" s="322"/>
      <c r="K762" s="554"/>
      <c r="L762" s="65"/>
      <c r="M762" s="65"/>
      <c r="N762" s="163"/>
      <c r="O762" s="243"/>
      <c r="P762" s="215"/>
      <c r="Q762" s="65"/>
      <c r="R762" s="65"/>
      <c r="V762" s="550"/>
    </row>
    <row r="763" spans="1:22">
      <c r="A763" s="1"/>
      <c r="B763" s="88"/>
      <c r="C763" s="552"/>
      <c r="D763" s="553"/>
      <c r="E763" s="158"/>
      <c r="F763" s="158"/>
      <c r="G763" s="159"/>
      <c r="H763" s="215"/>
      <c r="I763" s="215"/>
      <c r="J763" s="322"/>
      <c r="K763" s="554"/>
      <c r="L763" s="65"/>
      <c r="M763" s="65"/>
      <c r="N763" s="163"/>
      <c r="O763" s="243"/>
      <c r="P763" s="215"/>
      <c r="Q763" s="65"/>
      <c r="R763" s="65"/>
      <c r="V763" s="550"/>
    </row>
    <row r="764" spans="1:22">
      <c r="A764" s="1"/>
      <c r="B764" s="88"/>
      <c r="C764" s="552"/>
      <c r="D764" s="553"/>
      <c r="E764" s="158"/>
      <c r="F764" s="158"/>
      <c r="G764" s="159"/>
      <c r="H764" s="215"/>
      <c r="I764" s="215"/>
      <c r="J764" s="322"/>
      <c r="K764" s="554"/>
      <c r="L764" s="65"/>
      <c r="M764" s="65"/>
      <c r="N764" s="163"/>
      <c r="O764" s="243"/>
      <c r="P764" s="215"/>
      <c r="Q764" s="65"/>
      <c r="R764" s="65"/>
      <c r="V764" s="550"/>
    </row>
    <row r="765" spans="1:22">
      <c r="A765" s="1"/>
      <c r="B765" s="88"/>
      <c r="C765" s="552"/>
      <c r="D765" s="553"/>
      <c r="E765" s="158"/>
      <c r="F765" s="158"/>
      <c r="G765" s="159"/>
      <c r="H765" s="215"/>
      <c r="I765" s="215"/>
      <c r="J765" s="322"/>
      <c r="K765" s="554"/>
      <c r="L765" s="65"/>
      <c r="M765" s="65"/>
      <c r="N765" s="163"/>
      <c r="O765" s="243"/>
      <c r="P765" s="215"/>
      <c r="Q765" s="65"/>
      <c r="R765" s="65"/>
      <c r="V765" s="550"/>
    </row>
    <row r="766" spans="1:22">
      <c r="A766" s="1"/>
      <c r="B766" s="88"/>
      <c r="C766" s="552"/>
      <c r="D766" s="553"/>
      <c r="E766" s="158"/>
      <c r="F766" s="158"/>
      <c r="G766" s="159"/>
      <c r="H766" s="215"/>
      <c r="I766" s="215"/>
      <c r="J766" s="322"/>
      <c r="K766" s="554"/>
      <c r="L766" s="65"/>
      <c r="M766" s="65"/>
      <c r="N766" s="163"/>
      <c r="O766" s="243"/>
      <c r="P766" s="215"/>
      <c r="Q766" s="65"/>
      <c r="R766" s="65"/>
      <c r="V766" s="550"/>
    </row>
    <row r="767" spans="1:22">
      <c r="A767" s="1"/>
      <c r="B767" s="88"/>
      <c r="C767" s="552"/>
      <c r="D767" s="553"/>
      <c r="E767" s="158"/>
      <c r="F767" s="158"/>
      <c r="G767" s="159"/>
      <c r="H767" s="215"/>
      <c r="I767" s="215"/>
      <c r="J767" s="322"/>
      <c r="K767" s="554"/>
      <c r="L767" s="65"/>
      <c r="M767" s="65"/>
      <c r="N767" s="163"/>
      <c r="O767" s="243"/>
      <c r="P767" s="215"/>
      <c r="Q767" s="65"/>
      <c r="R767" s="65"/>
      <c r="V767" s="550"/>
    </row>
    <row r="768" spans="1:22">
      <c r="A768" s="1"/>
      <c r="B768" s="88"/>
      <c r="C768" s="552"/>
      <c r="D768" s="553"/>
      <c r="E768" s="158"/>
      <c r="F768" s="158"/>
      <c r="G768" s="159"/>
      <c r="H768" s="215"/>
      <c r="I768" s="215"/>
      <c r="J768" s="322"/>
      <c r="K768" s="554"/>
      <c r="L768" s="65"/>
      <c r="M768" s="65"/>
      <c r="N768" s="163"/>
      <c r="O768" s="243"/>
      <c r="P768" s="215"/>
      <c r="Q768" s="65"/>
      <c r="R768" s="65"/>
      <c r="V768" s="550"/>
    </row>
    <row r="769" spans="1:22">
      <c r="A769" s="1"/>
      <c r="B769" s="88"/>
      <c r="C769" s="552"/>
      <c r="D769" s="553"/>
      <c r="E769" s="158"/>
      <c r="F769" s="158"/>
      <c r="G769" s="159"/>
      <c r="H769" s="215"/>
      <c r="I769" s="215"/>
      <c r="J769" s="322"/>
      <c r="K769" s="554"/>
      <c r="L769" s="65"/>
      <c r="M769" s="65"/>
      <c r="N769" s="163"/>
      <c r="O769" s="243"/>
      <c r="P769" s="215"/>
      <c r="Q769" s="65"/>
      <c r="R769" s="65"/>
      <c r="V769" s="550"/>
    </row>
    <row r="770" spans="1:22">
      <c r="A770" s="1"/>
      <c r="B770" s="88"/>
      <c r="C770" s="552"/>
      <c r="D770" s="553"/>
      <c r="E770" s="158"/>
      <c r="F770" s="158"/>
      <c r="G770" s="159"/>
      <c r="H770" s="215"/>
      <c r="I770" s="215"/>
      <c r="J770" s="322"/>
      <c r="K770" s="554"/>
      <c r="L770" s="65"/>
      <c r="M770" s="65"/>
      <c r="N770" s="163"/>
      <c r="O770" s="243"/>
      <c r="P770" s="215"/>
      <c r="Q770" s="65"/>
      <c r="R770" s="65"/>
      <c r="V770" s="550"/>
    </row>
    <row r="771" spans="1:22">
      <c r="A771" s="1"/>
      <c r="B771" s="88"/>
      <c r="C771" s="552"/>
      <c r="D771" s="553"/>
      <c r="E771" s="158"/>
      <c r="F771" s="158"/>
      <c r="G771" s="159"/>
      <c r="H771" s="215"/>
      <c r="I771" s="215"/>
      <c r="J771" s="322"/>
      <c r="K771" s="554"/>
      <c r="L771" s="65"/>
      <c r="M771" s="65"/>
      <c r="N771" s="163"/>
      <c r="O771" s="243"/>
      <c r="P771" s="215"/>
      <c r="Q771" s="65"/>
      <c r="R771" s="65"/>
      <c r="V771" s="550"/>
    </row>
    <row r="772" spans="1:22">
      <c r="A772" s="1"/>
      <c r="B772" s="88"/>
      <c r="C772" s="552"/>
      <c r="D772" s="553"/>
      <c r="E772" s="158"/>
      <c r="F772" s="158"/>
      <c r="G772" s="159"/>
      <c r="H772" s="215"/>
      <c r="I772" s="215"/>
      <c r="J772" s="322"/>
      <c r="K772" s="554"/>
      <c r="L772" s="65"/>
      <c r="M772" s="65"/>
      <c r="N772" s="163"/>
      <c r="O772" s="243"/>
      <c r="P772" s="215"/>
      <c r="Q772" s="65"/>
      <c r="R772" s="65"/>
      <c r="V772" s="550"/>
    </row>
    <row r="773" spans="1:22">
      <c r="A773" s="1"/>
      <c r="B773" s="88"/>
      <c r="C773" s="552"/>
      <c r="D773" s="553"/>
      <c r="E773" s="158"/>
      <c r="F773" s="158"/>
      <c r="G773" s="159"/>
      <c r="H773" s="215"/>
      <c r="I773" s="215"/>
      <c r="J773" s="322"/>
      <c r="K773" s="554"/>
      <c r="L773" s="65"/>
      <c r="M773" s="65"/>
      <c r="N773" s="163"/>
      <c r="O773" s="243"/>
      <c r="P773" s="215"/>
      <c r="Q773" s="65"/>
      <c r="R773" s="65"/>
      <c r="V773" s="550"/>
    </row>
    <row r="774" spans="1:22">
      <c r="A774" s="1"/>
      <c r="B774" s="88"/>
      <c r="C774" s="552"/>
      <c r="D774" s="553"/>
      <c r="E774" s="158"/>
      <c r="F774" s="158"/>
      <c r="G774" s="159"/>
      <c r="H774" s="215"/>
      <c r="I774" s="215"/>
      <c r="J774" s="322"/>
      <c r="K774" s="554"/>
      <c r="L774" s="65"/>
      <c r="M774" s="65"/>
      <c r="N774" s="163"/>
      <c r="O774" s="243"/>
      <c r="P774" s="215"/>
      <c r="Q774" s="65"/>
      <c r="R774" s="65"/>
      <c r="V774" s="550"/>
    </row>
    <row r="775" spans="1:22">
      <c r="A775" s="1"/>
      <c r="B775" s="88"/>
      <c r="C775" s="552"/>
      <c r="D775" s="553"/>
      <c r="E775" s="158"/>
      <c r="F775" s="158"/>
      <c r="G775" s="159"/>
      <c r="H775" s="215"/>
      <c r="I775" s="215"/>
      <c r="J775" s="322"/>
      <c r="K775" s="554"/>
      <c r="L775" s="65"/>
      <c r="M775" s="65"/>
      <c r="N775" s="163"/>
      <c r="O775" s="243"/>
      <c r="P775" s="215"/>
      <c r="Q775" s="65"/>
      <c r="R775" s="65"/>
      <c r="V775" s="550"/>
    </row>
    <row r="776" spans="1:22">
      <c r="A776" s="1"/>
      <c r="B776" s="88"/>
      <c r="C776" s="552"/>
      <c r="D776" s="553"/>
      <c r="E776" s="158"/>
      <c r="F776" s="158"/>
      <c r="G776" s="159"/>
      <c r="H776" s="215"/>
      <c r="I776" s="215"/>
      <c r="J776" s="322"/>
      <c r="K776" s="554"/>
      <c r="L776" s="65"/>
      <c r="M776" s="65"/>
      <c r="N776" s="163"/>
      <c r="O776" s="243"/>
      <c r="P776" s="215"/>
      <c r="Q776" s="65"/>
      <c r="R776" s="65"/>
      <c r="V776" s="550"/>
    </row>
    <row r="777" spans="1:22">
      <c r="A777" s="1"/>
      <c r="B777" s="88"/>
      <c r="C777" s="552"/>
      <c r="D777" s="553"/>
      <c r="E777" s="158"/>
      <c r="F777" s="158"/>
      <c r="G777" s="159"/>
      <c r="H777" s="215"/>
      <c r="I777" s="215"/>
      <c r="J777" s="322"/>
      <c r="K777" s="554"/>
      <c r="L777" s="65"/>
      <c r="M777" s="65"/>
      <c r="N777" s="163"/>
      <c r="O777" s="243"/>
      <c r="P777" s="215"/>
      <c r="Q777" s="65"/>
      <c r="R777" s="65"/>
      <c r="V777" s="550"/>
    </row>
    <row r="778" spans="1:22">
      <c r="A778" s="1"/>
      <c r="B778" s="88"/>
      <c r="C778" s="552"/>
      <c r="D778" s="553"/>
      <c r="E778" s="158"/>
      <c r="F778" s="158"/>
      <c r="G778" s="159"/>
      <c r="H778" s="215"/>
      <c r="I778" s="215"/>
      <c r="J778" s="322"/>
      <c r="K778" s="554"/>
      <c r="L778" s="65"/>
      <c r="M778" s="65"/>
      <c r="N778" s="163"/>
      <c r="O778" s="243"/>
      <c r="P778" s="215"/>
      <c r="Q778" s="65"/>
      <c r="R778" s="65"/>
      <c r="V778" s="550"/>
    </row>
    <row r="779" spans="1:22">
      <c r="A779" s="1"/>
      <c r="B779" s="88"/>
      <c r="C779" s="552"/>
      <c r="D779" s="553"/>
      <c r="E779" s="158"/>
      <c r="F779" s="158"/>
      <c r="G779" s="159"/>
      <c r="H779" s="215"/>
      <c r="I779" s="215"/>
      <c r="J779" s="322"/>
      <c r="K779" s="554"/>
      <c r="L779" s="65"/>
      <c r="M779" s="65"/>
      <c r="N779" s="163"/>
      <c r="O779" s="243"/>
      <c r="P779" s="215"/>
      <c r="Q779" s="65"/>
      <c r="R779" s="65"/>
      <c r="V779" s="550"/>
    </row>
    <row r="780" spans="1:22">
      <c r="A780" s="1"/>
      <c r="B780" s="88"/>
      <c r="C780" s="552"/>
      <c r="D780" s="553"/>
      <c r="E780" s="158"/>
      <c r="F780" s="158"/>
      <c r="G780" s="159"/>
      <c r="H780" s="215"/>
      <c r="I780" s="215"/>
      <c r="J780" s="322"/>
      <c r="K780" s="554"/>
      <c r="L780" s="65"/>
      <c r="M780" s="65"/>
      <c r="N780" s="163"/>
      <c r="O780" s="243"/>
      <c r="P780" s="215"/>
      <c r="Q780" s="65"/>
      <c r="R780" s="65"/>
      <c r="V780" s="550"/>
    </row>
    <row r="781" spans="1:22">
      <c r="A781" s="1"/>
      <c r="B781" s="88"/>
      <c r="C781" s="552"/>
      <c r="D781" s="553"/>
      <c r="E781" s="158"/>
      <c r="F781" s="158"/>
      <c r="G781" s="159"/>
      <c r="H781" s="215"/>
      <c r="I781" s="215"/>
      <c r="J781" s="322"/>
      <c r="K781" s="554"/>
      <c r="L781" s="65"/>
      <c r="M781" s="65"/>
      <c r="N781" s="163"/>
      <c r="O781" s="243"/>
      <c r="P781" s="215"/>
      <c r="Q781" s="65"/>
      <c r="R781" s="65"/>
      <c r="V781" s="550"/>
    </row>
    <row r="782" spans="1:22">
      <c r="A782" s="1"/>
      <c r="B782" s="88"/>
      <c r="C782" s="552"/>
      <c r="D782" s="553"/>
      <c r="E782" s="158"/>
      <c r="F782" s="158"/>
      <c r="G782" s="159"/>
      <c r="H782" s="215"/>
      <c r="I782" s="215"/>
      <c r="J782" s="322"/>
      <c r="K782" s="554"/>
      <c r="L782" s="65"/>
      <c r="M782" s="65"/>
      <c r="N782" s="163"/>
      <c r="O782" s="243"/>
      <c r="P782" s="215"/>
      <c r="Q782" s="65"/>
      <c r="R782" s="65"/>
      <c r="V782" s="550"/>
    </row>
    <row r="783" spans="1:22">
      <c r="A783" s="1"/>
      <c r="B783" s="88"/>
      <c r="C783" s="552"/>
      <c r="D783" s="553"/>
      <c r="E783" s="158"/>
      <c r="F783" s="158"/>
      <c r="G783" s="159"/>
      <c r="H783" s="215"/>
      <c r="I783" s="215"/>
      <c r="J783" s="322"/>
      <c r="K783" s="554"/>
      <c r="L783" s="65"/>
      <c r="M783" s="65"/>
      <c r="N783" s="163"/>
      <c r="O783" s="243"/>
      <c r="P783" s="215"/>
      <c r="Q783" s="65"/>
      <c r="R783" s="65"/>
      <c r="V783" s="550"/>
    </row>
    <row r="784" spans="1:22">
      <c r="A784" s="1"/>
      <c r="B784" s="88"/>
      <c r="C784" s="552"/>
      <c r="D784" s="553"/>
      <c r="E784" s="158"/>
      <c r="F784" s="158"/>
      <c r="G784" s="159"/>
      <c r="H784" s="215"/>
      <c r="I784" s="215"/>
      <c r="J784" s="322"/>
      <c r="K784" s="554"/>
      <c r="L784" s="65"/>
      <c r="M784" s="65"/>
      <c r="N784" s="163"/>
      <c r="O784" s="243"/>
      <c r="P784" s="215"/>
      <c r="Q784" s="65"/>
      <c r="R784" s="65"/>
      <c r="V784" s="550"/>
    </row>
    <row r="785" spans="1:22">
      <c r="A785" s="1"/>
      <c r="B785" s="88"/>
      <c r="C785" s="552"/>
      <c r="D785" s="553"/>
      <c r="E785" s="158"/>
      <c r="F785" s="158"/>
      <c r="G785" s="159"/>
      <c r="H785" s="215"/>
      <c r="I785" s="215"/>
      <c r="J785" s="322"/>
      <c r="K785" s="554"/>
      <c r="L785" s="65"/>
      <c r="M785" s="65"/>
      <c r="N785" s="163"/>
      <c r="O785" s="243"/>
      <c r="P785" s="215"/>
      <c r="Q785" s="65"/>
      <c r="R785" s="65"/>
      <c r="V785" s="550"/>
    </row>
    <row r="786" spans="1:22">
      <c r="A786" s="1"/>
      <c r="B786" s="88"/>
      <c r="C786" s="552"/>
      <c r="D786" s="553"/>
      <c r="E786" s="158"/>
      <c r="F786" s="158"/>
      <c r="G786" s="159"/>
      <c r="H786" s="215"/>
      <c r="I786" s="215"/>
      <c r="J786" s="322"/>
      <c r="K786" s="554"/>
      <c r="L786" s="65"/>
      <c r="M786" s="65"/>
      <c r="N786" s="163"/>
      <c r="O786" s="243"/>
      <c r="P786" s="215"/>
      <c r="Q786" s="65"/>
      <c r="R786" s="65"/>
      <c r="V786" s="550"/>
    </row>
    <row r="787" spans="1:22">
      <c r="A787" s="1"/>
      <c r="B787" s="88"/>
      <c r="C787" s="552"/>
      <c r="D787" s="553"/>
      <c r="E787" s="158"/>
      <c r="F787" s="158"/>
      <c r="G787" s="159"/>
      <c r="H787" s="215"/>
      <c r="I787" s="215"/>
      <c r="J787" s="322"/>
      <c r="K787" s="554"/>
      <c r="L787" s="65"/>
      <c r="M787" s="65"/>
      <c r="N787" s="163"/>
      <c r="O787" s="243"/>
      <c r="P787" s="215"/>
      <c r="Q787" s="65"/>
      <c r="R787" s="65"/>
      <c r="V787" s="550"/>
    </row>
    <row r="788" spans="1:22">
      <c r="A788" s="1"/>
      <c r="B788" s="88"/>
      <c r="C788" s="552"/>
      <c r="D788" s="553"/>
      <c r="E788" s="158"/>
      <c r="F788" s="158"/>
      <c r="G788" s="159"/>
      <c r="H788" s="215"/>
      <c r="I788" s="215"/>
      <c r="J788" s="322"/>
      <c r="K788" s="554"/>
      <c r="L788" s="65"/>
      <c r="M788" s="65"/>
      <c r="N788" s="163"/>
      <c r="O788" s="243"/>
      <c r="P788" s="215"/>
      <c r="Q788" s="65"/>
      <c r="R788" s="65"/>
      <c r="V788" s="550"/>
    </row>
    <row r="789" spans="1:22">
      <c r="A789" s="1"/>
      <c r="B789" s="88"/>
      <c r="C789" s="552"/>
      <c r="D789" s="553"/>
      <c r="E789" s="158"/>
      <c r="F789" s="158"/>
      <c r="G789" s="159"/>
      <c r="H789" s="215"/>
      <c r="I789" s="215"/>
      <c r="J789" s="322"/>
      <c r="K789" s="554"/>
      <c r="L789" s="65"/>
      <c r="M789" s="65"/>
      <c r="N789" s="163"/>
      <c r="O789" s="243"/>
      <c r="P789" s="215"/>
      <c r="Q789" s="65"/>
      <c r="R789" s="65"/>
      <c r="V789" s="550"/>
    </row>
    <row r="790" spans="1:22">
      <c r="A790" s="1"/>
      <c r="B790" s="88"/>
      <c r="C790" s="552"/>
      <c r="D790" s="553"/>
      <c r="E790" s="158"/>
      <c r="F790" s="158"/>
      <c r="G790" s="159"/>
      <c r="H790" s="215"/>
      <c r="I790" s="215"/>
      <c r="J790" s="322"/>
      <c r="K790" s="554"/>
      <c r="L790" s="65"/>
      <c r="M790" s="65"/>
      <c r="N790" s="163"/>
      <c r="O790" s="243"/>
      <c r="P790" s="215"/>
      <c r="Q790" s="65"/>
      <c r="R790" s="65"/>
      <c r="V790" s="550"/>
    </row>
    <row r="791" spans="1:22">
      <c r="A791" s="1"/>
      <c r="B791" s="88"/>
      <c r="C791" s="552"/>
      <c r="D791" s="553"/>
      <c r="E791" s="158"/>
      <c r="F791" s="158"/>
      <c r="G791" s="159"/>
      <c r="H791" s="215"/>
      <c r="I791" s="215"/>
      <c r="J791" s="322"/>
      <c r="K791" s="554"/>
      <c r="L791" s="65"/>
      <c r="M791" s="65"/>
      <c r="N791" s="163"/>
      <c r="O791" s="243"/>
      <c r="P791" s="215"/>
      <c r="Q791" s="65"/>
      <c r="R791" s="65"/>
      <c r="V791" s="550"/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4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30분 신촌까지</cp:lastModifiedBy>
  <cp:version>9.102.76.43786</cp:version>
</cp:coreProperties>
</file>